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PG\SEMESTER 2\PPL\X-5\"/>
    </mc:Choice>
  </mc:AlternateContent>
  <xr:revisionPtr revIDLastSave="0" documentId="13_ncr:1_{BB3EFE33-7482-4064-B12F-C62AF26D97FF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SKL" sheetId="27" state="hidden" r:id="rId1"/>
    <sheet name="KI-KD" sheetId="31" state="hidden" r:id="rId2"/>
    <sheet name="Silabus" sheetId="25" state="hidden" r:id="rId3"/>
    <sheet name="RPP" sheetId="26" state="hidden" r:id="rId4"/>
    <sheet name="KKM" sheetId="24" state="hidden" r:id="rId5"/>
    <sheet name="Program Tahunan" sheetId="14" state="hidden" r:id="rId6"/>
    <sheet name="Program Semester" sheetId="15" state="hidden" r:id="rId7"/>
    <sheet name="CV" sheetId="43" r:id="rId8"/>
    <sheet name="Jurnal 10-5" sheetId="45" r:id="rId9"/>
    <sheet name="Absensi 10-5" sheetId="39" r:id="rId10"/>
    <sheet name="Nilai 10-5" sheetId="17" r:id="rId11"/>
    <sheet name="PTS" sheetId="46" r:id="rId12"/>
    <sheet name="DSS" sheetId="23" state="hidden" r:id="rId13"/>
    <sheet name="Daftar Cetak" sheetId="44" state="hidden" r:id="rId14"/>
  </sheets>
  <definedNames>
    <definedName name="_xlnm.Print_Area" localSheetId="9">'Absensi 10-5'!$A$1:$BZ$134</definedName>
    <definedName name="_xlnm.Print_Area" localSheetId="7">CV!$A$1:$F$37</definedName>
    <definedName name="_xlnm.Print_Area" localSheetId="12">DSS!$A$2:$S$36</definedName>
    <definedName name="_xlnm.Print_Area" localSheetId="8">'Jurnal 10-5'!$A$1:$H$112</definedName>
    <definedName name="_xlnm.Print_Area" localSheetId="1">'KI-KD'!$A$2:$F$47</definedName>
    <definedName name="_xlnm.Print_Area" localSheetId="4">KKM!$A$2:$G$68</definedName>
    <definedName name="_xlnm.Print_Area" localSheetId="10">'Nilai 10-5'!$A$1:$X$116</definedName>
    <definedName name="_xlnm.Print_Area" localSheetId="6">'Program Semester'!$A$2:$AI$67</definedName>
    <definedName name="_xlnm.Print_Area" localSheetId="5">'Program Tahunan'!$A$2:$E$52</definedName>
    <definedName name="_xlnm.Print_Area" localSheetId="3">RPP!$A$2:$F$100</definedName>
    <definedName name="_xlnm.Print_Area" localSheetId="2">Silabus!$A$2:$L$191</definedName>
    <definedName name="_xlnm.Print_Area" localSheetId="0">SKL!$A$2:$L$191</definedName>
    <definedName name="_xlnm.Print_Titles" localSheetId="9">'Absensi 10-5'!$8:$10</definedName>
    <definedName name="_xlnm.Print_Titles" localSheetId="8">'Jurnal 10-5'!$8:$9</definedName>
    <definedName name="_xlnm.Print_Titles" localSheetId="1">'KI-KD'!$9:$9</definedName>
    <definedName name="_xlnm.Print_Titles" localSheetId="10">'Nilai 10-5'!$9:$10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14" i="39" l="1"/>
  <c r="AN15" i="39"/>
  <c r="AN16" i="39"/>
  <c r="AN17" i="39"/>
  <c r="AN18" i="39"/>
  <c r="AN19" i="39"/>
  <c r="AN20" i="39"/>
  <c r="AN21" i="39"/>
  <c r="AN22" i="39"/>
  <c r="AN23" i="39"/>
  <c r="AN25" i="39"/>
  <c r="AN26" i="39"/>
  <c r="AN27" i="39"/>
  <c r="AN28" i="39"/>
  <c r="AN29" i="39"/>
  <c r="E3" i="46"/>
  <c r="E4" i="46"/>
  <c r="E5" i="46"/>
  <c r="E6" i="46"/>
  <c r="E7" i="46"/>
  <c r="E8" i="46"/>
  <c r="E9" i="46"/>
  <c r="E10" i="46"/>
  <c r="E11" i="46"/>
  <c r="E12" i="46"/>
  <c r="E13" i="46"/>
  <c r="E14" i="46"/>
  <c r="E15" i="46"/>
  <c r="E16" i="46"/>
  <c r="E17" i="46"/>
  <c r="E18" i="46"/>
  <c r="E19" i="46"/>
  <c r="E20" i="46"/>
  <c r="E21" i="46"/>
  <c r="E22" i="46"/>
  <c r="E23" i="46"/>
  <c r="E24" i="46"/>
  <c r="E25" i="46"/>
  <c r="E26" i="46"/>
  <c r="E27" i="46"/>
  <c r="E28" i="46"/>
  <c r="E29" i="46"/>
  <c r="E30" i="46"/>
  <c r="E31" i="46"/>
  <c r="E32" i="46"/>
  <c r="E33" i="46"/>
  <c r="E34" i="46"/>
  <c r="E35" i="46"/>
  <c r="E36" i="46"/>
  <c r="E37" i="46"/>
  <c r="E38" i="46"/>
  <c r="E39" i="46"/>
  <c r="E40" i="46"/>
  <c r="E41" i="46"/>
  <c r="E42" i="46"/>
  <c r="E43" i="46"/>
  <c r="E44" i="46"/>
  <c r="E45" i="46"/>
  <c r="E46" i="46"/>
  <c r="E47" i="46"/>
  <c r="E2" i="46"/>
  <c r="D5" i="46"/>
  <c r="D6" i="46"/>
  <c r="D7" i="46"/>
  <c r="D8" i="46"/>
  <c r="D9" i="46"/>
  <c r="D10" i="46"/>
  <c r="D11" i="46"/>
  <c r="D12" i="46"/>
  <c r="D13" i="46"/>
  <c r="D14" i="46"/>
  <c r="D15" i="46"/>
  <c r="D16" i="46"/>
  <c r="D17" i="46"/>
  <c r="D18" i="46"/>
  <c r="D19" i="46"/>
  <c r="D20" i="46"/>
  <c r="D21" i="46"/>
  <c r="D22" i="46"/>
  <c r="D23" i="46"/>
  <c r="D24" i="46"/>
  <c r="D25" i="46"/>
  <c r="D26" i="46"/>
  <c r="D27" i="46"/>
  <c r="D28" i="46"/>
  <c r="D29" i="46"/>
  <c r="D30" i="46"/>
  <c r="D31" i="46"/>
  <c r="D32" i="46"/>
  <c r="D33" i="46"/>
  <c r="D34" i="46"/>
  <c r="D35" i="46"/>
  <c r="D36" i="46"/>
  <c r="D37" i="46"/>
  <c r="D38" i="46"/>
  <c r="D39" i="46"/>
  <c r="D40" i="46"/>
  <c r="D41" i="46"/>
  <c r="D42" i="46"/>
  <c r="D43" i="46"/>
  <c r="D44" i="46"/>
  <c r="D45" i="46"/>
  <c r="D46" i="46"/>
  <c r="D47" i="46"/>
  <c r="D4" i="46"/>
  <c r="D3" i="46"/>
  <c r="D2" i="46"/>
  <c r="A3" i="17"/>
  <c r="AN3" i="39"/>
  <c r="A3" i="45"/>
  <c r="BU66" i="39"/>
  <c r="V67" i="17" s="1"/>
  <c r="BU65" i="39"/>
  <c r="V66" i="17" s="1"/>
  <c r="BU61" i="39"/>
  <c r="V62" i="17" s="1"/>
  <c r="BU60" i="39"/>
  <c r="V61" i="17" s="1"/>
  <c r="AT66" i="39"/>
  <c r="E67" i="17" s="1"/>
  <c r="AT65" i="39"/>
  <c r="E66" i="17" s="1"/>
  <c r="AT61" i="39"/>
  <c r="E62" i="17" s="1"/>
  <c r="C47" i="17"/>
  <c r="C48" i="17"/>
  <c r="C49" i="17"/>
  <c r="C50" i="17"/>
  <c r="C51" i="17"/>
  <c r="C52" i="17"/>
  <c r="C53" i="17"/>
  <c r="C54" i="17"/>
  <c r="C55" i="17"/>
  <c r="C56" i="17"/>
  <c r="C57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B47" i="17"/>
  <c r="B48" i="17"/>
  <c r="B49" i="17"/>
  <c r="B50" i="17"/>
  <c r="B51" i="17"/>
  <c r="B52" i="17"/>
  <c r="B53" i="17"/>
  <c r="B54" i="17"/>
  <c r="B55" i="17"/>
  <c r="B56" i="17"/>
  <c r="B57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12" i="17"/>
  <c r="C12" i="17" l="1"/>
  <c r="C5" i="17"/>
  <c r="B105" i="45"/>
  <c r="A11" i="45"/>
  <c r="A12" i="45" s="1"/>
  <c r="A13" i="45" s="1"/>
  <c r="A14" i="45" s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46" i="45" s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71" i="45" s="1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B6" i="45"/>
  <c r="A1" i="45"/>
  <c r="BX13" i="39"/>
  <c r="C62" i="39"/>
  <c r="C61" i="39"/>
  <c r="B64" i="17"/>
  <c r="B63" i="17"/>
  <c r="B62" i="17"/>
  <c r="B61" i="17"/>
  <c r="AO63" i="39"/>
  <c r="AO62" i="39"/>
  <c r="AO61" i="39"/>
  <c r="AO60" i="39"/>
  <c r="AT60" i="39"/>
  <c r="E61" i="17" s="1"/>
  <c r="BY10" i="39"/>
  <c r="BX10" i="39"/>
  <c r="BW10" i="39"/>
  <c r="BV10" i="39"/>
  <c r="BU10" i="39"/>
  <c r="BY9" i="39"/>
  <c r="BX9" i="39"/>
  <c r="BW9" i="39"/>
  <c r="BV9" i="39"/>
  <c r="BU9" i="39"/>
  <c r="BY8" i="39"/>
  <c r="BX8" i="39"/>
  <c r="BW8" i="39"/>
  <c r="BV8" i="39"/>
  <c r="BU8" i="39"/>
  <c r="BT8" i="39"/>
  <c r="BS8" i="39"/>
  <c r="BR8" i="39"/>
  <c r="BQ8" i="39"/>
  <c r="BP8" i="39"/>
  <c r="BO8" i="39"/>
  <c r="BN8" i="39"/>
  <c r="BM8" i="39"/>
  <c r="BL8" i="39"/>
  <c r="BK8" i="39"/>
  <c r="BJ8" i="39"/>
  <c r="BI8" i="39"/>
  <c r="BH8" i="39"/>
  <c r="BG8" i="39"/>
  <c r="BF8" i="39"/>
  <c r="BE8" i="39"/>
  <c r="BD8" i="39"/>
  <c r="BC8" i="39"/>
  <c r="BB8" i="39"/>
  <c r="BA8" i="39"/>
  <c r="AZ8" i="39"/>
  <c r="AY8" i="39"/>
  <c r="AX8" i="39"/>
  <c r="AW8" i="39"/>
  <c r="AV8" i="39"/>
  <c r="AU8" i="39"/>
  <c r="AT8" i="39"/>
  <c r="AS8" i="39"/>
  <c r="AR8" i="39"/>
  <c r="AQ8" i="39"/>
  <c r="AP10" i="39"/>
  <c r="AO10" i="39"/>
  <c r="AN10" i="39"/>
  <c r="AP9" i="39"/>
  <c r="AO9" i="39"/>
  <c r="AN9" i="39"/>
  <c r="AP8" i="39"/>
  <c r="AO8" i="39"/>
  <c r="AN8" i="39"/>
  <c r="AP58" i="39"/>
  <c r="C59" i="17" s="1"/>
  <c r="AO58" i="39"/>
  <c r="B59" i="17" s="1"/>
  <c r="AP57" i="39"/>
  <c r="AO57" i="39"/>
  <c r="B58" i="17" s="1"/>
  <c r="C6" i="17"/>
  <c r="AH66" i="39"/>
  <c r="AH65" i="39"/>
  <c r="AH61" i="39"/>
  <c r="AH60" i="39"/>
  <c r="A100" i="39"/>
  <c r="A101" i="39"/>
  <c r="A102" i="39"/>
  <c r="A103" i="39"/>
  <c r="A104" i="39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BX126" i="39"/>
  <c r="BW126" i="39"/>
  <c r="BV126" i="39"/>
  <c r="BU126" i="39"/>
  <c r="AK126" i="39"/>
  <c r="AJ126" i="39"/>
  <c r="AI126" i="39"/>
  <c r="AH126" i="39"/>
  <c r="BX125" i="39"/>
  <c r="BW125" i="39"/>
  <c r="BV125" i="39"/>
  <c r="BU125" i="39"/>
  <c r="AK125" i="39"/>
  <c r="AJ125" i="39"/>
  <c r="AI125" i="39"/>
  <c r="AH125" i="39"/>
  <c r="BX124" i="39"/>
  <c r="BW124" i="39"/>
  <c r="BV124" i="39"/>
  <c r="BU124" i="39"/>
  <c r="AK124" i="39"/>
  <c r="AJ124" i="39"/>
  <c r="AI124" i="39"/>
  <c r="AH124" i="39"/>
  <c r="BX123" i="39"/>
  <c r="BW123" i="39"/>
  <c r="BV123" i="39"/>
  <c r="BU123" i="39"/>
  <c r="AK123" i="39"/>
  <c r="AJ123" i="39"/>
  <c r="AI123" i="39"/>
  <c r="AH123" i="39"/>
  <c r="BX122" i="39"/>
  <c r="BW122" i="39"/>
  <c r="BV122" i="39"/>
  <c r="BU122" i="39"/>
  <c r="AK122" i="39"/>
  <c r="AJ122" i="39"/>
  <c r="AI122" i="39"/>
  <c r="AH122" i="39"/>
  <c r="BX121" i="39"/>
  <c r="BW121" i="39"/>
  <c r="BV121" i="39"/>
  <c r="BU121" i="39"/>
  <c r="AK121" i="39"/>
  <c r="AJ121" i="39"/>
  <c r="AI121" i="39"/>
  <c r="AH121" i="39"/>
  <c r="BX120" i="39"/>
  <c r="BW120" i="39"/>
  <c r="BV120" i="39"/>
  <c r="BU120" i="39"/>
  <c r="AK120" i="39"/>
  <c r="AJ120" i="39"/>
  <c r="AI120" i="39"/>
  <c r="AH120" i="39"/>
  <c r="BX119" i="39"/>
  <c r="BW119" i="39"/>
  <c r="BV119" i="39"/>
  <c r="BU119" i="39"/>
  <c r="AK119" i="39"/>
  <c r="AJ119" i="39"/>
  <c r="AI119" i="39"/>
  <c r="AH119" i="39"/>
  <c r="BX118" i="39"/>
  <c r="BW118" i="39"/>
  <c r="BV118" i="39"/>
  <c r="BU118" i="39"/>
  <c r="AK118" i="39"/>
  <c r="AJ118" i="39"/>
  <c r="AI118" i="39"/>
  <c r="AH118" i="39"/>
  <c r="BX117" i="39"/>
  <c r="BW117" i="39"/>
  <c r="BV117" i="39"/>
  <c r="BU117" i="39"/>
  <c r="AK117" i="39"/>
  <c r="AJ117" i="39"/>
  <c r="AI117" i="39"/>
  <c r="AH117" i="39"/>
  <c r="BX116" i="39"/>
  <c r="BW116" i="39"/>
  <c r="BV116" i="39"/>
  <c r="BU116" i="39"/>
  <c r="AK116" i="39"/>
  <c r="AJ116" i="39"/>
  <c r="AI116" i="39"/>
  <c r="AH116" i="39"/>
  <c r="BX115" i="39"/>
  <c r="BW115" i="39"/>
  <c r="BV115" i="39"/>
  <c r="BU115" i="39"/>
  <c r="AK115" i="39"/>
  <c r="AJ115" i="39"/>
  <c r="AI115" i="39"/>
  <c r="AH115" i="39"/>
  <c r="BX114" i="39"/>
  <c r="BW114" i="39"/>
  <c r="BV114" i="39"/>
  <c r="BU114" i="39"/>
  <c r="AK114" i="39"/>
  <c r="AJ114" i="39"/>
  <c r="AI114" i="39"/>
  <c r="AH114" i="39"/>
  <c r="BX113" i="39"/>
  <c r="BW113" i="39"/>
  <c r="BV113" i="39"/>
  <c r="BU113" i="39"/>
  <c r="AK113" i="39"/>
  <c r="AJ113" i="39"/>
  <c r="AI113" i="39"/>
  <c r="AH113" i="39"/>
  <c r="BX112" i="39"/>
  <c r="BW112" i="39"/>
  <c r="BV112" i="39"/>
  <c r="BU112" i="39"/>
  <c r="AK112" i="39"/>
  <c r="AJ112" i="39"/>
  <c r="AI112" i="39"/>
  <c r="AH112" i="39"/>
  <c r="BX111" i="39"/>
  <c r="BW111" i="39"/>
  <c r="BV111" i="39"/>
  <c r="BU111" i="39"/>
  <c r="AK111" i="39"/>
  <c r="AJ111" i="39"/>
  <c r="AI111" i="39"/>
  <c r="AH111" i="39"/>
  <c r="BX110" i="39"/>
  <c r="BW110" i="39"/>
  <c r="BV110" i="39"/>
  <c r="BU110" i="39"/>
  <c r="AK110" i="39"/>
  <c r="AJ110" i="39"/>
  <c r="AI110" i="39"/>
  <c r="AH110" i="39"/>
  <c r="BX109" i="39"/>
  <c r="BW109" i="39"/>
  <c r="BV109" i="39"/>
  <c r="BU109" i="39"/>
  <c r="AK109" i="39"/>
  <c r="AJ109" i="39"/>
  <c r="AI109" i="39"/>
  <c r="AH109" i="39"/>
  <c r="BX108" i="39"/>
  <c r="BW108" i="39"/>
  <c r="BV108" i="39"/>
  <c r="BU108" i="39"/>
  <c r="AK108" i="39"/>
  <c r="AJ108" i="39"/>
  <c r="AI108" i="39"/>
  <c r="AH108" i="39"/>
  <c r="BX107" i="39"/>
  <c r="BW107" i="39"/>
  <c r="BV107" i="39"/>
  <c r="BU107" i="39"/>
  <c r="AK107" i="39"/>
  <c r="AJ107" i="39"/>
  <c r="AI107" i="39"/>
  <c r="AH107" i="39"/>
  <c r="BX58" i="39"/>
  <c r="BW58" i="39"/>
  <c r="BV58" i="39"/>
  <c r="BU58" i="39"/>
  <c r="AK58" i="39"/>
  <c r="AJ58" i="39"/>
  <c r="AI58" i="39"/>
  <c r="AH58" i="39"/>
  <c r="BX57" i="39"/>
  <c r="BW57" i="39"/>
  <c r="BV57" i="39"/>
  <c r="BU57" i="39"/>
  <c r="AK57" i="39"/>
  <c r="AJ57" i="39"/>
  <c r="AI57" i="39"/>
  <c r="AH57" i="39"/>
  <c r="BX56" i="39"/>
  <c r="BW56" i="39"/>
  <c r="BV56" i="39"/>
  <c r="BU56" i="39"/>
  <c r="AK56" i="39"/>
  <c r="AJ56" i="39"/>
  <c r="AI56" i="39"/>
  <c r="AH56" i="39"/>
  <c r="BX55" i="39"/>
  <c r="BW55" i="39"/>
  <c r="BV55" i="39"/>
  <c r="BU55" i="39"/>
  <c r="AK55" i="39"/>
  <c r="AJ55" i="39"/>
  <c r="AI55" i="39"/>
  <c r="AH55" i="39"/>
  <c r="BX54" i="39"/>
  <c r="BW54" i="39"/>
  <c r="BV54" i="39"/>
  <c r="BU54" i="39"/>
  <c r="AK54" i="39"/>
  <c r="AJ54" i="39"/>
  <c r="AI54" i="39"/>
  <c r="AH54" i="39"/>
  <c r="BX53" i="39"/>
  <c r="BW53" i="39"/>
  <c r="BV53" i="39"/>
  <c r="BU53" i="39"/>
  <c r="AK53" i="39"/>
  <c r="AJ53" i="39"/>
  <c r="AI53" i="39"/>
  <c r="AH53" i="39"/>
  <c r="BX52" i="39"/>
  <c r="BW52" i="39"/>
  <c r="BV52" i="39"/>
  <c r="BU52" i="39"/>
  <c r="AK52" i="39"/>
  <c r="AJ52" i="39"/>
  <c r="AI52" i="39"/>
  <c r="AH52" i="39"/>
  <c r="BX51" i="39"/>
  <c r="BW51" i="39"/>
  <c r="BV51" i="39"/>
  <c r="BU51" i="39"/>
  <c r="AK51" i="39"/>
  <c r="AJ51" i="39"/>
  <c r="AI51" i="39"/>
  <c r="AH51" i="39"/>
  <c r="BX50" i="39"/>
  <c r="BW50" i="39"/>
  <c r="BV50" i="39"/>
  <c r="BU50" i="39"/>
  <c r="AK50" i="39"/>
  <c r="AJ50" i="39"/>
  <c r="AI50" i="39"/>
  <c r="AH50" i="39"/>
  <c r="BX49" i="39"/>
  <c r="BW49" i="39"/>
  <c r="BV49" i="39"/>
  <c r="BU49" i="39"/>
  <c r="AK49" i="39"/>
  <c r="AJ49" i="39"/>
  <c r="AI49" i="39"/>
  <c r="AH49" i="39"/>
  <c r="BX48" i="39"/>
  <c r="BW48" i="39"/>
  <c r="BV48" i="39"/>
  <c r="BU48" i="39"/>
  <c r="AK48" i="39"/>
  <c r="AJ48" i="39"/>
  <c r="AI48" i="39"/>
  <c r="AH48" i="39"/>
  <c r="BX47" i="39"/>
  <c r="BW47" i="39"/>
  <c r="BV47" i="39"/>
  <c r="BU47" i="39"/>
  <c r="AK47" i="39"/>
  <c r="AJ47" i="39"/>
  <c r="AI47" i="39"/>
  <c r="AH47" i="39"/>
  <c r="BX46" i="39"/>
  <c r="BW46" i="39"/>
  <c r="BV46" i="39"/>
  <c r="BU46" i="39"/>
  <c r="AK46" i="39"/>
  <c r="AJ46" i="39"/>
  <c r="AI46" i="39"/>
  <c r="AH46" i="39"/>
  <c r="BX45" i="39"/>
  <c r="BW45" i="39"/>
  <c r="BV45" i="39"/>
  <c r="BU45" i="39"/>
  <c r="AK45" i="39"/>
  <c r="AJ45" i="39"/>
  <c r="AI45" i="39"/>
  <c r="AH45" i="39"/>
  <c r="BX44" i="39"/>
  <c r="BW44" i="39"/>
  <c r="BV44" i="39"/>
  <c r="BU44" i="39"/>
  <c r="AK44" i="39"/>
  <c r="AJ44" i="39"/>
  <c r="AI44" i="39"/>
  <c r="AH44" i="39"/>
  <c r="BX43" i="39"/>
  <c r="BW43" i="39"/>
  <c r="BV43" i="39"/>
  <c r="BU43" i="39"/>
  <c r="AK43" i="39"/>
  <c r="AJ43" i="39"/>
  <c r="AI43" i="39"/>
  <c r="AH43" i="39"/>
  <c r="BX42" i="39"/>
  <c r="BW42" i="39"/>
  <c r="BV42" i="39"/>
  <c r="BU42" i="39"/>
  <c r="AK42" i="39"/>
  <c r="AJ42" i="39"/>
  <c r="AI42" i="39"/>
  <c r="AH42" i="39"/>
  <c r="BX41" i="39"/>
  <c r="BW41" i="39"/>
  <c r="BV41" i="39"/>
  <c r="BU41" i="39"/>
  <c r="AK41" i="39"/>
  <c r="AJ41" i="39"/>
  <c r="AI41" i="39"/>
  <c r="AH41" i="39"/>
  <c r="BX40" i="39"/>
  <c r="BW40" i="39"/>
  <c r="BV40" i="39"/>
  <c r="BU40" i="39"/>
  <c r="AK40" i="39"/>
  <c r="AJ40" i="39"/>
  <c r="AI40" i="39"/>
  <c r="AH40" i="39"/>
  <c r="AP61" i="39" l="1"/>
  <c r="C58" i="17"/>
  <c r="AP62" i="39"/>
  <c r="BY40" i="39"/>
  <c r="BY42" i="39"/>
  <c r="BY44" i="39"/>
  <c r="BY46" i="39"/>
  <c r="BY48" i="39"/>
  <c r="BY107" i="39"/>
  <c r="BY109" i="39"/>
  <c r="BY111" i="39"/>
  <c r="BY113" i="39"/>
  <c r="BY115" i="39"/>
  <c r="BY117" i="39"/>
  <c r="BY119" i="39"/>
  <c r="BY121" i="39"/>
  <c r="BY123" i="39"/>
  <c r="BY125" i="39"/>
  <c r="AL41" i="39"/>
  <c r="AL43" i="39"/>
  <c r="AL45" i="39"/>
  <c r="AL47" i="39"/>
  <c r="AL49" i="39"/>
  <c r="AL51" i="39"/>
  <c r="AL52" i="39"/>
  <c r="AL54" i="39"/>
  <c r="AL56" i="39"/>
  <c r="AL58" i="39"/>
  <c r="AL108" i="39"/>
  <c r="AL110" i="39"/>
  <c r="AL112" i="39"/>
  <c r="AL114" i="39"/>
  <c r="AL116" i="39"/>
  <c r="AL118" i="39"/>
  <c r="AL120" i="39"/>
  <c r="AL122" i="39"/>
  <c r="AL124" i="39"/>
  <c r="AL126" i="39"/>
  <c r="BY41" i="39"/>
  <c r="BY43" i="39"/>
  <c r="BY45" i="39"/>
  <c r="BY47" i="39"/>
  <c r="BY49" i="39"/>
  <c r="BY58" i="39"/>
  <c r="BY108" i="39"/>
  <c r="BY110" i="39"/>
  <c r="BY112" i="39"/>
  <c r="BY114" i="39"/>
  <c r="BY116" i="39"/>
  <c r="BY118" i="39"/>
  <c r="BY120" i="39"/>
  <c r="BY122" i="39"/>
  <c r="BY124" i="39"/>
  <c r="BY126" i="39"/>
  <c r="AL40" i="39"/>
  <c r="AL42" i="39"/>
  <c r="AL44" i="39"/>
  <c r="AL46" i="39"/>
  <c r="AL48" i="39"/>
  <c r="AL50" i="39"/>
  <c r="AL53" i="39"/>
  <c r="AL55" i="39"/>
  <c r="AL57" i="39"/>
  <c r="AL107" i="39"/>
  <c r="AL109" i="39"/>
  <c r="AL111" i="39"/>
  <c r="AL113" i="39"/>
  <c r="AL115" i="39"/>
  <c r="AL117" i="39"/>
  <c r="AL119" i="39"/>
  <c r="AL121" i="39"/>
  <c r="AL123" i="39"/>
  <c r="AL125" i="39"/>
  <c r="BY50" i="39"/>
  <c r="BY51" i="39"/>
  <c r="BY52" i="39"/>
  <c r="BY53" i="39"/>
  <c r="BY54" i="39"/>
  <c r="BY55" i="39"/>
  <c r="BY56" i="39"/>
  <c r="BY57" i="39"/>
  <c r="C117" i="39"/>
  <c r="AP117" i="39" s="1"/>
  <c r="B118" i="39"/>
  <c r="AO118" i="39" s="1"/>
  <c r="C119" i="39"/>
  <c r="AP119" i="39" s="1"/>
  <c r="B120" i="39"/>
  <c r="AO120" i="39" s="1"/>
  <c r="C121" i="39"/>
  <c r="AP121" i="39" s="1"/>
  <c r="B122" i="39"/>
  <c r="AO122" i="39" s="1"/>
  <c r="C123" i="39"/>
  <c r="AP123" i="39" s="1"/>
  <c r="B124" i="39"/>
  <c r="AO124" i="39" s="1"/>
  <c r="C125" i="39"/>
  <c r="AP125" i="39" s="1"/>
  <c r="B126" i="39"/>
  <c r="AO126" i="39" s="1"/>
  <c r="B117" i="39"/>
  <c r="AO117" i="39" s="1"/>
  <c r="C118" i="39"/>
  <c r="AP118" i="39" s="1"/>
  <c r="B119" i="39"/>
  <c r="AO119" i="39" s="1"/>
  <c r="C120" i="39"/>
  <c r="AP120" i="39" s="1"/>
  <c r="B121" i="39"/>
  <c r="AO121" i="39" s="1"/>
  <c r="C122" i="39"/>
  <c r="AP122" i="39" s="1"/>
  <c r="B123" i="39"/>
  <c r="AO123" i="39" s="1"/>
  <c r="C124" i="39"/>
  <c r="AP124" i="39" s="1"/>
  <c r="B125" i="39"/>
  <c r="AO125" i="39" s="1"/>
  <c r="C126" i="39"/>
  <c r="AP126" i="39" s="1"/>
  <c r="C107" i="39"/>
  <c r="AP107" i="39" s="1"/>
  <c r="B108" i="39"/>
  <c r="AO108" i="39" s="1"/>
  <c r="C109" i="39"/>
  <c r="AP109" i="39" s="1"/>
  <c r="B110" i="39"/>
  <c r="AO110" i="39" s="1"/>
  <c r="C111" i="39"/>
  <c r="AP111" i="39" s="1"/>
  <c r="B112" i="39"/>
  <c r="AO112" i="39" s="1"/>
  <c r="C113" i="39"/>
  <c r="AP113" i="39" s="1"/>
  <c r="B114" i="39"/>
  <c r="AO114" i="39" s="1"/>
  <c r="C115" i="39"/>
  <c r="AP115" i="39" s="1"/>
  <c r="B116" i="39"/>
  <c r="AO116" i="39" s="1"/>
  <c r="B107" i="39"/>
  <c r="AO107" i="39" s="1"/>
  <c r="C108" i="39"/>
  <c r="AP108" i="39" s="1"/>
  <c r="B109" i="39"/>
  <c r="AO109" i="39" s="1"/>
  <c r="C110" i="39"/>
  <c r="AP110" i="39" s="1"/>
  <c r="B111" i="39"/>
  <c r="AO111" i="39" s="1"/>
  <c r="C112" i="39"/>
  <c r="AP112" i="39" s="1"/>
  <c r="B113" i="39"/>
  <c r="AO113" i="39" s="1"/>
  <c r="C114" i="39"/>
  <c r="AP114" i="39" s="1"/>
  <c r="B115" i="39"/>
  <c r="AO115" i="39" s="1"/>
  <c r="C116" i="39"/>
  <c r="AP116" i="39" s="1"/>
  <c r="AP63" i="39" l="1"/>
  <c r="B20" i="44" l="1"/>
  <c r="B19" i="44"/>
  <c r="B18" i="44"/>
  <c r="B17" i="44"/>
  <c r="B16" i="44"/>
  <c r="B15" i="44"/>
  <c r="B14" i="44"/>
  <c r="B13" i="44"/>
  <c r="B12" i="44"/>
  <c r="B11" i="44"/>
  <c r="B10" i="44"/>
  <c r="B9" i="44"/>
  <c r="B8" i="44"/>
  <c r="B7" i="44"/>
  <c r="B6" i="44"/>
  <c r="B5" i="44"/>
  <c r="B4" i="44"/>
  <c r="B3" i="44"/>
  <c r="B2" i="44"/>
  <c r="V111" i="17" l="1"/>
  <c r="AH129" i="39"/>
  <c r="BU129" i="39"/>
  <c r="G129" i="39" l="1"/>
  <c r="G61" i="39"/>
  <c r="E116" i="17" l="1"/>
  <c r="E115" i="17"/>
  <c r="AT134" i="39"/>
  <c r="AT133" i="39"/>
  <c r="G134" i="39"/>
  <c r="G133" i="39"/>
  <c r="G66" i="39"/>
  <c r="G65" i="39"/>
  <c r="A2" i="17" l="1"/>
  <c r="A2" i="39"/>
  <c r="AN2" i="39" s="1"/>
  <c r="A3" i="39" l="1"/>
  <c r="A69" i="39" s="1"/>
  <c r="AN69" i="39" s="1"/>
  <c r="V110" i="17"/>
  <c r="AL69" i="39"/>
  <c r="AK69" i="39"/>
  <c r="AJ69" i="39"/>
  <c r="AI69" i="39"/>
  <c r="AH69" i="39"/>
  <c r="AG69" i="39"/>
  <c r="AF69" i="39"/>
  <c r="AE69" i="39"/>
  <c r="AD69" i="39"/>
  <c r="AC69" i="39"/>
  <c r="AB69" i="39"/>
  <c r="AA69" i="39"/>
  <c r="Z69" i="39"/>
  <c r="Y69" i="39"/>
  <c r="X69" i="39"/>
  <c r="W69" i="39"/>
  <c r="V69" i="39"/>
  <c r="U69" i="39"/>
  <c r="T69" i="39"/>
  <c r="S69" i="39"/>
  <c r="R69" i="39"/>
  <c r="Q69" i="39"/>
  <c r="P69" i="39"/>
  <c r="O69" i="39"/>
  <c r="N69" i="39"/>
  <c r="M69" i="39"/>
  <c r="L69" i="39"/>
  <c r="K69" i="39"/>
  <c r="J69" i="39"/>
  <c r="I69" i="39"/>
  <c r="H69" i="39"/>
  <c r="G69" i="39"/>
  <c r="F69" i="39"/>
  <c r="E69" i="39"/>
  <c r="D69" i="39"/>
  <c r="C69" i="39"/>
  <c r="B69" i="39"/>
  <c r="AL68" i="39"/>
  <c r="AK68" i="39"/>
  <c r="AJ68" i="39"/>
  <c r="AI68" i="39"/>
  <c r="AH68" i="39"/>
  <c r="AG68" i="39"/>
  <c r="AF68" i="39"/>
  <c r="AE68" i="39"/>
  <c r="AD68" i="39"/>
  <c r="AC68" i="39"/>
  <c r="AB68" i="39"/>
  <c r="AA68" i="39"/>
  <c r="Z68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A68" i="39"/>
  <c r="AN68" i="39" s="1"/>
  <c r="AL67" i="39"/>
  <c r="AK67" i="39"/>
  <c r="AJ67" i="39"/>
  <c r="AI67" i="39"/>
  <c r="AH67" i="39"/>
  <c r="AG67" i="39"/>
  <c r="AF67" i="39"/>
  <c r="AE67" i="39"/>
  <c r="AD67" i="39"/>
  <c r="AC67" i="39"/>
  <c r="AB67" i="39"/>
  <c r="AA67" i="39"/>
  <c r="Z67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A67" i="39"/>
  <c r="AN67" i="39" s="1"/>
  <c r="BU133" i="39"/>
  <c r="AH133" i="39"/>
  <c r="AT128" i="39"/>
  <c r="AH128" i="39"/>
  <c r="BU128" i="39" s="1"/>
  <c r="BX106" i="39"/>
  <c r="BW106" i="39"/>
  <c r="BV106" i="39"/>
  <c r="BU106" i="39"/>
  <c r="AK106" i="39"/>
  <c r="AJ106" i="39"/>
  <c r="AI106" i="39"/>
  <c r="AH106" i="39"/>
  <c r="BX105" i="39"/>
  <c r="BW105" i="39"/>
  <c r="BV105" i="39"/>
  <c r="BU105" i="39"/>
  <c r="AK105" i="39"/>
  <c r="AJ105" i="39"/>
  <c r="AI105" i="39"/>
  <c r="AH105" i="39"/>
  <c r="BX104" i="39"/>
  <c r="BW104" i="39"/>
  <c r="BV104" i="39"/>
  <c r="BU104" i="39"/>
  <c r="AK104" i="39"/>
  <c r="AJ104" i="39"/>
  <c r="AI104" i="39"/>
  <c r="AH104" i="39"/>
  <c r="BX103" i="39"/>
  <c r="BW103" i="39"/>
  <c r="BV103" i="39"/>
  <c r="BU103" i="39"/>
  <c r="AK103" i="39"/>
  <c r="AJ103" i="39"/>
  <c r="AI103" i="39"/>
  <c r="AH103" i="39"/>
  <c r="BX102" i="39"/>
  <c r="BW102" i="39"/>
  <c r="BV102" i="39"/>
  <c r="BU102" i="39"/>
  <c r="AK102" i="39"/>
  <c r="AJ102" i="39"/>
  <c r="AI102" i="39"/>
  <c r="AH102" i="39"/>
  <c r="BX101" i="39"/>
  <c r="BW101" i="39"/>
  <c r="BV101" i="39"/>
  <c r="BU101" i="39"/>
  <c r="AK101" i="39"/>
  <c r="AJ101" i="39"/>
  <c r="AI101" i="39"/>
  <c r="AH101" i="39"/>
  <c r="BX100" i="39"/>
  <c r="BW100" i="39"/>
  <c r="BV100" i="39"/>
  <c r="BU100" i="39"/>
  <c r="AK100" i="39"/>
  <c r="AJ100" i="39"/>
  <c r="AI100" i="39"/>
  <c r="AH100" i="39"/>
  <c r="BX99" i="39"/>
  <c r="BW99" i="39"/>
  <c r="BV99" i="39"/>
  <c r="BU99" i="39"/>
  <c r="AK99" i="39"/>
  <c r="AJ99" i="39"/>
  <c r="AI99" i="39"/>
  <c r="AH99" i="39"/>
  <c r="A99" i="39"/>
  <c r="BX98" i="39"/>
  <c r="BW98" i="39"/>
  <c r="BV98" i="39"/>
  <c r="BU98" i="39"/>
  <c r="AK98" i="39"/>
  <c r="AJ98" i="39"/>
  <c r="AI98" i="39"/>
  <c r="AH98" i="39"/>
  <c r="A98" i="39"/>
  <c r="BX97" i="39"/>
  <c r="BW97" i="39"/>
  <c r="BV97" i="39"/>
  <c r="BU97" i="39"/>
  <c r="AK97" i="39"/>
  <c r="AJ97" i="39"/>
  <c r="AI97" i="39"/>
  <c r="AH97" i="39"/>
  <c r="A97" i="39"/>
  <c r="BX96" i="39"/>
  <c r="BW96" i="39"/>
  <c r="BV96" i="39"/>
  <c r="BU96" i="39"/>
  <c r="AK96" i="39"/>
  <c r="AJ96" i="39"/>
  <c r="AI96" i="39"/>
  <c r="AH96" i="39"/>
  <c r="A96" i="39"/>
  <c r="BX95" i="39"/>
  <c r="BW95" i="39"/>
  <c r="BV95" i="39"/>
  <c r="BU95" i="39"/>
  <c r="AK95" i="39"/>
  <c r="AJ95" i="39"/>
  <c r="AI95" i="39"/>
  <c r="AH95" i="39"/>
  <c r="A95" i="39"/>
  <c r="BX94" i="39"/>
  <c r="BW94" i="39"/>
  <c r="BV94" i="39"/>
  <c r="BU94" i="39"/>
  <c r="AK94" i="39"/>
  <c r="AJ94" i="39"/>
  <c r="AI94" i="39"/>
  <c r="AH94" i="39"/>
  <c r="A94" i="39"/>
  <c r="BX93" i="39"/>
  <c r="BW93" i="39"/>
  <c r="BV93" i="39"/>
  <c r="BU93" i="39"/>
  <c r="AK93" i="39"/>
  <c r="AJ93" i="39"/>
  <c r="AI93" i="39"/>
  <c r="AH93" i="39"/>
  <c r="A93" i="39"/>
  <c r="BX92" i="39"/>
  <c r="BW92" i="39"/>
  <c r="BV92" i="39"/>
  <c r="BU92" i="39"/>
  <c r="AK92" i="39"/>
  <c r="AJ92" i="39"/>
  <c r="AI92" i="39"/>
  <c r="AH92" i="39"/>
  <c r="A92" i="39"/>
  <c r="BX91" i="39"/>
  <c r="BW91" i="39"/>
  <c r="BV91" i="39"/>
  <c r="BU91" i="39"/>
  <c r="AK91" i="39"/>
  <c r="AJ91" i="39"/>
  <c r="AI91" i="39"/>
  <c r="AH91" i="39"/>
  <c r="A91" i="39"/>
  <c r="BX90" i="39"/>
  <c r="BW90" i="39"/>
  <c r="BV90" i="39"/>
  <c r="BU90" i="39"/>
  <c r="AK90" i="39"/>
  <c r="AJ90" i="39"/>
  <c r="AI90" i="39"/>
  <c r="AH90" i="39"/>
  <c r="A90" i="39"/>
  <c r="BX89" i="39"/>
  <c r="BW89" i="39"/>
  <c r="BV89" i="39"/>
  <c r="BU89" i="39"/>
  <c r="AK89" i="39"/>
  <c r="AJ89" i="39"/>
  <c r="AI89" i="39"/>
  <c r="AH89" i="39"/>
  <c r="A89" i="39"/>
  <c r="BX88" i="39"/>
  <c r="BW88" i="39"/>
  <c r="BV88" i="39"/>
  <c r="BU88" i="39"/>
  <c r="AK88" i="39"/>
  <c r="AJ88" i="39"/>
  <c r="AI88" i="39"/>
  <c r="AL88" i="39" s="1"/>
  <c r="AH88" i="39"/>
  <c r="A88" i="39"/>
  <c r="BX87" i="39"/>
  <c r="BW87" i="39"/>
  <c r="BV87" i="39"/>
  <c r="BU87" i="39"/>
  <c r="AK87" i="39"/>
  <c r="AJ87" i="39"/>
  <c r="AI87" i="39"/>
  <c r="AH87" i="39"/>
  <c r="A87" i="39"/>
  <c r="BX86" i="39"/>
  <c r="BW86" i="39"/>
  <c r="BV86" i="39"/>
  <c r="BU86" i="39"/>
  <c r="AK86" i="39"/>
  <c r="AJ86" i="39"/>
  <c r="AI86" i="39"/>
  <c r="AH86" i="39"/>
  <c r="A86" i="39"/>
  <c r="BX85" i="39"/>
  <c r="BW85" i="39"/>
  <c r="BV85" i="39"/>
  <c r="BU85" i="39"/>
  <c r="AK85" i="39"/>
  <c r="AJ85" i="39"/>
  <c r="AI85" i="39"/>
  <c r="AH85" i="39"/>
  <c r="A85" i="39"/>
  <c r="BX84" i="39"/>
  <c r="BW84" i="39"/>
  <c r="BV84" i="39"/>
  <c r="BY84" i="39" s="1"/>
  <c r="BU84" i="39"/>
  <c r="AK84" i="39"/>
  <c r="AJ84" i="39"/>
  <c r="AI84" i="39"/>
  <c r="AH84" i="39"/>
  <c r="A84" i="39"/>
  <c r="BX83" i="39"/>
  <c r="BW83" i="39"/>
  <c r="BV83" i="39"/>
  <c r="BU83" i="39"/>
  <c r="AK83" i="39"/>
  <c r="AJ83" i="39"/>
  <c r="AI83" i="39"/>
  <c r="AH83" i="39"/>
  <c r="A83" i="39"/>
  <c r="BX82" i="39"/>
  <c r="BW82" i="39"/>
  <c r="BV82" i="39"/>
  <c r="BU82" i="39"/>
  <c r="AK82" i="39"/>
  <c r="AJ82" i="39"/>
  <c r="AI82" i="39"/>
  <c r="AH82" i="39"/>
  <c r="A82" i="39"/>
  <c r="BX81" i="39"/>
  <c r="BW81" i="39"/>
  <c r="BV81" i="39"/>
  <c r="BU81" i="39"/>
  <c r="AK81" i="39"/>
  <c r="AJ81" i="39"/>
  <c r="AI81" i="39"/>
  <c r="AH81" i="39"/>
  <c r="A81" i="39"/>
  <c r="BX80" i="39"/>
  <c r="BW80" i="39"/>
  <c r="BV80" i="39"/>
  <c r="BU80" i="39"/>
  <c r="AK80" i="39"/>
  <c r="AJ80" i="39"/>
  <c r="AI80" i="39"/>
  <c r="AH80" i="39"/>
  <c r="A80" i="39"/>
  <c r="BX79" i="39"/>
  <c r="BW79" i="39"/>
  <c r="BV79" i="39"/>
  <c r="BU79" i="39"/>
  <c r="AK79" i="39"/>
  <c r="AJ79" i="39"/>
  <c r="AI79" i="39"/>
  <c r="AH79" i="39"/>
  <c r="A79" i="39"/>
  <c r="BX78" i="39"/>
  <c r="BW78" i="39"/>
  <c r="BV78" i="39"/>
  <c r="BU78" i="39"/>
  <c r="AK78" i="39"/>
  <c r="AJ78" i="39"/>
  <c r="AI78" i="39"/>
  <c r="AH78" i="39"/>
  <c r="A78" i="39"/>
  <c r="BX77" i="39"/>
  <c r="BW77" i="39"/>
  <c r="BV77" i="39"/>
  <c r="BU77" i="39"/>
  <c r="AK77" i="39"/>
  <c r="AJ77" i="39"/>
  <c r="AI77" i="39"/>
  <c r="AH77" i="39"/>
  <c r="A77" i="39"/>
  <c r="AL76" i="39"/>
  <c r="AK76" i="39"/>
  <c r="AJ76" i="39"/>
  <c r="AI76" i="39"/>
  <c r="AH76" i="39"/>
  <c r="C76" i="39"/>
  <c r="B76" i="39"/>
  <c r="A76" i="39"/>
  <c r="BK75" i="39"/>
  <c r="BA75" i="39"/>
  <c r="AQ75" i="39"/>
  <c r="AL75" i="39"/>
  <c r="AK75" i="39"/>
  <c r="AJ75" i="39"/>
  <c r="AI75" i="39"/>
  <c r="AH75" i="39"/>
  <c r="X75" i="39"/>
  <c r="N75" i="39"/>
  <c r="D75" i="39"/>
  <c r="C75" i="39"/>
  <c r="B75" i="39"/>
  <c r="A75" i="39"/>
  <c r="AL74" i="39"/>
  <c r="AK74" i="39"/>
  <c r="AJ74" i="39"/>
  <c r="AI74" i="39"/>
  <c r="AH74" i="39"/>
  <c r="AG74" i="39"/>
  <c r="AF74" i="39"/>
  <c r="AE74" i="39"/>
  <c r="AD74" i="39"/>
  <c r="AC74" i="39"/>
  <c r="AB74" i="39"/>
  <c r="AA74" i="39"/>
  <c r="Z74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A74" i="39"/>
  <c r="BV72" i="39"/>
  <c r="C72" i="39"/>
  <c r="AP72" i="39" s="1"/>
  <c r="AT129" i="39"/>
  <c r="BX39" i="39"/>
  <c r="BW39" i="39"/>
  <c r="BV39" i="39"/>
  <c r="BU39" i="39"/>
  <c r="AK39" i="39"/>
  <c r="AJ39" i="39"/>
  <c r="AI39" i="39"/>
  <c r="AH39" i="39"/>
  <c r="BX38" i="39"/>
  <c r="BW38" i="39"/>
  <c r="BV38" i="39"/>
  <c r="BU38" i="39"/>
  <c r="AK38" i="39"/>
  <c r="AJ38" i="39"/>
  <c r="AI38" i="39"/>
  <c r="AH38" i="39"/>
  <c r="BX37" i="39"/>
  <c r="BW37" i="39"/>
  <c r="BV37" i="39"/>
  <c r="BU37" i="39"/>
  <c r="AK37" i="39"/>
  <c r="AJ37" i="39"/>
  <c r="AI37" i="39"/>
  <c r="AH37" i="39"/>
  <c r="BX36" i="39"/>
  <c r="BW36" i="39"/>
  <c r="BV36" i="39"/>
  <c r="BU36" i="39"/>
  <c r="AK36" i="39"/>
  <c r="AJ36" i="39"/>
  <c r="AI36" i="39"/>
  <c r="AH36" i="39"/>
  <c r="BX35" i="39"/>
  <c r="BW35" i="39"/>
  <c r="BV35" i="39"/>
  <c r="BU35" i="39"/>
  <c r="AK35" i="39"/>
  <c r="AJ35" i="39"/>
  <c r="AI35" i="39"/>
  <c r="AH35" i="39"/>
  <c r="BX34" i="39"/>
  <c r="BW34" i="39"/>
  <c r="BV34" i="39"/>
  <c r="BU34" i="39"/>
  <c r="AK34" i="39"/>
  <c r="AJ34" i="39"/>
  <c r="AI34" i="39"/>
  <c r="AH34" i="39"/>
  <c r="BX33" i="39"/>
  <c r="BW33" i="39"/>
  <c r="BV33" i="39"/>
  <c r="BU33" i="39"/>
  <c r="AK33" i="39"/>
  <c r="AJ33" i="39"/>
  <c r="AI33" i="39"/>
  <c r="AH33" i="39"/>
  <c r="BX32" i="39"/>
  <c r="BW32" i="39"/>
  <c r="BV32" i="39"/>
  <c r="BU32" i="39"/>
  <c r="AK32" i="39"/>
  <c r="AJ32" i="39"/>
  <c r="AI32" i="39"/>
  <c r="AH32" i="39"/>
  <c r="BX31" i="39"/>
  <c r="BW31" i="39"/>
  <c r="BV31" i="39"/>
  <c r="BU31" i="39"/>
  <c r="AK31" i="39"/>
  <c r="AJ31" i="39"/>
  <c r="AI31" i="39"/>
  <c r="AH31" i="39"/>
  <c r="BX30" i="39"/>
  <c r="BW30" i="39"/>
  <c r="BV30" i="39"/>
  <c r="BU30" i="39"/>
  <c r="AK30" i="39"/>
  <c r="AJ30" i="39"/>
  <c r="AI30" i="39"/>
  <c r="AH30" i="39"/>
  <c r="BX29" i="39"/>
  <c r="BW29" i="39"/>
  <c r="BV29" i="39"/>
  <c r="BU29" i="39"/>
  <c r="AK29" i="39"/>
  <c r="AJ29" i="39"/>
  <c r="AI29" i="39"/>
  <c r="AH29" i="39"/>
  <c r="BX28" i="39"/>
  <c r="BW28" i="39"/>
  <c r="BV28" i="39"/>
  <c r="BU28" i="39"/>
  <c r="AK28" i="39"/>
  <c r="AJ28" i="39"/>
  <c r="AI28" i="39"/>
  <c r="AH28" i="39"/>
  <c r="BX27" i="39"/>
  <c r="BW27" i="39"/>
  <c r="BV27" i="39"/>
  <c r="BU27" i="39"/>
  <c r="AK27" i="39"/>
  <c r="AJ27" i="39"/>
  <c r="AI27" i="39"/>
  <c r="AH27" i="39"/>
  <c r="BX26" i="39"/>
  <c r="BW26" i="39"/>
  <c r="BV26" i="39"/>
  <c r="BU26" i="39"/>
  <c r="AK26" i="39"/>
  <c r="AJ26" i="39"/>
  <c r="AI26" i="39"/>
  <c r="AH26" i="39"/>
  <c r="BX25" i="39"/>
  <c r="BW25" i="39"/>
  <c r="BV25" i="39"/>
  <c r="BU25" i="39"/>
  <c r="AK25" i="39"/>
  <c r="AJ25" i="39"/>
  <c r="AI25" i="39"/>
  <c r="AH25" i="39"/>
  <c r="BX24" i="39"/>
  <c r="BW24" i="39"/>
  <c r="BV24" i="39"/>
  <c r="BU24" i="39"/>
  <c r="AK24" i="39"/>
  <c r="AJ24" i="39"/>
  <c r="AI24" i="39"/>
  <c r="AH24" i="39"/>
  <c r="BX23" i="39"/>
  <c r="BW23" i="39"/>
  <c r="BV23" i="39"/>
  <c r="BU23" i="39"/>
  <c r="AK23" i="39"/>
  <c r="AJ23" i="39"/>
  <c r="AI23" i="39"/>
  <c r="AH23" i="39"/>
  <c r="C89" i="39"/>
  <c r="AP89" i="39" s="1"/>
  <c r="B89" i="39"/>
  <c r="AO89" i="39" s="1"/>
  <c r="BX22" i="39"/>
  <c r="BW22" i="39"/>
  <c r="BV22" i="39"/>
  <c r="BU22" i="39"/>
  <c r="AK22" i="39"/>
  <c r="AJ22" i="39"/>
  <c r="AI22" i="39"/>
  <c r="AH22" i="39"/>
  <c r="C88" i="39"/>
  <c r="AP88" i="39" s="1"/>
  <c r="B88" i="39"/>
  <c r="AO88" i="39" s="1"/>
  <c r="BX21" i="39"/>
  <c r="BW21" i="39"/>
  <c r="BV21" i="39"/>
  <c r="BU21" i="39"/>
  <c r="AK21" i="39"/>
  <c r="AJ21" i="39"/>
  <c r="AI21" i="39"/>
  <c r="AH21" i="39"/>
  <c r="C87" i="39"/>
  <c r="AP87" i="39" s="1"/>
  <c r="B87" i="39"/>
  <c r="AO87" i="39" s="1"/>
  <c r="BX20" i="39"/>
  <c r="BW20" i="39"/>
  <c r="BV20" i="39"/>
  <c r="BU20" i="39"/>
  <c r="AK20" i="39"/>
  <c r="AJ20" i="39"/>
  <c r="AI20" i="39"/>
  <c r="AH20" i="39"/>
  <c r="BX19" i="39"/>
  <c r="BW19" i="39"/>
  <c r="BV19" i="39"/>
  <c r="BU19" i="39"/>
  <c r="AK19" i="39"/>
  <c r="AJ19" i="39"/>
  <c r="AI19" i="39"/>
  <c r="AH19" i="39"/>
  <c r="C85" i="39"/>
  <c r="AP85" i="39" s="1"/>
  <c r="B85" i="39"/>
  <c r="AO85" i="39" s="1"/>
  <c r="BX18" i="39"/>
  <c r="BW18" i="39"/>
  <c r="BV18" i="39"/>
  <c r="BU18" i="39"/>
  <c r="AK18" i="39"/>
  <c r="AJ18" i="39"/>
  <c r="AI18" i="39"/>
  <c r="AH18" i="39"/>
  <c r="C84" i="39"/>
  <c r="AP84" i="39" s="1"/>
  <c r="B84" i="39"/>
  <c r="AO84" i="39" s="1"/>
  <c r="BX17" i="39"/>
  <c r="BW17" i="39"/>
  <c r="BV17" i="39"/>
  <c r="BU17" i="39"/>
  <c r="AK17" i="39"/>
  <c r="AJ17" i="39"/>
  <c r="AI17" i="39"/>
  <c r="AH17" i="39"/>
  <c r="C83" i="39"/>
  <c r="AP83" i="39" s="1"/>
  <c r="B83" i="39"/>
  <c r="AO83" i="39" s="1"/>
  <c r="BX16" i="39"/>
  <c r="BW16" i="39"/>
  <c r="BV16" i="39"/>
  <c r="BU16" i="39"/>
  <c r="AK16" i="39"/>
  <c r="AJ16" i="39"/>
  <c r="AI16" i="39"/>
  <c r="AH16" i="39"/>
  <c r="C82" i="39"/>
  <c r="AP82" i="39" s="1"/>
  <c r="B82" i="39"/>
  <c r="AO82" i="39" s="1"/>
  <c r="BX15" i="39"/>
  <c r="BW15" i="39"/>
  <c r="BV15" i="39"/>
  <c r="BU15" i="39"/>
  <c r="AK15" i="39"/>
  <c r="AJ15" i="39"/>
  <c r="AI15" i="39"/>
  <c r="AH15" i="39"/>
  <c r="C81" i="39"/>
  <c r="AP81" i="39" s="1"/>
  <c r="B81" i="39"/>
  <c r="AO81" i="39" s="1"/>
  <c r="BX14" i="39"/>
  <c r="BW14" i="39"/>
  <c r="BV14" i="39"/>
  <c r="BU14" i="39"/>
  <c r="AK14" i="39"/>
  <c r="AJ14" i="39"/>
  <c r="AI14" i="39"/>
  <c r="AH14" i="39"/>
  <c r="C80" i="39"/>
  <c r="AP80" i="39" s="1"/>
  <c r="B80" i="39"/>
  <c r="AO80" i="39" s="1"/>
  <c r="BW13" i="39"/>
  <c r="BV13" i="39"/>
  <c r="BU13" i="39"/>
  <c r="AK13" i="39"/>
  <c r="AJ13" i="39"/>
  <c r="AI13" i="39"/>
  <c r="AH13" i="39"/>
  <c r="C79" i="39"/>
  <c r="AP79" i="39" s="1"/>
  <c r="B79" i="39"/>
  <c r="AO79" i="39" s="1"/>
  <c r="BX12" i="39"/>
  <c r="BW12" i="39"/>
  <c r="BV12" i="39"/>
  <c r="BU12" i="39"/>
  <c r="AK12" i="39"/>
  <c r="AJ12" i="39"/>
  <c r="AI12" i="39"/>
  <c r="AH12" i="39"/>
  <c r="BX11" i="39"/>
  <c r="BW11" i="39"/>
  <c r="BV11" i="39"/>
  <c r="BU11" i="39"/>
  <c r="AK11" i="39"/>
  <c r="AJ11" i="39"/>
  <c r="AI11" i="39"/>
  <c r="AH11" i="39"/>
  <c r="B77" i="39"/>
  <c r="AO77" i="39" s="1"/>
  <c r="AN1" i="39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B113" i="17"/>
  <c r="B112" i="17"/>
  <c r="E111" i="17"/>
  <c r="B111" i="17"/>
  <c r="E110" i="17"/>
  <c r="B110" i="17"/>
  <c r="V108" i="17"/>
  <c r="V107" i="17"/>
  <c r="A107" i="17"/>
  <c r="V106" i="17"/>
  <c r="A106" i="17"/>
  <c r="V105" i="17"/>
  <c r="A105" i="17"/>
  <c r="V104" i="17"/>
  <c r="A104" i="17"/>
  <c r="V103" i="17"/>
  <c r="A103" i="17"/>
  <c r="V102" i="17"/>
  <c r="A102" i="17"/>
  <c r="V101" i="17"/>
  <c r="A101" i="17"/>
  <c r="V100" i="17"/>
  <c r="A100" i="17"/>
  <c r="V99" i="17"/>
  <c r="A99" i="17"/>
  <c r="V98" i="17"/>
  <c r="A98" i="17"/>
  <c r="V97" i="17"/>
  <c r="A97" i="17"/>
  <c r="V96" i="17"/>
  <c r="A96" i="17"/>
  <c r="V95" i="17"/>
  <c r="A95" i="17"/>
  <c r="V94" i="17"/>
  <c r="A94" i="17"/>
  <c r="V93" i="17"/>
  <c r="A93" i="17"/>
  <c r="V92" i="17"/>
  <c r="A92" i="17"/>
  <c r="V91" i="17"/>
  <c r="A91" i="17"/>
  <c r="B91" i="17" s="1"/>
  <c r="V90" i="17"/>
  <c r="A90" i="17"/>
  <c r="C90" i="17" s="1"/>
  <c r="V89" i="17"/>
  <c r="A89" i="17"/>
  <c r="C89" i="17" s="1"/>
  <c r="V88" i="17"/>
  <c r="A88" i="17"/>
  <c r="B88" i="17" s="1"/>
  <c r="V87" i="17"/>
  <c r="A87" i="17"/>
  <c r="B87" i="17" s="1"/>
  <c r="V86" i="17"/>
  <c r="A86" i="17"/>
  <c r="B86" i="17" s="1"/>
  <c r="V85" i="17"/>
  <c r="A85" i="17"/>
  <c r="C85" i="17" s="1"/>
  <c r="V84" i="17"/>
  <c r="A84" i="17"/>
  <c r="V83" i="17"/>
  <c r="A83" i="17"/>
  <c r="B83" i="17" s="1"/>
  <c r="V82" i="17"/>
  <c r="A82" i="17"/>
  <c r="C82" i="17" s="1"/>
  <c r="V81" i="17"/>
  <c r="A81" i="17"/>
  <c r="C81" i="17" s="1"/>
  <c r="V80" i="17"/>
  <c r="A80" i="17"/>
  <c r="C80" i="17" s="1"/>
  <c r="V79" i="17"/>
  <c r="A79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W77" i="17"/>
  <c r="V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W76" i="17"/>
  <c r="V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W74" i="17"/>
  <c r="V74" i="17"/>
  <c r="B74" i="17"/>
  <c r="W73" i="17"/>
  <c r="V73" i="17"/>
  <c r="B73" i="17"/>
  <c r="W72" i="17"/>
  <c r="V72" i="17"/>
  <c r="C72" i="17"/>
  <c r="B72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L78" i="39" l="1"/>
  <c r="BY100" i="39"/>
  <c r="BY78" i="39"/>
  <c r="AL82" i="39"/>
  <c r="BY94" i="39"/>
  <c r="BY104" i="39"/>
  <c r="BY80" i="39"/>
  <c r="BY96" i="39"/>
  <c r="BY88" i="39"/>
  <c r="AL94" i="39"/>
  <c r="BY90" i="39"/>
  <c r="AL96" i="39"/>
  <c r="BY92" i="39"/>
  <c r="AL98" i="39"/>
  <c r="BY86" i="39"/>
  <c r="AL90" i="39"/>
  <c r="AL80" i="39"/>
  <c r="B80" i="17"/>
  <c r="BY82" i="39"/>
  <c r="AL86" i="39"/>
  <c r="BY98" i="39"/>
  <c r="AL11" i="39"/>
  <c r="AL15" i="39"/>
  <c r="AL16" i="39"/>
  <c r="AL23" i="39"/>
  <c r="AL27" i="39"/>
  <c r="AL28" i="39"/>
  <c r="BY28" i="39"/>
  <c r="AL29" i="39"/>
  <c r="BY29" i="39"/>
  <c r="AL30" i="39"/>
  <c r="AL34" i="39"/>
  <c r="BY34" i="39"/>
  <c r="AL35" i="39"/>
  <c r="BY35" i="39"/>
  <c r="AL36" i="39"/>
  <c r="BY36" i="39"/>
  <c r="AL38" i="39"/>
  <c r="BY38" i="39"/>
  <c r="BY39" i="39"/>
  <c r="AL77" i="39"/>
  <c r="AL81" i="39"/>
  <c r="AL85" i="39"/>
  <c r="AL89" i="39"/>
  <c r="AL93" i="39"/>
  <c r="AL97" i="39"/>
  <c r="AL101" i="39"/>
  <c r="AL105" i="39"/>
  <c r="BY77" i="39"/>
  <c r="AL79" i="39"/>
  <c r="BY79" i="39"/>
  <c r="BY81" i="39"/>
  <c r="AL83" i="39"/>
  <c r="BY83" i="39"/>
  <c r="BY85" i="39"/>
  <c r="AL87" i="39"/>
  <c r="BY87" i="39"/>
  <c r="BY89" i="39"/>
  <c r="AL91" i="39"/>
  <c r="BY91" i="39"/>
  <c r="BY93" i="39"/>
  <c r="AL95" i="39"/>
  <c r="BY95" i="39"/>
  <c r="BY97" i="39"/>
  <c r="AL99" i="39"/>
  <c r="BY99" i="39"/>
  <c r="AL100" i="39"/>
  <c r="BY101" i="39"/>
  <c r="AL102" i="39"/>
  <c r="BY102" i="39"/>
  <c r="AL103" i="39"/>
  <c r="BY103" i="39"/>
  <c r="AL104" i="39"/>
  <c r="BY105" i="39"/>
  <c r="AL106" i="39"/>
  <c r="BY106" i="39"/>
  <c r="AL84" i="39"/>
  <c r="AL92" i="39"/>
  <c r="BY26" i="39"/>
  <c r="BY27" i="39"/>
  <c r="C83" i="17"/>
  <c r="C88" i="17"/>
  <c r="AL33" i="39"/>
  <c r="AL20" i="39"/>
  <c r="AL22" i="39"/>
  <c r="BY30" i="39"/>
  <c r="AL31" i="39"/>
  <c r="BY31" i="39"/>
  <c r="AL32" i="39"/>
  <c r="BY32" i="39"/>
  <c r="BY33" i="39"/>
  <c r="AL37" i="39"/>
  <c r="AL39" i="39"/>
  <c r="AL26" i="39"/>
  <c r="BY37" i="39"/>
  <c r="BY20" i="39"/>
  <c r="BY19" i="39"/>
  <c r="BY25" i="39"/>
  <c r="BY24" i="39"/>
  <c r="BY18" i="39"/>
  <c r="BY22" i="39"/>
  <c r="BY14" i="39"/>
  <c r="BY13" i="39"/>
  <c r="BY16" i="39"/>
  <c r="BY17" i="39"/>
  <c r="BY11" i="39"/>
  <c r="BY21" i="39"/>
  <c r="BY12" i="39"/>
  <c r="BY15" i="39"/>
  <c r="BY23" i="39"/>
  <c r="AL25" i="39"/>
  <c r="AL14" i="39"/>
  <c r="AL21" i="39"/>
  <c r="AL12" i="39"/>
  <c r="AL19" i="39"/>
  <c r="AL13" i="39"/>
  <c r="AL24" i="39"/>
  <c r="AL17" i="39"/>
  <c r="AL18" i="39"/>
  <c r="B84" i="17"/>
  <c r="C84" i="17"/>
  <c r="T78" i="17"/>
  <c r="B79" i="17"/>
  <c r="C79" i="17"/>
  <c r="C91" i="17"/>
  <c r="C87" i="17"/>
  <c r="B78" i="39"/>
  <c r="AO78" i="39" s="1"/>
  <c r="B86" i="39"/>
  <c r="AO86" i="39" s="1"/>
  <c r="C78" i="39"/>
  <c r="AP78" i="39" s="1"/>
  <c r="C86" i="39"/>
  <c r="AP86" i="39" s="1"/>
  <c r="C77" i="39"/>
  <c r="C86" i="17"/>
  <c r="B85" i="17"/>
  <c r="B82" i="17"/>
  <c r="B90" i="17"/>
  <c r="B81" i="17"/>
  <c r="B89" i="17"/>
  <c r="V115" i="17"/>
  <c r="V116" i="17" l="1"/>
  <c r="BU134" i="39"/>
  <c r="AH134" i="39"/>
  <c r="AP77" i="39"/>
  <c r="A70" i="17" l="1"/>
  <c r="N11" i="17"/>
  <c r="C73" i="17" l="1"/>
  <c r="C92" i="17" l="1"/>
  <c r="B92" i="17"/>
  <c r="C100" i="17"/>
  <c r="C104" i="17"/>
  <c r="C95" i="17"/>
  <c r="C93" i="17"/>
  <c r="B100" i="17"/>
  <c r="B94" i="17"/>
  <c r="B101" i="17"/>
  <c r="B105" i="17"/>
  <c r="B93" i="17"/>
  <c r="C99" i="17"/>
  <c r="C107" i="17"/>
  <c r="C98" i="17"/>
  <c r="C103" i="17"/>
  <c r="C94" i="17"/>
  <c r="C106" i="17"/>
  <c r="C105" i="17"/>
  <c r="C96" i="17"/>
  <c r="B99" i="17"/>
  <c r="B98" i="17"/>
  <c r="B96" i="17"/>
  <c r="C102" i="17"/>
  <c r="B104" i="17"/>
  <c r="B95" i="17"/>
  <c r="C101" i="17"/>
  <c r="B102" i="17"/>
  <c r="B107" i="17"/>
  <c r="B103" i="17"/>
  <c r="B97" i="17"/>
  <c r="C97" i="17"/>
  <c r="B106" i="17"/>
  <c r="S11" i="17"/>
  <c r="B90" i="39" l="1"/>
  <c r="AO90" i="39" s="1"/>
  <c r="C90" i="39"/>
  <c r="AP90" i="39" s="1"/>
  <c r="C91" i="39"/>
  <c r="C104" i="39"/>
  <c r="AP104" i="39" s="1"/>
  <c r="B102" i="39"/>
  <c r="AO102" i="39" s="1"/>
  <c r="C94" i="39"/>
  <c r="AP94" i="39" s="1"/>
  <c r="B105" i="39"/>
  <c r="AO105" i="39" s="1"/>
  <c r="B96" i="39"/>
  <c r="AO96" i="39" s="1"/>
  <c r="C97" i="39"/>
  <c r="AP97" i="39" s="1"/>
  <c r="C92" i="39"/>
  <c r="AP92" i="39" s="1"/>
  <c r="B103" i="39"/>
  <c r="AO103" i="39" s="1"/>
  <c r="C98" i="39"/>
  <c r="AP98" i="39" s="1"/>
  <c r="B91" i="39"/>
  <c r="AO91" i="39" s="1"/>
  <c r="C100" i="39"/>
  <c r="AP100" i="39" s="1"/>
  <c r="C95" i="39"/>
  <c r="AP95" i="39" s="1"/>
  <c r="C101" i="39"/>
  <c r="AP101" i="39" s="1"/>
  <c r="B94" i="39"/>
  <c r="AO94" i="39" s="1"/>
  <c r="C103" i="39"/>
  <c r="AP103" i="39" s="1"/>
  <c r="B92" i="39"/>
  <c r="AO92" i="39" s="1"/>
  <c r="B101" i="39"/>
  <c r="AO101" i="39" s="1"/>
  <c r="C99" i="39"/>
  <c r="AP99" i="39" s="1"/>
  <c r="B99" i="39"/>
  <c r="AO99" i="39" s="1"/>
  <c r="B97" i="39"/>
  <c r="AO97" i="39" s="1"/>
  <c r="B106" i="39"/>
  <c r="AO106" i="39" s="1"/>
  <c r="B95" i="39"/>
  <c r="AO95" i="39" s="1"/>
  <c r="B104" i="39"/>
  <c r="AO104" i="39" s="1"/>
  <c r="C93" i="39"/>
  <c r="AP93" i="39" s="1"/>
  <c r="C102" i="39"/>
  <c r="AP102" i="39" s="1"/>
  <c r="B100" i="39"/>
  <c r="AO100" i="39" s="1"/>
  <c r="C106" i="39"/>
  <c r="AP106" i="39" s="1"/>
  <c r="B98" i="39"/>
  <c r="AO98" i="39" s="1"/>
  <c r="B93" i="39"/>
  <c r="AO93" i="39" s="1"/>
  <c r="C96" i="39"/>
  <c r="AP96" i="39" s="1"/>
  <c r="C105" i="39"/>
  <c r="AP105" i="39" s="1"/>
  <c r="C7" i="31"/>
  <c r="D41" i="31"/>
  <c r="B41" i="31"/>
  <c r="D40" i="31"/>
  <c r="B40" i="31"/>
  <c r="C5" i="31"/>
  <c r="C63" i="39" l="1"/>
  <c r="AP91" i="39"/>
  <c r="C130" i="39"/>
  <c r="C129" i="39"/>
  <c r="D9" i="23"/>
  <c r="C9" i="23"/>
  <c r="A108" i="17" l="1"/>
  <c r="C131" i="39"/>
  <c r="AP130" i="39"/>
  <c r="AP129" i="39"/>
  <c r="C108" i="17" l="1"/>
  <c r="B108" i="17"/>
  <c r="AP131" i="39"/>
  <c r="C101" i="25"/>
  <c r="C6" i="25"/>
  <c r="E94" i="26" l="1"/>
  <c r="B94" i="26"/>
  <c r="B93" i="26"/>
  <c r="E93" i="26"/>
  <c r="D62" i="24"/>
  <c r="F184" i="25" l="1"/>
  <c r="K123" i="27" l="1"/>
  <c r="J123" i="27"/>
  <c r="I123" i="27"/>
  <c r="H123" i="27"/>
  <c r="G123" i="27"/>
  <c r="F123" i="27"/>
  <c r="E123" i="27"/>
  <c r="D123" i="27"/>
  <c r="K121" i="27"/>
  <c r="J121" i="27"/>
  <c r="I121" i="27"/>
  <c r="H121" i="27"/>
  <c r="G121" i="27"/>
  <c r="F121" i="27"/>
  <c r="E121" i="27"/>
  <c r="D121" i="27"/>
  <c r="K119" i="27"/>
  <c r="J119" i="27"/>
  <c r="I119" i="27"/>
  <c r="H119" i="27"/>
  <c r="G119" i="27"/>
  <c r="F119" i="27"/>
  <c r="E119" i="27"/>
  <c r="D119" i="27"/>
  <c r="K116" i="27"/>
  <c r="J116" i="27"/>
  <c r="I116" i="27"/>
  <c r="H116" i="27"/>
  <c r="G116" i="27"/>
  <c r="F116" i="27"/>
  <c r="E116" i="27"/>
  <c r="D116" i="27"/>
  <c r="K114" i="27"/>
  <c r="J114" i="27"/>
  <c r="I114" i="27"/>
  <c r="H114" i="27"/>
  <c r="G114" i="27"/>
  <c r="F114" i="27"/>
  <c r="E114" i="27"/>
  <c r="D114" i="27"/>
  <c r="K112" i="27"/>
  <c r="J112" i="27"/>
  <c r="I112" i="27"/>
  <c r="H112" i="27"/>
  <c r="G112" i="27"/>
  <c r="F112" i="27"/>
  <c r="E112" i="27"/>
  <c r="D112" i="27"/>
  <c r="K110" i="27"/>
  <c r="J110" i="27"/>
  <c r="I110" i="27"/>
  <c r="H110" i="27"/>
  <c r="G110" i="27"/>
  <c r="F110" i="27"/>
  <c r="E110" i="27"/>
  <c r="D110" i="27"/>
  <c r="C99" i="27"/>
  <c r="F90" i="27"/>
  <c r="F185" i="27" s="1"/>
  <c r="B90" i="27"/>
  <c r="B185" i="27" s="1"/>
  <c r="F89" i="27"/>
  <c r="F184" i="27" s="1"/>
  <c r="B89" i="27"/>
  <c r="B184" i="27" s="1"/>
  <c r="K79" i="27"/>
  <c r="K71" i="27"/>
  <c r="K63" i="27"/>
  <c r="K55" i="27"/>
  <c r="K46" i="27"/>
  <c r="K38" i="27"/>
  <c r="K30" i="27"/>
  <c r="K28" i="27"/>
  <c r="I28" i="27"/>
  <c r="H28" i="27"/>
  <c r="G28" i="27"/>
  <c r="F28" i="27"/>
  <c r="E28" i="27"/>
  <c r="D28" i="27"/>
  <c r="C28" i="27"/>
  <c r="K26" i="27"/>
  <c r="I26" i="27"/>
  <c r="H26" i="27"/>
  <c r="G26" i="27"/>
  <c r="F26" i="27"/>
  <c r="E26" i="27"/>
  <c r="D26" i="27"/>
  <c r="C26" i="27"/>
  <c r="K24" i="27"/>
  <c r="I24" i="27"/>
  <c r="H24" i="27"/>
  <c r="G24" i="27"/>
  <c r="F24" i="27"/>
  <c r="E24" i="27"/>
  <c r="D24" i="27"/>
  <c r="C24" i="27"/>
  <c r="K21" i="27"/>
  <c r="J21" i="27"/>
  <c r="I21" i="27"/>
  <c r="H21" i="27"/>
  <c r="G21" i="27"/>
  <c r="F21" i="27"/>
  <c r="E21" i="27"/>
  <c r="D21" i="27"/>
  <c r="C21" i="27"/>
  <c r="K19" i="27"/>
  <c r="J19" i="27"/>
  <c r="I19" i="27"/>
  <c r="H19" i="27"/>
  <c r="G19" i="27"/>
  <c r="F19" i="27"/>
  <c r="E19" i="27"/>
  <c r="D19" i="27"/>
  <c r="C19" i="27"/>
  <c r="K17" i="27"/>
  <c r="J17" i="27"/>
  <c r="I17" i="27"/>
  <c r="H17" i="27"/>
  <c r="G17" i="27"/>
  <c r="F17" i="27"/>
  <c r="E17" i="27"/>
  <c r="D17" i="27"/>
  <c r="C17" i="27"/>
  <c r="K15" i="27"/>
  <c r="J15" i="27"/>
  <c r="I15" i="27"/>
  <c r="H15" i="27"/>
  <c r="G15" i="27"/>
  <c r="F15" i="27"/>
  <c r="E15" i="27"/>
  <c r="D15" i="27"/>
  <c r="C15" i="27"/>
  <c r="C6" i="27"/>
  <c r="C101" i="27" s="1"/>
  <c r="C5" i="27"/>
  <c r="C100" i="27" s="1"/>
  <c r="Q30" i="23"/>
  <c r="D5" i="26"/>
  <c r="D6" i="26"/>
  <c r="B49" i="26" s="1"/>
  <c r="A49" i="26" s="1"/>
  <c r="B11" i="26"/>
  <c r="B12" i="26"/>
  <c r="B13" i="26"/>
  <c r="B14" i="26"/>
  <c r="B21" i="26"/>
  <c r="A21" i="26" s="1"/>
  <c r="B22" i="26"/>
  <c r="A22" i="26" s="1"/>
  <c r="B23" i="26"/>
  <c r="A23" i="26" s="1"/>
  <c r="B24" i="26"/>
  <c r="A24" i="26" s="1"/>
  <c r="B27" i="26"/>
  <c r="A27" i="26" s="1"/>
  <c r="B28" i="26"/>
  <c r="A28" i="26" s="1"/>
  <c r="B29" i="26"/>
  <c r="A29" i="26" s="1"/>
  <c r="B30" i="26"/>
  <c r="A30" i="26" s="1"/>
  <c r="B33" i="26"/>
  <c r="A33" i="26" s="1"/>
  <c r="B34" i="26"/>
  <c r="A34" i="26" s="1"/>
  <c r="B35" i="26"/>
  <c r="A35" i="26" s="1"/>
  <c r="B36" i="26"/>
  <c r="A36" i="26" s="1"/>
  <c r="B37" i="26"/>
  <c r="A37" i="26" s="1"/>
  <c r="B38" i="26"/>
  <c r="A38" i="26" s="1"/>
  <c r="B39" i="26"/>
  <c r="A39" i="26" s="1"/>
  <c r="B40" i="26"/>
  <c r="A40" i="26" s="1"/>
  <c r="A43" i="26"/>
  <c r="A44" i="26"/>
  <c r="A45" i="26"/>
  <c r="A46" i="26"/>
  <c r="A50" i="26"/>
  <c r="A51" i="26"/>
  <c r="A52" i="26"/>
  <c r="A56" i="26"/>
  <c r="A57" i="26"/>
  <c r="A58" i="26"/>
  <c r="A62" i="26"/>
  <c r="A63" i="26"/>
  <c r="A64" i="26"/>
  <c r="A65" i="26"/>
  <c r="A66" i="26"/>
  <c r="A67" i="26"/>
  <c r="A68" i="26"/>
  <c r="A70" i="26"/>
  <c r="A72" i="26"/>
  <c r="A73" i="26"/>
  <c r="A74" i="26"/>
  <c r="A75" i="26"/>
  <c r="A76" i="26"/>
  <c r="A77" i="26"/>
  <c r="A79" i="26"/>
  <c r="A80" i="26"/>
  <c r="A81" i="26"/>
  <c r="A82" i="26"/>
  <c r="A83" i="26"/>
  <c r="A84" i="26"/>
  <c r="A85" i="26"/>
  <c r="B71" i="26" l="1"/>
  <c r="A71" i="26" s="1"/>
  <c r="Y28" i="15"/>
  <c r="C45" i="14"/>
  <c r="D28" i="24"/>
  <c r="F89" i="25"/>
  <c r="F90" i="25"/>
  <c r="F185" i="25" s="1"/>
  <c r="B90" i="25"/>
  <c r="B185" i="25" s="1"/>
  <c r="B89" i="25"/>
  <c r="B184" i="25" s="1"/>
  <c r="C5" i="25"/>
  <c r="C99" i="25"/>
  <c r="C15" i="25"/>
  <c r="D15" i="25"/>
  <c r="E15" i="25"/>
  <c r="F15" i="25"/>
  <c r="G15" i="25"/>
  <c r="H15" i="25"/>
  <c r="I15" i="25"/>
  <c r="J15" i="25"/>
  <c r="K15" i="25"/>
  <c r="C17" i="25"/>
  <c r="D17" i="25"/>
  <c r="E17" i="25"/>
  <c r="F17" i="25"/>
  <c r="G17" i="25"/>
  <c r="H17" i="25"/>
  <c r="I17" i="25"/>
  <c r="J17" i="25"/>
  <c r="K17" i="25"/>
  <c r="C19" i="25"/>
  <c r="D19" i="25"/>
  <c r="E19" i="25"/>
  <c r="F19" i="25"/>
  <c r="G19" i="25"/>
  <c r="H19" i="25"/>
  <c r="I19" i="25"/>
  <c r="J19" i="25"/>
  <c r="K19" i="25"/>
  <c r="C21" i="25"/>
  <c r="D21" i="25"/>
  <c r="E21" i="25"/>
  <c r="F21" i="25"/>
  <c r="G21" i="25"/>
  <c r="H21" i="25"/>
  <c r="I21" i="25"/>
  <c r="J21" i="25"/>
  <c r="K21" i="25"/>
  <c r="C24" i="25"/>
  <c r="D24" i="25"/>
  <c r="E24" i="25"/>
  <c r="F24" i="25"/>
  <c r="G24" i="25"/>
  <c r="H24" i="25"/>
  <c r="I24" i="25"/>
  <c r="K24" i="25"/>
  <c r="C26" i="25"/>
  <c r="D26" i="25"/>
  <c r="E26" i="25"/>
  <c r="F26" i="25"/>
  <c r="G26" i="25"/>
  <c r="H26" i="25"/>
  <c r="I26" i="25"/>
  <c r="K26" i="25"/>
  <c r="C28" i="25"/>
  <c r="D28" i="25"/>
  <c r="E28" i="25"/>
  <c r="F28" i="25"/>
  <c r="G28" i="25"/>
  <c r="H28" i="25"/>
  <c r="I28" i="25"/>
  <c r="K28" i="25"/>
  <c r="K79" i="25"/>
  <c r="D110" i="25"/>
  <c r="E110" i="25"/>
  <c r="F110" i="25"/>
  <c r="G110" i="25"/>
  <c r="H110" i="25"/>
  <c r="I110" i="25"/>
  <c r="J110" i="25"/>
  <c r="K110" i="25"/>
  <c r="D112" i="25"/>
  <c r="E112" i="25"/>
  <c r="F112" i="25"/>
  <c r="G112" i="25"/>
  <c r="H112" i="25"/>
  <c r="I112" i="25"/>
  <c r="J112" i="25"/>
  <c r="K112" i="25"/>
  <c r="D114" i="25"/>
  <c r="E114" i="25"/>
  <c r="F114" i="25"/>
  <c r="G114" i="25"/>
  <c r="H114" i="25"/>
  <c r="I114" i="25"/>
  <c r="J114" i="25"/>
  <c r="K114" i="25"/>
  <c r="D116" i="25"/>
  <c r="E116" i="25"/>
  <c r="F116" i="25"/>
  <c r="G116" i="25"/>
  <c r="H116" i="25"/>
  <c r="I116" i="25"/>
  <c r="J116" i="25"/>
  <c r="K116" i="25"/>
  <c r="D119" i="25"/>
  <c r="E119" i="25"/>
  <c r="F119" i="25"/>
  <c r="G119" i="25"/>
  <c r="H119" i="25"/>
  <c r="I119" i="25"/>
  <c r="J119" i="25"/>
  <c r="K119" i="25"/>
  <c r="D121" i="25"/>
  <c r="E121" i="25"/>
  <c r="F121" i="25"/>
  <c r="G121" i="25"/>
  <c r="H121" i="25"/>
  <c r="I121" i="25"/>
  <c r="J121" i="25"/>
  <c r="K121" i="25"/>
  <c r="D123" i="25"/>
  <c r="E123" i="25"/>
  <c r="F123" i="25"/>
  <c r="G123" i="25"/>
  <c r="H123" i="25"/>
  <c r="I123" i="25"/>
  <c r="J123" i="25"/>
  <c r="K123" i="25"/>
  <c r="K46" i="25" l="1"/>
  <c r="C100" i="25"/>
  <c r="K71" i="25"/>
  <c r="K63" i="25"/>
  <c r="K30" i="25"/>
  <c r="B55" i="26" s="1"/>
  <c r="A55" i="26" s="1"/>
  <c r="K38" i="25"/>
  <c r="K55" i="25"/>
  <c r="C41" i="14"/>
  <c r="B41" i="14"/>
  <c r="A41" i="14"/>
  <c r="C40" i="14"/>
  <c r="B40" i="14"/>
  <c r="A40" i="14"/>
  <c r="C39" i="14"/>
  <c r="B39" i="14"/>
  <c r="A39" i="14"/>
  <c r="C38" i="14"/>
  <c r="B38" i="14"/>
  <c r="A38" i="14"/>
  <c r="C37" i="14"/>
  <c r="B37" i="14"/>
  <c r="A37" i="14"/>
  <c r="C36" i="14"/>
  <c r="B36" i="14"/>
  <c r="A36" i="14"/>
  <c r="C35" i="14"/>
  <c r="B35" i="14"/>
  <c r="A35" i="14"/>
  <c r="C34" i="14"/>
  <c r="B34" i="14"/>
  <c r="A34" i="14"/>
  <c r="C33" i="14"/>
  <c r="B33" i="14"/>
  <c r="A33" i="14"/>
  <c r="C32" i="14"/>
  <c r="B32" i="14"/>
  <c r="A32" i="14"/>
  <c r="C31" i="14"/>
  <c r="B31" i="14"/>
  <c r="A31" i="14"/>
  <c r="C30" i="14"/>
  <c r="B30" i="14"/>
  <c r="A30" i="14"/>
  <c r="C29" i="14"/>
  <c r="B29" i="14"/>
  <c r="A29" i="14"/>
  <c r="C28" i="14"/>
  <c r="B28" i="14"/>
  <c r="A28" i="14"/>
  <c r="C23" i="14"/>
  <c r="B23" i="14"/>
  <c r="A23" i="14"/>
  <c r="C22" i="14"/>
  <c r="B22" i="14"/>
  <c r="A22" i="14"/>
  <c r="C21" i="14"/>
  <c r="B21" i="14"/>
  <c r="A21" i="14"/>
  <c r="C20" i="14"/>
  <c r="B20" i="14"/>
  <c r="A20" i="14"/>
  <c r="C19" i="14"/>
  <c r="B19" i="14"/>
  <c r="A19" i="14"/>
  <c r="C18" i="14"/>
  <c r="B18" i="14"/>
  <c r="A18" i="14"/>
  <c r="C17" i="14"/>
  <c r="B17" i="14"/>
  <c r="A17" i="14"/>
  <c r="C16" i="14"/>
  <c r="B16" i="14"/>
  <c r="A16" i="14"/>
  <c r="C15" i="14"/>
  <c r="B15" i="14"/>
  <c r="A15" i="14"/>
  <c r="C14" i="14"/>
  <c r="B14" i="14"/>
  <c r="A14" i="14"/>
  <c r="C13" i="14"/>
  <c r="B13" i="14"/>
  <c r="A13" i="14"/>
  <c r="C12" i="14"/>
  <c r="B12" i="14"/>
  <c r="A12" i="14"/>
  <c r="C11" i="14"/>
  <c r="B11" i="14"/>
  <c r="A11" i="14"/>
  <c r="C10" i="14"/>
  <c r="B10" i="14"/>
  <c r="A10" i="14"/>
  <c r="A36" i="24"/>
  <c r="D63" i="24"/>
  <c r="B63" i="24"/>
  <c r="B62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A4" i="24"/>
  <c r="A38" i="24" s="1"/>
  <c r="A3" i="24"/>
  <c r="A37" i="24" s="1"/>
  <c r="D29" i="24"/>
  <c r="B29" i="24"/>
  <c r="B28" i="24"/>
  <c r="F13" i="24"/>
  <c r="F14" i="24"/>
  <c r="F17" i="24"/>
  <c r="F18" i="24"/>
  <c r="F21" i="24"/>
  <c r="F22" i="24"/>
  <c r="K15" i="23"/>
  <c r="F59" i="24" l="1"/>
  <c r="F23" i="24"/>
  <c r="F19" i="24"/>
  <c r="F15" i="24"/>
  <c r="F11" i="24"/>
  <c r="F24" i="24"/>
  <c r="F20" i="24"/>
  <c r="F16" i="24"/>
  <c r="F12" i="24"/>
  <c r="L15" i="23"/>
  <c r="K28" i="23"/>
  <c r="L28" i="23" s="1"/>
  <c r="K26" i="23"/>
  <c r="L26" i="23" s="1"/>
  <c r="K24" i="23"/>
  <c r="L24" i="23" s="1"/>
  <c r="K22" i="23"/>
  <c r="L22" i="23" s="1"/>
  <c r="K20" i="23"/>
  <c r="L20" i="23" s="1"/>
  <c r="K18" i="23"/>
  <c r="L18" i="23" s="1"/>
  <c r="K16" i="23"/>
  <c r="L16" i="23" s="1"/>
  <c r="K27" i="23"/>
  <c r="L27" i="23" s="1"/>
  <c r="K25" i="23"/>
  <c r="L25" i="23" s="1"/>
  <c r="K23" i="23"/>
  <c r="L23" i="23" s="1"/>
  <c r="K21" i="23"/>
  <c r="L21" i="23" s="1"/>
  <c r="K19" i="23"/>
  <c r="L19" i="23" s="1"/>
  <c r="K17" i="23"/>
  <c r="L17" i="23" s="1"/>
  <c r="C25" i="15"/>
  <c r="C24" i="15"/>
  <c r="E27" i="23" s="1"/>
  <c r="G27" i="23" s="1"/>
  <c r="C23" i="15"/>
  <c r="E26" i="23" s="1"/>
  <c r="G26" i="23" s="1"/>
  <c r="C22" i="15"/>
  <c r="E25" i="23" s="1"/>
  <c r="G25" i="23" s="1"/>
  <c r="C21" i="15"/>
  <c r="E24" i="23" s="1"/>
  <c r="G24" i="23" s="1"/>
  <c r="C20" i="15"/>
  <c r="E23" i="23" s="1"/>
  <c r="G23" i="23" s="1"/>
  <c r="C19" i="15"/>
  <c r="C18" i="15"/>
  <c r="E21" i="23" s="1"/>
  <c r="G21" i="23" s="1"/>
  <c r="C17" i="15"/>
  <c r="C16" i="15"/>
  <c r="E19" i="23" s="1"/>
  <c r="G19" i="23" s="1"/>
  <c r="C15" i="15"/>
  <c r="C14" i="15"/>
  <c r="E17" i="23" s="1"/>
  <c r="G17" i="23" s="1"/>
  <c r="C13" i="15"/>
  <c r="E16" i="23" s="1"/>
  <c r="G16" i="23" s="1"/>
  <c r="C12" i="15"/>
  <c r="E15" i="23" s="1"/>
  <c r="G15" i="23" s="1"/>
  <c r="E18" i="23"/>
  <c r="G18" i="23" s="1"/>
  <c r="E20" i="23"/>
  <c r="G20" i="23" s="1"/>
  <c r="E22" i="23"/>
  <c r="G22" i="23" s="1"/>
  <c r="E28" i="23"/>
  <c r="G28" i="23" s="1"/>
  <c r="Q31" i="23"/>
  <c r="B31" i="23"/>
  <c r="B30" i="23"/>
  <c r="A3" i="23"/>
  <c r="A4" i="23"/>
  <c r="D8" i="23"/>
  <c r="D7" i="23"/>
  <c r="F25" i="24" l="1"/>
  <c r="D11" i="17" l="1"/>
  <c r="E11" i="17"/>
  <c r="F11" i="17"/>
  <c r="G11" i="17"/>
  <c r="H11" i="17"/>
  <c r="I11" i="17"/>
  <c r="J11" i="17"/>
  <c r="K11" i="17"/>
  <c r="L11" i="17"/>
  <c r="M11" i="17"/>
  <c r="O11" i="17"/>
  <c r="P11" i="17"/>
  <c r="Q11" i="17"/>
  <c r="R11" i="17"/>
  <c r="T11" i="17" l="1"/>
  <c r="T12" i="17" s="1"/>
  <c r="C63" i="17"/>
  <c r="C112" i="17" s="1"/>
  <c r="D10" i="23"/>
  <c r="C62" i="17"/>
  <c r="C111" i="17" s="1"/>
  <c r="T49" i="17" l="1"/>
  <c r="T45" i="17"/>
  <c r="T41" i="17"/>
  <c r="T46" i="17"/>
  <c r="T42" i="17"/>
  <c r="T47" i="17"/>
  <c r="T43" i="17"/>
  <c r="T48" i="17"/>
  <c r="T44" i="17"/>
  <c r="T40" i="17"/>
  <c r="T58" i="17"/>
  <c r="T54" i="17"/>
  <c r="T51" i="17"/>
  <c r="T55" i="17"/>
  <c r="T52" i="17"/>
  <c r="T56" i="17"/>
  <c r="T57" i="17"/>
  <c r="T53" i="17"/>
  <c r="T50" i="17"/>
  <c r="T101" i="17"/>
  <c r="T107" i="17"/>
  <c r="T85" i="17"/>
  <c r="T88" i="17"/>
  <c r="T97" i="17"/>
  <c r="T94" i="17"/>
  <c r="T83" i="17"/>
  <c r="T82" i="17"/>
  <c r="T95" i="17"/>
  <c r="T81" i="17"/>
  <c r="T108" i="17"/>
  <c r="T87" i="17"/>
  <c r="T103" i="17"/>
  <c r="T79" i="17"/>
  <c r="T106" i="17"/>
  <c r="T89" i="17"/>
  <c r="T96" i="17"/>
  <c r="T100" i="17"/>
  <c r="T105" i="17"/>
  <c r="T104" i="17"/>
  <c r="T93" i="17"/>
  <c r="T90" i="17"/>
  <c r="T99" i="17"/>
  <c r="T102" i="17"/>
  <c r="T91" i="17"/>
  <c r="T92" i="17"/>
  <c r="T80" i="17"/>
  <c r="T86" i="17"/>
  <c r="T98" i="17"/>
  <c r="T84" i="17"/>
  <c r="T25" i="17"/>
  <c r="T39" i="17"/>
  <c r="T31" i="17"/>
  <c r="T24" i="17"/>
  <c r="T16" i="17"/>
  <c r="T15" i="17"/>
  <c r="T30" i="17"/>
  <c r="T22" i="17"/>
  <c r="T36" i="17"/>
  <c r="T21" i="17"/>
  <c r="T13" i="17"/>
  <c r="T34" i="17"/>
  <c r="T33" i="17"/>
  <c r="T18" i="17"/>
  <c r="T32" i="17"/>
  <c r="T38" i="17"/>
  <c r="T23" i="17"/>
  <c r="T37" i="17"/>
  <c r="T14" i="17"/>
  <c r="T29" i="17"/>
  <c r="T20" i="17"/>
  <c r="T19" i="17"/>
  <c r="T26" i="17"/>
  <c r="T17" i="17"/>
  <c r="T35" i="17"/>
  <c r="T28" i="17"/>
  <c r="T27" i="17"/>
  <c r="T59" i="17"/>
  <c r="C64" i="17"/>
  <c r="C113" i="17" s="1"/>
  <c r="Y62" i="15" l="1"/>
  <c r="Y29" i="15"/>
  <c r="B62" i="15"/>
  <c r="B61" i="15"/>
  <c r="B29" i="15"/>
  <c r="B28" i="15"/>
  <c r="B46" i="14"/>
  <c r="B45" i="14"/>
  <c r="C46" i="14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25" i="15"/>
  <c r="A28" i="23" s="1"/>
  <c r="N28" i="23" s="1"/>
  <c r="A24" i="15"/>
  <c r="A27" i="23" s="1"/>
  <c r="N27" i="23" s="1"/>
  <c r="A23" i="15"/>
  <c r="A26" i="23" s="1"/>
  <c r="N26" i="23" s="1"/>
  <c r="A22" i="15"/>
  <c r="A25" i="23" s="1"/>
  <c r="N25" i="23" s="1"/>
  <c r="A21" i="15"/>
  <c r="A24" i="23" s="1"/>
  <c r="N24" i="23" s="1"/>
  <c r="A20" i="15"/>
  <c r="A23" i="23" s="1"/>
  <c r="N23" i="23" s="1"/>
  <c r="A19" i="15"/>
  <c r="A22" i="23" s="1"/>
  <c r="N22" i="23" s="1"/>
  <c r="A18" i="15"/>
  <c r="A21" i="23" s="1"/>
  <c r="N21" i="23" s="1"/>
  <c r="A17" i="15"/>
  <c r="A20" i="23" s="1"/>
  <c r="N20" i="23" s="1"/>
  <c r="A16" i="15"/>
  <c r="A19" i="23" s="1"/>
  <c r="N19" i="23" s="1"/>
  <c r="A15" i="15"/>
  <c r="A18" i="23" s="1"/>
  <c r="N18" i="23" s="1"/>
  <c r="A14" i="15"/>
  <c r="A17" i="23" s="1"/>
  <c r="N17" i="23" s="1"/>
  <c r="A13" i="15"/>
  <c r="A16" i="23" s="1"/>
  <c r="N16" i="23" s="1"/>
  <c r="A12" i="15"/>
  <c r="A15" i="23" s="1"/>
  <c r="A29" i="23" l="1"/>
  <c r="O15" i="23" s="1"/>
  <c r="P15" i="23" s="1"/>
  <c r="H15" i="23"/>
  <c r="I15" i="23" s="1"/>
  <c r="N15" i="23"/>
  <c r="J15" i="23" l="1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45" i="15"/>
  <c r="AH45" i="15" s="1"/>
  <c r="C45" i="15"/>
  <c r="B46" i="15"/>
  <c r="AH46" i="15" s="1"/>
  <c r="C46" i="15"/>
  <c r="B47" i="15"/>
  <c r="AH47" i="15" s="1"/>
  <c r="C47" i="15"/>
  <c r="B48" i="15"/>
  <c r="AH48" i="15" s="1"/>
  <c r="C48" i="15"/>
  <c r="B49" i="15"/>
  <c r="AH49" i="15" s="1"/>
  <c r="C49" i="15"/>
  <c r="B50" i="15"/>
  <c r="AH50" i="15" s="1"/>
  <c r="C50" i="15"/>
  <c r="B51" i="15"/>
  <c r="AH51" i="15" s="1"/>
  <c r="C51" i="15"/>
  <c r="B52" i="15"/>
  <c r="AH52" i="15" s="1"/>
  <c r="C52" i="15"/>
  <c r="B53" i="15"/>
  <c r="AH53" i="15" s="1"/>
  <c r="C53" i="15"/>
  <c r="B54" i="15"/>
  <c r="AH54" i="15" s="1"/>
  <c r="C54" i="15"/>
  <c r="B55" i="15"/>
  <c r="AH55" i="15" s="1"/>
  <c r="C55" i="15"/>
  <c r="B56" i="15"/>
  <c r="AH56" i="15" s="1"/>
  <c r="C56" i="15"/>
  <c r="B57" i="15"/>
  <c r="AH57" i="15" s="1"/>
  <c r="C57" i="15"/>
  <c r="B58" i="15"/>
  <c r="AH58" i="15" s="1"/>
  <c r="C58" i="15"/>
  <c r="AH22" i="15" l="1"/>
  <c r="B25" i="23"/>
  <c r="AH18" i="15"/>
  <c r="B21" i="23"/>
  <c r="AH14" i="15"/>
  <c r="B17" i="23"/>
  <c r="AH25" i="15"/>
  <c r="B28" i="23"/>
  <c r="AH21" i="15"/>
  <c r="B24" i="23"/>
  <c r="AH17" i="15"/>
  <c r="B20" i="23"/>
  <c r="AH24" i="15"/>
  <c r="B27" i="23"/>
  <c r="AH20" i="15"/>
  <c r="B23" i="23"/>
  <c r="AH16" i="15"/>
  <c r="B19" i="23"/>
  <c r="AH23" i="15"/>
  <c r="B26" i="23"/>
  <c r="AH19" i="15"/>
  <c r="B22" i="23"/>
  <c r="AH15" i="15"/>
  <c r="B18" i="23"/>
  <c r="AH13" i="15"/>
  <c r="B16" i="23"/>
  <c r="AH12" i="15"/>
  <c r="B15" i="23"/>
  <c r="D42" i="14"/>
  <c r="D24" i="14"/>
  <c r="C52" i="14"/>
  <c r="A5" i="14"/>
  <c r="A5" i="24" s="1"/>
  <c r="A39" i="24" s="1"/>
  <c r="A4" i="14"/>
  <c r="A3" i="14"/>
  <c r="A3" i="15" l="1"/>
  <c r="A4" i="15"/>
  <c r="A5" i="15"/>
  <c r="B46" i="31"/>
  <c r="B45" i="31"/>
  <c r="D45" i="31" l="1"/>
  <c r="B98" i="26"/>
  <c r="B94" i="27"/>
  <c r="B189" i="27" s="1"/>
  <c r="B94" i="25"/>
  <c r="B189" i="25" s="1"/>
  <c r="B67" i="24"/>
  <c r="B33" i="24"/>
  <c r="B35" i="23"/>
  <c r="B99" i="26"/>
  <c r="B95" i="27"/>
  <c r="B190" i="27" s="1"/>
  <c r="B95" i="25"/>
  <c r="B190" i="25" s="1"/>
  <c r="B34" i="24"/>
  <c r="B68" i="24"/>
  <c r="B36" i="23"/>
  <c r="E98" i="26"/>
  <c r="F94" i="27"/>
  <c r="F189" i="27" s="1"/>
  <c r="F94" i="25"/>
  <c r="F189" i="25" s="1"/>
  <c r="D67" i="24"/>
  <c r="D33" i="24"/>
  <c r="Q35" i="23"/>
  <c r="Y66" i="15"/>
  <c r="Y33" i="15"/>
  <c r="B66" i="15"/>
  <c r="B33" i="15"/>
  <c r="B67" i="15"/>
  <c r="B34" i="15"/>
  <c r="C50" i="14"/>
  <c r="B50" i="14"/>
  <c r="B51" i="14"/>
  <c r="Y61" i="15" l="1"/>
  <c r="D46" i="31" l="1"/>
  <c r="A6" i="24" l="1"/>
  <c r="A40" i="24" s="1"/>
  <c r="A5" i="23"/>
  <c r="E99" i="26"/>
  <c r="F95" i="27"/>
  <c r="F190" i="27" s="1"/>
  <c r="F95" i="25"/>
  <c r="F190" i="25" s="1"/>
  <c r="D68" i="24"/>
  <c r="D34" i="24"/>
  <c r="Q36" i="23"/>
  <c r="A6" i="14"/>
  <c r="C51" i="14"/>
  <c r="Y34" i="15"/>
  <c r="Y67" i="15"/>
  <c r="A6" i="15" l="1"/>
</calcChain>
</file>

<file path=xl/sharedStrings.xml><?xml version="1.0" encoding="utf-8"?>
<sst xmlns="http://schemas.openxmlformats.org/spreadsheetml/2006/main" count="891" uniqueCount="310">
  <si>
    <t>:</t>
  </si>
  <si>
    <t>MATA PELAJARAN</t>
  </si>
  <si>
    <t>KELAS</t>
  </si>
  <si>
    <t>ALOKASI WAKTU</t>
  </si>
  <si>
    <t>PROGRAM TAHUNAN</t>
  </si>
  <si>
    <t>PROGRAM SEMESTER</t>
  </si>
  <si>
    <t>Guru Mata Pelajaran</t>
  </si>
  <si>
    <t>Mengetahui,</t>
  </si>
  <si>
    <t>KABUPATEN BANDUNG BARAT</t>
  </si>
  <si>
    <t>MA NURUL HIDAYAH PADALARANG</t>
  </si>
  <si>
    <t>-</t>
  </si>
  <si>
    <t>KETERANGAN</t>
  </si>
  <si>
    <t>SEMESTER 1</t>
  </si>
  <si>
    <t>NO</t>
  </si>
  <si>
    <t>KOMPETENSI DASAR</t>
  </si>
  <si>
    <t>JUMLAH</t>
  </si>
  <si>
    <t>SEMESTER 2</t>
  </si>
  <si>
    <t>JUNI</t>
  </si>
  <si>
    <t>MEI</t>
  </si>
  <si>
    <t>APRIL</t>
  </si>
  <si>
    <t>MARET</t>
  </si>
  <si>
    <t>JANUARI</t>
  </si>
  <si>
    <t>SEMESTER 2 (GENAP)</t>
  </si>
  <si>
    <t>DESEMBER</t>
  </si>
  <si>
    <t>NOPEMBER</t>
  </si>
  <si>
    <t>OKTOBER</t>
  </si>
  <si>
    <t>SEPTEMBER</t>
  </si>
  <si>
    <t>AGUSTUS</t>
  </si>
  <si>
    <t>JULI</t>
  </si>
  <si>
    <t>SEMESTER 1 (GANJIL)</t>
  </si>
  <si>
    <t>FEBRUARI</t>
  </si>
  <si>
    <t>KELAS 10 IPS</t>
  </si>
  <si>
    <t>TAHUN PELAJARAN 2022/2023</t>
  </si>
  <si>
    <t>P</t>
  </si>
  <si>
    <t>Total</t>
  </si>
  <si>
    <t>Perempuan</t>
  </si>
  <si>
    <t>Laki-laki</t>
  </si>
  <si>
    <t>Jumlah Siswa :</t>
  </si>
  <si>
    <t>JK</t>
  </si>
  <si>
    <t>Nama</t>
  </si>
  <si>
    <t>No</t>
  </si>
  <si>
    <t>Semester</t>
  </si>
  <si>
    <t>Mata Pelajaran</t>
  </si>
  <si>
    <t>Kelas</t>
  </si>
  <si>
    <t>R2</t>
  </si>
  <si>
    <t>NAMA</t>
  </si>
  <si>
    <t>PH 1</t>
  </si>
  <si>
    <t>PH 2</t>
  </si>
  <si>
    <t>PH 3</t>
  </si>
  <si>
    <t>PH 4</t>
  </si>
  <si>
    <t>PH 5</t>
  </si>
  <si>
    <t>PH 6</t>
  </si>
  <si>
    <t>PH 7</t>
  </si>
  <si>
    <t>ANALISIS DAYA SERAP SISWA</t>
  </si>
  <si>
    <t>Kompetensi Inti/ Kompetensi Dasar</t>
  </si>
  <si>
    <t>Pencapaian Target Kurikulum</t>
  </si>
  <si>
    <t>Daya Serap Siswa</t>
  </si>
  <si>
    <t>Ketuntasan Hasil Pembelajaran</t>
  </si>
  <si>
    <t>Evaluasi KBM</t>
  </si>
  <si>
    <t>Perencanaan</t>
  </si>
  <si>
    <t>Realisasi</t>
  </si>
  <si>
    <t>% TM Mengajar</t>
  </si>
  <si>
    <t>Jumlah KD</t>
  </si>
  <si>
    <t>% Target Kurikulum</t>
  </si>
  <si>
    <t>Ketuntasan/KD</t>
  </si>
  <si>
    <t>Ketuntasan Kelas</t>
  </si>
  <si>
    <t>Dalam Silabus</t>
  </si>
  <si>
    <t>Rata-rata Jml Siswa Belum Tuntas tiap KD</t>
  </si>
  <si>
    <t>% Ketuntasan Kelas</t>
  </si>
  <si>
    <t>Tatap Muka Pembelajaran</t>
  </si>
  <si>
    <t>Nilai Harian Rata-rata / KD</t>
  </si>
  <si>
    <t>Prosentase Daya Serap Siswa / KD</t>
  </si>
  <si>
    <t>Jml Siswa Remidiasi / KD</t>
  </si>
  <si>
    <t>% Ketuntasan / KD</t>
  </si>
  <si>
    <t>JUMLAH SISWA</t>
  </si>
  <si>
    <t>L</t>
  </si>
  <si>
    <t>Alasan (jika ketuntasan 
&lt; 100%)</t>
  </si>
  <si>
    <t>Tindakan (jika ketuntasan 
&lt; 100%)</t>
  </si>
  <si>
    <t>KKM PER KD</t>
  </si>
  <si>
    <t>DAYA DUKUNG</t>
  </si>
  <si>
    <t>INTAKE</t>
  </si>
  <si>
    <t>KOMPLEKSITAS</t>
  </si>
  <si>
    <t>KRITERIA KETUNTASAN MINIMAL (KKM)</t>
  </si>
  <si>
    <t>SUMBER BELAJAR</t>
  </si>
  <si>
    <t>MATERI PEMBELAJARAN</t>
  </si>
  <si>
    <t>MATERI POKOK</t>
  </si>
  <si>
    <t>TUJUAN PEMBELAJARAN</t>
  </si>
  <si>
    <t>INDIKATOR</t>
  </si>
  <si>
    <t>KOMPETENSI INTI</t>
  </si>
  <si>
    <t>Kelas/Semester</t>
  </si>
  <si>
    <t>Satuan Pendidikan</t>
  </si>
  <si>
    <t>SILABUS PEMBELAJARAN</t>
  </si>
  <si>
    <t>MA Nurul Hidayah Padalarang</t>
  </si>
  <si>
    <t>Lembar Pengamatan</t>
  </si>
  <si>
    <t>Keterampilan</t>
  </si>
  <si>
    <t>Lembar Pengamatan dan Lembar Kerja Siswa</t>
  </si>
  <si>
    <t>Pengetahuan</t>
  </si>
  <si>
    <t>Lembar Pengamatan Sikap</t>
  </si>
  <si>
    <t>Sikap</t>
  </si>
  <si>
    <t>J.PENILAIAN</t>
  </si>
  <si>
    <t>Guru menginformasikan kegiatan yang akan dilaksanakan pada pertemuan berikutnya</t>
  </si>
  <si>
    <t>Guru memberikan evaluasi untuk mengukur ketuntasan PBM</t>
  </si>
  <si>
    <t>Guru memberikan apresiasi kepada seluruh peserta didik yang telah menyelesaikan tugasnya dengan baik</t>
  </si>
  <si>
    <t>Guru melakukan refleksi hasil proses belajar yang telah dilaksanakan</t>
  </si>
  <si>
    <t>KEGIATAN PENUTUP</t>
  </si>
  <si>
    <t>Peserta didik mengumpulkan hasil observasinya pada saat kegiatan luring</t>
  </si>
  <si>
    <t>Peserta didik menuangkan hasilnya kedalam 1 lembar kertas</t>
  </si>
  <si>
    <t>Peserta didik menarik kesimpulan dalam bentuk deskripsi dari hasil observasi</t>
  </si>
  <si>
    <t>Peserta didik mencari informasi atas arahan guru tentang judul bab tersebut sesuai lembar kerja</t>
  </si>
  <si>
    <t>Peserta didik secara individu di rumah mengobservasikan / menganalisis lembar kerja di WA Group</t>
  </si>
  <si>
    <t>KEGIATAN INTI</t>
  </si>
  <si>
    <t>Guru memberikan penjelasan mengenai pembelajaran daring di WA Group</t>
  </si>
  <si>
    <t>Guru menyampaikan garis besar cakupan materi dan kegiatan yang akan dilakukan</t>
  </si>
  <si>
    <t>Guru menyampaikan kompetensi yang akan dicapai dan manfaatnya dalam kehidupan sehari-hari</t>
  </si>
  <si>
    <t>Guru memeriksa kehadiran siswa dengan mengisi presensi kehadiran siswa</t>
  </si>
  <si>
    <t>Guru memberikan salam dan menginstruksikan salah satu siswa untuk memimpin do'a</t>
  </si>
  <si>
    <t>KEGIATAN PENDAHULUAN</t>
  </si>
  <si>
    <t>I. LANGKAH-LANGKAH (KEGIATAN) PEMBELAJARAN</t>
  </si>
  <si>
    <t>Internet</t>
  </si>
  <si>
    <t>H. SUMBER PEMBELAJARAN</t>
  </si>
  <si>
    <t>G. MEDIA PEMBELAJARAN</t>
  </si>
  <si>
    <t>Diskusi</t>
  </si>
  <si>
    <t>Ceramah</t>
  </si>
  <si>
    <t>F. METODE PEMBELAJARAN</t>
  </si>
  <si>
    <t>E. MATERI PEMBELAJARAN</t>
  </si>
  <si>
    <t>D. TUJUAN PEMBELAJARAN</t>
  </si>
  <si>
    <t>C. INDIKATOR PENCAPAIAN</t>
  </si>
  <si>
    <t>B. KOMPETENSI DASAR</t>
  </si>
  <si>
    <t>A. KOMPETENSI INTI</t>
  </si>
  <si>
    <t>Alokasi Waktu</t>
  </si>
  <si>
    <t>10 IPS / Semester Ganjil</t>
  </si>
  <si>
    <t>Materi Pokok</t>
  </si>
  <si>
    <t>RENCANA PELAKSANAAN PEMBELAJARAN (RPP)</t>
  </si>
  <si>
    <t>SEMESTER</t>
  </si>
  <si>
    <t>KOMPETENSI INTI DAN KOMPETENSI DASAR</t>
  </si>
  <si>
    <t>Tahun Pelajaran</t>
  </si>
  <si>
    <t>INFORMATIKA</t>
  </si>
  <si>
    <t>PPKN</t>
  </si>
  <si>
    <t>PJOK</t>
  </si>
  <si>
    <t>Nilai Kriteria Ketuntasan Minimal (KKM)</t>
  </si>
  <si>
    <t>KD / Materi Pengetahuan :</t>
  </si>
  <si>
    <t>ASAS</t>
  </si>
  <si>
    <t>FORM NILAI PESERTA DIDIK</t>
  </si>
  <si>
    <t>PH 8</t>
  </si>
  <si>
    <t>PH 9</t>
  </si>
  <si>
    <t>PH 10</t>
  </si>
  <si>
    <t>PH 11</t>
  </si>
  <si>
    <t>PH 12</t>
  </si>
  <si>
    <t>PH 13</t>
  </si>
  <si>
    <t>PH 14</t>
  </si>
  <si>
    <t>PH 15</t>
  </si>
  <si>
    <t>Nilai Harian</t>
  </si>
  <si>
    <t>2 (Genap)</t>
  </si>
  <si>
    <t>JURNAL AGENDA GURU</t>
  </si>
  <si>
    <t>Tanggal</t>
  </si>
  <si>
    <t>Jam Ke</t>
  </si>
  <si>
    <t>KD / Materi / Kegiatan</t>
  </si>
  <si>
    <t>Jumlah Siswa</t>
  </si>
  <si>
    <t>Catatan Guru</t>
  </si>
  <si>
    <t>Paraf</t>
  </si>
  <si>
    <t>Hadir</t>
  </si>
  <si>
    <t>Tidak Hadir</t>
  </si>
  <si>
    <t>Jumlah Hadir</t>
  </si>
  <si>
    <t>Jumlah Ketidak Hadiran</t>
  </si>
  <si>
    <t>Sakit</t>
  </si>
  <si>
    <t>Ijin</t>
  </si>
  <si>
    <t>Alfa</t>
  </si>
  <si>
    <t>ANDI DWI IRFANDI</t>
  </si>
  <si>
    <t>DAFTAR HADIR SISWA</t>
  </si>
  <si>
    <t>ADMINISTRASI GURU</t>
  </si>
  <si>
    <t>BUKU KERJA 1 :
- Analisis SKL
- KI &amp; KD
- Silabus
- RPP
- KKM</t>
  </si>
  <si>
    <t>BUKU KERJA 2 :
- Kode Etik Guru
- Ikrar Guru
- Tata Tertib Guru
- Pembiasaan Guru
- Kalender Pendidikan
- Alokasi Waktu
- Program Tahunan
- Program Semester
- Jurnal Agenda Guru</t>
  </si>
  <si>
    <t>BUKU KERJA 3 :
- Daftar Hadir Siswa
- Penilaian Sikap Spiritual &amp; Sosial
- Penilaian Pengetahuan &amp; Keterampilan
- Analisis PTS
- Analisis PAS / PAT
- Jadwal Mengajar
- Daya Serap Siswa</t>
  </si>
  <si>
    <t>BUKU KERJA 4 :
- Evaluasi Diri Guru
- Rencana Tindak Lanjut</t>
  </si>
  <si>
    <t>Nama Guru :</t>
  </si>
  <si>
    <t>Mata Pelajaran :</t>
  </si>
  <si>
    <t>2 (GENAP)</t>
  </si>
  <si>
    <t>SUDAH CETAK</t>
  </si>
  <si>
    <t>DIBERIKAN</t>
  </si>
  <si>
    <t>Matematika &amp; Pendampingan</t>
  </si>
  <si>
    <t>Bahasa Indonesia (11)</t>
  </si>
  <si>
    <t>Bahasa Indonesia (10 &amp; 12)</t>
  </si>
  <si>
    <t>Sosiologi</t>
  </si>
  <si>
    <t>Bahasa Arab</t>
  </si>
  <si>
    <t>Al-Qur`an Hadits &amp; BTQ</t>
  </si>
  <si>
    <t>Geografi</t>
  </si>
  <si>
    <t>Bahasa Sunda</t>
  </si>
  <si>
    <t>Informatika</t>
  </si>
  <si>
    <t>Sejarah</t>
  </si>
  <si>
    <t>Akidah Akhlak</t>
  </si>
  <si>
    <t>Bahasa Inggris</t>
  </si>
  <si>
    <t>Prakarya (11 &amp; 12)</t>
  </si>
  <si>
    <t>Ekonomi</t>
  </si>
  <si>
    <t>SKI</t>
  </si>
  <si>
    <t>Fiqih &amp; Seni Budaya</t>
  </si>
  <si>
    <t>PEMERINTAH DAERAH PROVINSI JAWA BARAT</t>
  </si>
  <si>
    <t>DINAS PENDIDIKAN</t>
  </si>
  <si>
    <t>CABANG DINAS PENDIDIKAN WILAYAH VII</t>
  </si>
  <si>
    <t>SMA NEGERI 15 KOTA BANDUNG</t>
  </si>
  <si>
    <t>Wali Kelas</t>
  </si>
  <si>
    <t>NIP. -</t>
  </si>
  <si>
    <t>Januari 2026</t>
  </si>
  <si>
    <t>Februari 2026</t>
  </si>
  <si>
    <t>Maret 2026</t>
  </si>
  <si>
    <t>11-5</t>
  </si>
  <si>
    <t>ALYA AZ-ZAHRA</t>
  </si>
  <si>
    <t>ARFA RAZIQ ADAM</t>
  </si>
  <si>
    <t>ARGADITYA RAHMAN HIRACAHYA</t>
  </si>
  <si>
    <t>DAVIN RAISYA PRATAMA</t>
  </si>
  <si>
    <t>DAVINA CHERRYL AGIESYA</t>
  </si>
  <si>
    <t>FARHAN GARNADI</t>
  </si>
  <si>
    <t>FARID NAUFAL IDLAN</t>
  </si>
  <si>
    <t>FRESHA INDAH ELVIANNISA</t>
  </si>
  <si>
    <t>GHANI YAZID KHAIRI</t>
  </si>
  <si>
    <t>GUSNI RAMADHANI</t>
  </si>
  <si>
    <t>HANIEF AWWAL ABDILLAH</t>
  </si>
  <si>
    <t>JIBRIL AL FAUZAN PURNADI</t>
  </si>
  <si>
    <t>JULVIKY ARUN KSATRIA</t>
  </si>
  <si>
    <t>KANIA ALESHA RIFAYA</t>
  </si>
  <si>
    <t>LINTANG AKASHA DIPUTRA SULAIMAN</t>
  </si>
  <si>
    <t>MARITZA JESSENIA ZAYYAN</t>
  </si>
  <si>
    <t>MARVELINO YAKUB PANDAPOTAN ARITONANG</t>
  </si>
  <si>
    <t>MOSES GABE PARULIAN BUTAR-BUTAR</t>
  </si>
  <si>
    <t>MUHAMMAD AKMAL FIRDAUS</t>
  </si>
  <si>
    <t>MUHAMMAD DAFFA ABDILLAH</t>
  </si>
  <si>
    <t>MUHAMMAD HILMI AD-DZIKRI</t>
  </si>
  <si>
    <t>MUHAMMAD SYARIF ROMDHONI</t>
  </si>
  <si>
    <t>MUTIARA NUR SYIFA</t>
  </si>
  <si>
    <t>NABIL MOHAMMAD AZMII AKRAM</t>
  </si>
  <si>
    <t>NADINE GAZA AULYA</t>
  </si>
  <si>
    <t>NIRVANAZIA SARWAHITA AJIWARA</t>
  </si>
  <si>
    <t>PARAS SANDERIANA ARDIAN</t>
  </si>
  <si>
    <t>RAGIL SARASWATI</t>
  </si>
  <si>
    <t>RAJWA DANISWARA RUSPANDI</t>
  </si>
  <si>
    <t>RITA MAY LUTVIYANI</t>
  </si>
  <si>
    <t>RIZKYTA PRAWINA KUSUMA</t>
  </si>
  <si>
    <t>RIZQI FEBRIAN</t>
  </si>
  <si>
    <t>SANDRIYA EKA ANDANI</t>
  </si>
  <si>
    <t>YANUAR DAFFA NUR FAHRYAN</t>
  </si>
  <si>
    <t>YAUZA SASTRA YUSSITA</t>
  </si>
  <si>
    <t>AHMAD NURSYIFA</t>
  </si>
  <si>
    <t>AHMAD NURSYIFA, S.Kom.</t>
  </si>
  <si>
    <t>Kelas : 10-5</t>
  </si>
  <si>
    <t>Agustus</t>
  </si>
  <si>
    <t>September</t>
  </si>
  <si>
    <t>Oktober</t>
  </si>
  <si>
    <t>10-5</t>
  </si>
  <si>
    <t>ADINDA PRABANDARI KINASIH</t>
  </si>
  <si>
    <t>ALIFA MEYLANI SAFITRI</t>
  </si>
  <si>
    <t>AMALIA NURFADILAH</t>
  </si>
  <si>
    <t>ARIA KUSUMAH</t>
  </si>
  <si>
    <t>AULIA KINASIH</t>
  </si>
  <si>
    <t>BALQIS FANIDA SORAYA</t>
  </si>
  <si>
    <t>CAHYA ISMAIL</t>
  </si>
  <si>
    <t>CHIARA HASNA ZHAFIRA</t>
  </si>
  <si>
    <t>DEVILIA AULIA PUTRI</t>
  </si>
  <si>
    <t>EGA YUDA NUGRAHA</t>
  </si>
  <si>
    <t>ELMIRA ZAHIYA RUSDI</t>
  </si>
  <si>
    <t>FAHRAN FATUROHMAN</t>
  </si>
  <si>
    <t>FAKHIRA SALWA NABILA</t>
  </si>
  <si>
    <t>FATHIYYA AMEERA QUEENNARRA EDWARD</t>
  </si>
  <si>
    <t>FAUZAN SYAWAL PRATAMA</t>
  </si>
  <si>
    <t>GHEA RAHMAYANI</t>
  </si>
  <si>
    <t>INTANIA RAMADANIA</t>
  </si>
  <si>
    <t>JAUZA HANA NABILA</t>
  </si>
  <si>
    <t>KEYSHA NUR RAHAYU</t>
  </si>
  <si>
    <t>MAHESYA LILY</t>
  </si>
  <si>
    <t>MALVIN AKSATRYA DANISWARA KUSMANA</t>
  </si>
  <si>
    <t>MARWA NURHAA NAFIAH</t>
  </si>
  <si>
    <t>MIKAIL AL KAUTSAR SIMA PAWITRA</t>
  </si>
  <si>
    <t>MUHAMAD AGUNG RIVA RISQULOH</t>
  </si>
  <si>
    <t>MUHAMAD FAJAR DWI PUTRA</t>
  </si>
  <si>
    <t>MUHAMAD PAHMI PUTRA SANGGARA</t>
  </si>
  <si>
    <t>MUHAMMAD AZRIL ILHAM</t>
  </si>
  <si>
    <t>MUHAMMAD KAFI AL-FATIH</t>
  </si>
  <si>
    <t>MUHAMMAD KARIZA AL FAKHRI</t>
  </si>
  <si>
    <t>MUHAMMAD MAHIN</t>
  </si>
  <si>
    <t>MUHAMMAD WILDAN FIRDAUS</t>
  </si>
  <si>
    <t>NAILA DZIKRIA AZMI</t>
  </si>
  <si>
    <t>NAJLA DWI MUSTIKA</t>
  </si>
  <si>
    <t>NANDA FAUZIAH SULISTIO</t>
  </si>
  <si>
    <t>NIZAM ALHABSI</t>
  </si>
  <si>
    <t>PASCALIA PUTRI ISMAYA</t>
  </si>
  <si>
    <t>PUTRI AULIA</t>
  </si>
  <si>
    <t>REDI RAHMANA</t>
  </si>
  <si>
    <t>REYSHA PERMATA KASIH</t>
  </si>
  <si>
    <t>SAKHA FAWWAZUL FIKRI</t>
  </si>
  <si>
    <t>SYABIL FAUZAN ALTAAF</t>
  </si>
  <si>
    <t>TIARA SILVIA</t>
  </si>
  <si>
    <t>TRINANSYAH WIDYANA</t>
  </si>
  <si>
    <t>WENDRIK ISMAIL</t>
  </si>
  <si>
    <t>YUSUF NAUFAL HABIBI</t>
  </si>
  <si>
    <t>ZAHIRA NAFISSA</t>
  </si>
  <si>
    <t>NIP. 199011162024211011</t>
  </si>
  <si>
    <t>Moch. Maulana Hidayat, S.Pd.</t>
  </si>
  <si>
    <t>Bandung,    Oktober 2026</t>
  </si>
  <si>
    <t>.</t>
  </si>
  <si>
    <t>s</t>
  </si>
  <si>
    <t>Perkenalan dan Pengantar Materi</t>
  </si>
  <si>
    <t>TAHUN AJARAN 2026/2027</t>
  </si>
  <si>
    <t>Ganjil</t>
  </si>
  <si>
    <t>1 (Ganjil)</t>
  </si>
  <si>
    <t>PTS</t>
  </si>
  <si>
    <t>correct</t>
  </si>
  <si>
    <t>25*4</t>
  </si>
  <si>
    <t>min 3 a 35 max 16 a 65</t>
  </si>
  <si>
    <t>Algortima Naratif dan Flowchart</t>
  </si>
  <si>
    <t>Review Algoritma Naratif dan Flowchart, Variabel dan Tipe Data, Pseudocode</t>
  </si>
  <si>
    <t>Latihan Algoritma Naratif, Flowchart, dan Pseudocode</t>
  </si>
  <si>
    <t>PTK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</si>
</sst>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@\ * \:"/>
    <numFmt numFmtId="166" formatCode="General\ &quot;siswa&quot;"/>
    <numFmt numFmtId="167" formatCode="@\ * &quot;:&quot;"/>
    <numFmt numFmtId="168" formatCode="dd/mm/yyyy;@"/>
  </numFmts>
  <fonts count="34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b/>
      <sz val="2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 2"/>
      <family val="1"/>
      <charset val="2"/>
    </font>
    <font>
      <b/>
      <u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4"/>
      <color theme="1"/>
      <name val="Arial Black"/>
      <family val="2"/>
    </font>
    <font>
      <sz val="11"/>
      <color theme="1"/>
      <name val="Arial Black"/>
      <family val="2"/>
    </font>
    <font>
      <sz val="11"/>
      <color theme="0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58"/>
      <color theme="1"/>
      <name val="Calibri"/>
      <family val="2"/>
      <scheme val="minor"/>
    </font>
    <font>
      <b/>
      <sz val="34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22"/>
      <color theme="1"/>
      <name val="Calibri"/>
      <family val="2"/>
      <scheme val="minor"/>
    </font>
    <font>
      <b/>
      <u/>
      <sz val="28"/>
      <color theme="1"/>
      <name val="Arial Black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ouble">
        <color indexed="64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</borders>
  <cellStyleXfs count="8">
    <xf numFmtId="0" fontId="0" fillId="0" borderId="0"/>
    <xf numFmtId="0" fontId="4" fillId="0" borderId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20" fillId="0" borderId="0" applyNumberFormat="0" applyFill="0" applyBorder="0" applyAlignment="0" applyProtection="0"/>
    <xf numFmtId="0" fontId="5" fillId="0" borderId="0"/>
  </cellStyleXfs>
  <cellXfs count="371">
    <xf numFmtId="0" fontId="0" fillId="0" borderId="0" xfId="0"/>
    <xf numFmtId="0" fontId="4" fillId="0" borderId="0" xfId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/>
      <protection hidden="1"/>
    </xf>
    <xf numFmtId="0" fontId="11" fillId="0" borderId="0" xfId="1" applyFont="1" applyAlignment="1" applyProtection="1">
      <alignment horizontal="left"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0" xfId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19"/>
      <protection hidden="1"/>
    </xf>
    <xf numFmtId="0" fontId="11" fillId="0" borderId="0" xfId="1" applyFont="1" applyAlignment="1" applyProtection="1">
      <alignment horizontal="left" vertical="center" indent="19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4" fillId="0" borderId="1" xfId="1" applyBorder="1" applyAlignment="1" applyProtection="1">
      <alignment horizontal="center" vertical="center"/>
      <protection locked="0"/>
    </xf>
    <xf numFmtId="0" fontId="14" fillId="0" borderId="0" xfId="1" applyFont="1" applyAlignment="1" applyProtection="1">
      <alignment horizontal="left" vertical="center"/>
      <protection hidden="1"/>
    </xf>
    <xf numFmtId="0" fontId="4" fillId="6" borderId="0" xfId="1" applyFill="1" applyAlignment="1" applyProtection="1">
      <alignment horizontal="center" vertical="center" wrapText="1"/>
      <protection hidden="1"/>
    </xf>
    <xf numFmtId="0" fontId="4" fillId="2" borderId="0" xfId="1" applyFill="1" applyAlignment="1" applyProtection="1">
      <alignment horizontal="center" vertical="center" wrapText="1"/>
      <protection hidden="1"/>
    </xf>
    <xf numFmtId="0" fontId="12" fillId="2" borderId="0" xfId="1" applyFont="1" applyFill="1" applyAlignment="1" applyProtection="1">
      <alignment horizontal="center" vertical="center" wrapText="1"/>
      <protection hidden="1"/>
    </xf>
    <xf numFmtId="0" fontId="4" fillId="0" borderId="0" xfId="1" applyAlignment="1" applyProtection="1">
      <alignment horizontal="left" vertical="center" indent="5"/>
      <protection hidden="1"/>
    </xf>
    <xf numFmtId="0" fontId="11" fillId="0" borderId="0" xfId="1" applyFont="1" applyAlignment="1" applyProtection="1">
      <alignment horizontal="left" vertical="center" indent="5"/>
      <protection hidden="1"/>
    </xf>
    <xf numFmtId="0" fontId="4" fillId="0" borderId="1" xfId="1" applyBorder="1" applyAlignment="1" applyProtection="1">
      <alignment horizontal="center" vertical="center"/>
      <protection hidden="1"/>
    </xf>
    <xf numFmtId="0" fontId="15" fillId="0" borderId="1" xfId="1" applyFont="1" applyBorder="1" applyAlignment="1" applyProtection="1">
      <alignment horizontal="center" vertical="center"/>
      <protection locked="0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1" xfId="1" applyFont="1" applyFill="1" applyBorder="1" applyAlignment="1" applyProtection="1">
      <alignment horizontal="left" vertical="center" wrapText="1"/>
      <protection hidden="1"/>
    </xf>
    <xf numFmtId="0" fontId="12" fillId="0" borderId="0" xfId="1" applyFont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6" fillId="0" borderId="0" xfId="1" applyFont="1" applyAlignment="1" applyProtection="1">
      <alignment horizontal="left" vertical="center"/>
      <protection hidden="1"/>
    </xf>
    <xf numFmtId="0" fontId="19" fillId="0" borderId="0" xfId="1" applyFont="1" applyAlignment="1" applyProtection="1">
      <alignment horizontal="left" vertical="center"/>
      <protection hidden="1"/>
    </xf>
    <xf numFmtId="0" fontId="4" fillId="2" borderId="0" xfId="1" applyFill="1" applyProtection="1">
      <protection hidden="1"/>
    </xf>
    <xf numFmtId="0" fontId="9" fillId="2" borderId="0" xfId="1" applyFont="1" applyFill="1" applyAlignment="1" applyProtection="1">
      <alignment horizontal="left"/>
      <protection hidden="1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17" fillId="3" borderId="11" xfId="1" applyFont="1" applyFill="1" applyBorder="1" applyAlignment="1" applyProtection="1">
      <alignment horizontal="center" vertical="center" wrapText="1"/>
      <protection hidden="1"/>
    </xf>
    <xf numFmtId="0" fontId="19" fillId="5" borderId="23" xfId="1" applyFont="1" applyFill="1" applyBorder="1" applyAlignment="1" applyProtection="1">
      <alignment horizontal="center" vertical="center"/>
      <protection hidden="1"/>
    </xf>
    <xf numFmtId="0" fontId="19" fillId="5" borderId="24" xfId="1" applyFont="1" applyFill="1" applyBorder="1" applyAlignment="1" applyProtection="1">
      <alignment horizontal="center" vertical="center"/>
      <protection hidden="1"/>
    </xf>
    <xf numFmtId="0" fontId="12" fillId="0" borderId="29" xfId="1" applyFont="1" applyBorder="1" applyAlignment="1" applyProtection="1">
      <alignment horizontal="left" vertical="center"/>
      <protection hidden="1"/>
    </xf>
    <xf numFmtId="0" fontId="12" fillId="0" borderId="29" xfId="1" applyFont="1" applyBorder="1" applyAlignment="1" applyProtection="1">
      <alignment horizontal="center" vertical="center"/>
      <protection hidden="1"/>
    </xf>
    <xf numFmtId="0" fontId="4" fillId="0" borderId="0" xfId="1" applyProtection="1"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4"/>
    </xf>
    <xf numFmtId="0" fontId="11" fillId="0" borderId="0" xfId="0" applyFont="1" applyAlignment="1">
      <alignment horizontal="left" vertical="center" indent="4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0" fontId="0" fillId="5" borderId="1" xfId="0" applyFill="1" applyBorder="1" applyAlignment="1">
      <alignment horizontal="center" vertical="center" wrapText="1"/>
    </xf>
    <xf numFmtId="9" fontId="0" fillId="5" borderId="1" xfId="0" applyNumberFormat="1" applyFill="1" applyBorder="1" applyAlignment="1">
      <alignment horizontal="center" vertical="center" wrapText="1"/>
    </xf>
    <xf numFmtId="0" fontId="4" fillId="0" borderId="11" xfId="1" applyBorder="1" applyAlignment="1" applyProtection="1">
      <alignment horizontal="center" vertical="center"/>
      <protection locked="0"/>
    </xf>
    <xf numFmtId="0" fontId="4" fillId="0" borderId="16" xfId="1" applyBorder="1" applyAlignment="1" applyProtection="1">
      <alignment horizontal="center" vertical="center"/>
      <protection locked="0"/>
    </xf>
    <xf numFmtId="166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indent="9"/>
    </xf>
    <xf numFmtId="0" fontId="11" fillId="0" borderId="0" xfId="0" applyFont="1" applyAlignment="1">
      <alignment horizontal="left" vertical="center" indent="9"/>
    </xf>
    <xf numFmtId="0" fontId="4" fillId="0" borderId="0" xfId="1" applyAlignment="1" applyProtection="1">
      <alignment horizontal="left" vertical="center" indent="4"/>
      <protection hidden="1"/>
    </xf>
    <xf numFmtId="0" fontId="11" fillId="0" borderId="0" xfId="1" applyFont="1" applyAlignment="1" applyProtection="1">
      <alignment horizontal="left" vertical="center" indent="4"/>
      <protection hidden="1"/>
    </xf>
    <xf numFmtId="1" fontId="19" fillId="5" borderId="1" xfId="1" applyNumberFormat="1" applyFont="1" applyFill="1" applyBorder="1" applyAlignment="1" applyProtection="1">
      <alignment horizontal="center" vertical="center"/>
      <protection hidden="1"/>
    </xf>
    <xf numFmtId="1" fontId="4" fillId="0" borderId="1" xfId="1" applyNumberFormat="1" applyBorder="1" applyAlignment="1" applyProtection="1">
      <alignment horizontal="center" vertical="center" wrapText="1"/>
      <protection hidden="1"/>
    </xf>
    <xf numFmtId="1" fontId="4" fillId="0" borderId="4" xfId="1" applyNumberFormat="1" applyBorder="1" applyAlignment="1" applyProtection="1">
      <alignment horizontal="center" vertical="center" wrapText="1"/>
      <protection locked="0"/>
    </xf>
    <xf numFmtId="0" fontId="4" fillId="5" borderId="4" xfId="1" applyFill="1" applyBorder="1" applyAlignment="1" applyProtection="1">
      <alignment horizontal="left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locked="0"/>
    </xf>
    <xf numFmtId="49" fontId="14" fillId="5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20"/>
      <protection hidden="1"/>
    </xf>
    <xf numFmtId="0" fontId="4" fillId="0" borderId="0" xfId="1" applyAlignment="1" applyProtection="1">
      <alignment horizontal="left" vertical="center" indent="11"/>
      <protection hidden="1"/>
    </xf>
    <xf numFmtId="0" fontId="11" fillId="0" borderId="0" xfId="1" applyFont="1" applyAlignment="1" applyProtection="1">
      <alignment horizontal="left" vertical="center" indent="20"/>
      <protection hidden="1"/>
    </xf>
    <xf numFmtId="0" fontId="11" fillId="0" borderId="0" xfId="1" applyFont="1" applyAlignment="1" applyProtection="1">
      <alignment vertical="center"/>
      <protection hidden="1"/>
    </xf>
    <xf numFmtId="0" fontId="11" fillId="0" borderId="0" xfId="1" applyFont="1" applyAlignment="1" applyProtection="1">
      <alignment horizontal="left" vertical="center" indent="11"/>
      <protection hidden="1"/>
    </xf>
    <xf numFmtId="0" fontId="4" fillId="0" borderId="1" xfId="1" applyBorder="1" applyAlignment="1" applyProtection="1">
      <alignment horizontal="left" vertical="top" wrapText="1"/>
      <protection locked="0" hidden="1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1" xfId="1" applyBorder="1" applyAlignment="1" applyProtection="1">
      <alignment horizontal="center" vertical="top"/>
      <protection hidden="1"/>
    </xf>
    <xf numFmtId="0" fontId="4" fillId="0" borderId="0" xfId="1" applyAlignment="1" applyProtection="1">
      <alignment vertical="center" wrapText="1"/>
      <protection hidden="1"/>
    </xf>
    <xf numFmtId="0" fontId="4" fillId="0" borderId="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165" fontId="4" fillId="0" borderId="0" xfId="1" applyNumberFormat="1" applyAlignment="1" applyProtection="1">
      <alignment horizontal="left" vertical="center"/>
      <protection hidden="1"/>
    </xf>
    <xf numFmtId="0" fontId="6" fillId="0" borderId="9" xfId="1" applyFont="1" applyBorder="1" applyAlignment="1" applyProtection="1">
      <alignment horizontal="center" vertical="center"/>
      <protection hidden="1"/>
    </xf>
    <xf numFmtId="0" fontId="6" fillId="0" borderId="1" xfId="1" applyFont="1" applyBorder="1" applyAlignment="1" applyProtection="1">
      <alignment horizontal="center" vertical="center"/>
      <protection hidden="1"/>
    </xf>
    <xf numFmtId="0" fontId="4" fillId="0" borderId="38" xfId="1" applyBorder="1" applyAlignment="1" applyProtection="1">
      <alignment vertical="center"/>
      <protection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6" fillId="0" borderId="38" xfId="1" applyFont="1" applyBorder="1" applyAlignment="1" applyProtection="1">
      <alignment horizontal="center" vertical="center"/>
      <protection hidden="1"/>
    </xf>
    <xf numFmtId="0" fontId="4" fillId="0" borderId="0" xfId="1" applyAlignment="1" applyProtection="1">
      <alignment vertical="center"/>
      <protection locked="0" hidden="1"/>
    </xf>
    <xf numFmtId="0" fontId="4" fillId="2" borderId="0" xfId="1" applyFill="1" applyAlignment="1" applyProtection="1">
      <alignment vertical="center"/>
      <protection hidden="1"/>
    </xf>
    <xf numFmtId="0" fontId="4" fillId="0" borderId="0" xfId="1" applyAlignment="1" applyProtection="1">
      <alignment horizontal="left" vertical="center" indent="9"/>
      <protection hidden="1"/>
    </xf>
    <xf numFmtId="0" fontId="11" fillId="0" borderId="0" xfId="1" applyFont="1" applyAlignment="1" applyProtection="1">
      <alignment horizontal="left" vertical="center" indent="9"/>
      <protection hidden="1"/>
    </xf>
    <xf numFmtId="0" fontId="4" fillId="0" borderId="36" xfId="1" applyBorder="1" applyAlignment="1" applyProtection="1">
      <alignment vertical="top" wrapText="1"/>
      <protection hidden="1"/>
    </xf>
    <xf numFmtId="0" fontId="4" fillId="0" borderId="39" xfId="1" applyBorder="1" applyAlignment="1" applyProtection="1">
      <alignment vertical="top" wrapText="1"/>
      <protection hidden="1"/>
    </xf>
    <xf numFmtId="0" fontId="4" fillId="0" borderId="37" xfId="1" applyBorder="1" applyAlignment="1" applyProtection="1">
      <alignment vertical="top" wrapText="1"/>
      <protection hidden="1"/>
    </xf>
    <xf numFmtId="49" fontId="4" fillId="0" borderId="35" xfId="1" applyNumberFormat="1" applyBorder="1" applyAlignment="1" applyProtection="1">
      <alignment horizontal="center" vertical="top" wrapText="1"/>
      <protection hidden="1"/>
    </xf>
    <xf numFmtId="49" fontId="4" fillId="0" borderId="40" xfId="1" applyNumberFormat="1" applyBorder="1" applyAlignment="1" applyProtection="1">
      <alignment horizontal="center" vertical="top" wrapText="1"/>
      <protection hidden="1"/>
    </xf>
    <xf numFmtId="49" fontId="4" fillId="0" borderId="30" xfId="1" applyNumberFormat="1" applyBorder="1" applyAlignment="1" applyProtection="1">
      <alignment horizontal="center" vertical="top" wrapText="1"/>
      <protection hidden="1"/>
    </xf>
    <xf numFmtId="0" fontId="17" fillId="3" borderId="10" xfId="1" applyFont="1" applyFill="1" applyBorder="1" applyAlignment="1" applyProtection="1">
      <alignment horizontal="center" vertical="center" wrapText="1"/>
      <protection hidden="1"/>
    </xf>
    <xf numFmtId="0" fontId="17" fillId="5" borderId="22" xfId="1" applyFont="1" applyFill="1" applyBorder="1" applyAlignment="1" applyProtection="1">
      <alignment horizontal="center" vertical="center" wrapText="1"/>
      <protection hidden="1"/>
    </xf>
    <xf numFmtId="0" fontId="4" fillId="0" borderId="10" xfId="1" applyBorder="1" applyAlignment="1" applyProtection="1">
      <alignment horizontal="center" vertical="center"/>
      <protection locked="0"/>
    </xf>
    <xf numFmtId="0" fontId="4" fillId="0" borderId="13" xfId="1" applyBorder="1" applyAlignment="1" applyProtection="1">
      <alignment horizontal="center" vertical="center"/>
      <protection locked="0"/>
    </xf>
    <xf numFmtId="0" fontId="4" fillId="0" borderId="15" xfId="1" applyBorder="1" applyAlignment="1" applyProtection="1">
      <alignment horizontal="center" vertical="center"/>
      <protection locked="0"/>
    </xf>
    <xf numFmtId="0" fontId="19" fillId="5" borderId="42" xfId="1" applyFont="1" applyFill="1" applyBorder="1" applyAlignment="1" applyProtection="1">
      <alignment horizontal="center" vertical="center"/>
      <protection hidden="1"/>
    </xf>
    <xf numFmtId="1" fontId="14" fillId="5" borderId="12" xfId="1" applyNumberFormat="1" applyFont="1" applyFill="1" applyBorder="1" applyAlignment="1" applyProtection="1">
      <alignment horizontal="center" vertical="center"/>
      <protection hidden="1"/>
    </xf>
    <xf numFmtId="0" fontId="14" fillId="5" borderId="14" xfId="1" applyFont="1" applyFill="1" applyBorder="1" applyAlignment="1" applyProtection="1">
      <alignment horizontal="center" vertical="center"/>
      <protection hidden="1"/>
    </xf>
    <xf numFmtId="0" fontId="14" fillId="5" borderId="17" xfId="1" applyFont="1" applyFill="1" applyBorder="1" applyAlignment="1" applyProtection="1">
      <alignment horizontal="center" vertical="center"/>
      <protection hidden="1"/>
    </xf>
    <xf numFmtId="0" fontId="19" fillId="5" borderId="10" xfId="1" applyFont="1" applyFill="1" applyBorder="1" applyAlignment="1" applyProtection="1">
      <alignment horizontal="center" vertical="center"/>
      <protection hidden="1"/>
    </xf>
    <xf numFmtId="0" fontId="19" fillId="5" borderId="11" xfId="1" applyFont="1" applyFill="1" applyBorder="1" applyAlignment="1" applyProtection="1">
      <alignment horizontal="left" vertical="center"/>
      <protection hidden="1"/>
    </xf>
    <xf numFmtId="0" fontId="19" fillId="5" borderId="13" xfId="1" applyFont="1" applyFill="1" applyBorder="1" applyAlignment="1" applyProtection="1">
      <alignment horizontal="center" vertical="center"/>
      <protection hidden="1"/>
    </xf>
    <xf numFmtId="0" fontId="19" fillId="5" borderId="15" xfId="1" applyFont="1" applyFill="1" applyBorder="1" applyAlignment="1" applyProtection="1">
      <alignment horizontal="center" vertical="center"/>
      <protection hidden="1"/>
    </xf>
    <xf numFmtId="0" fontId="19" fillId="5" borderId="30" xfId="1" applyFont="1" applyFill="1" applyBorder="1" applyAlignment="1" applyProtection="1">
      <alignment horizontal="center" vertical="center"/>
      <protection hidden="1"/>
    </xf>
    <xf numFmtId="0" fontId="19" fillId="5" borderId="1" xfId="1" applyFont="1" applyFill="1" applyBorder="1" applyAlignment="1" applyProtection="1">
      <alignment horizontal="left" vertical="center"/>
      <protection hidden="1"/>
    </xf>
    <xf numFmtId="0" fontId="19" fillId="5" borderId="16" xfId="1" applyFont="1" applyFill="1" applyBorder="1" applyAlignment="1" applyProtection="1">
      <alignment horizontal="left" vertical="center"/>
      <protection hidden="1"/>
    </xf>
    <xf numFmtId="0" fontId="19" fillId="5" borderId="41" xfId="1" applyFont="1" applyFill="1" applyBorder="1" applyAlignment="1" applyProtection="1">
      <alignment horizontal="center" vertical="center"/>
      <protection hidden="1"/>
    </xf>
    <xf numFmtId="165" fontId="19" fillId="0" borderId="0" xfId="1" applyNumberFormat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center" vertical="center"/>
      <protection locked="0"/>
    </xf>
    <xf numFmtId="0" fontId="8" fillId="5" borderId="7" xfId="1" applyFont="1" applyFill="1" applyBorder="1" applyAlignment="1" applyProtection="1">
      <alignment horizontal="center" vertical="center"/>
      <protection hidden="1"/>
    </xf>
    <xf numFmtId="0" fontId="8" fillId="5" borderId="8" xfId="1" applyFont="1" applyFill="1" applyBorder="1" applyAlignment="1" applyProtection="1">
      <alignment horizontal="center" vertical="center"/>
      <protection hidden="1"/>
    </xf>
    <xf numFmtId="0" fontId="12" fillId="4" borderId="0" xfId="1" applyFont="1" applyFill="1" applyAlignment="1" applyProtection="1">
      <alignment horizontal="center" vertical="center"/>
      <protection hidden="1"/>
    </xf>
    <xf numFmtId="49" fontId="17" fillId="4" borderId="0" xfId="1" applyNumberFormat="1" applyFont="1" applyFill="1" applyAlignment="1" applyProtection="1">
      <alignment horizontal="center" vertical="center" wrapText="1"/>
      <protection hidden="1"/>
    </xf>
    <xf numFmtId="0" fontId="19" fillId="5" borderId="32" xfId="1" applyFont="1" applyFill="1" applyBorder="1" applyAlignment="1" applyProtection="1">
      <alignment horizontal="center" vertical="center" wrapText="1"/>
      <protection hidden="1"/>
    </xf>
    <xf numFmtId="0" fontId="19" fillId="5" borderId="31" xfId="1" applyFont="1" applyFill="1" applyBorder="1" applyAlignment="1" applyProtection="1">
      <alignment horizontal="center" vertical="center" wrapText="1"/>
      <protection hidden="1"/>
    </xf>
    <xf numFmtId="0" fontId="19" fillId="5" borderId="4" xfId="1" applyFont="1" applyFill="1" applyBorder="1" applyAlignment="1" applyProtection="1">
      <alignment horizontal="center" vertical="center"/>
      <protection hidden="1"/>
    </xf>
    <xf numFmtId="0" fontId="8" fillId="5" borderId="44" xfId="1" applyFont="1" applyFill="1" applyBorder="1" applyAlignment="1" applyProtection="1">
      <alignment horizontal="center" vertical="center"/>
      <protection hidden="1"/>
    </xf>
    <xf numFmtId="0" fontId="17" fillId="3" borderId="30" xfId="1" applyFont="1" applyFill="1" applyBorder="1" applyAlignment="1" applyProtection="1">
      <alignment horizontal="center" vertical="center" wrapText="1"/>
      <protection hidden="1"/>
    </xf>
    <xf numFmtId="0" fontId="4" fillId="0" borderId="30" xfId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center" vertical="center"/>
      <protection locked="0"/>
    </xf>
    <xf numFmtId="0" fontId="4" fillId="0" borderId="41" xfId="1" applyBorder="1" applyAlignment="1" applyProtection="1">
      <alignment horizontal="center" vertical="center"/>
      <protection locked="0"/>
    </xf>
    <xf numFmtId="0" fontId="13" fillId="0" borderId="0" xfId="1" applyFont="1" applyAlignment="1" applyProtection="1">
      <alignment vertical="center"/>
      <protection hidden="1"/>
    </xf>
    <xf numFmtId="0" fontId="4" fillId="2" borderId="0" xfId="1" applyFill="1" applyAlignment="1" applyProtection="1">
      <alignment horizontal="center" vertical="center"/>
      <protection hidden="1"/>
    </xf>
    <xf numFmtId="0" fontId="2" fillId="0" borderId="0" xfId="1" applyFont="1" applyAlignment="1" applyProtection="1">
      <alignment vertical="center"/>
      <protection hidden="1"/>
    </xf>
    <xf numFmtId="0" fontId="24" fillId="0" borderId="0" xfId="1" applyFont="1" applyAlignment="1" applyProtection="1">
      <alignment vertical="center"/>
      <protection hidden="1"/>
    </xf>
    <xf numFmtId="168" fontId="4" fillId="0" borderId="1" xfId="1" applyNumberFormat="1" applyBorder="1" applyAlignment="1" applyProtection="1">
      <alignment horizontal="center" vertical="center"/>
      <protection locked="0"/>
    </xf>
    <xf numFmtId="0" fontId="4" fillId="0" borderId="4" xfId="1" applyBorder="1" applyAlignment="1" applyProtection="1">
      <alignment horizontal="left" vertical="center"/>
      <protection locked="0"/>
    </xf>
    <xf numFmtId="0" fontId="4" fillId="0" borderId="2" xfId="1" applyBorder="1" applyAlignment="1" applyProtection="1">
      <alignment horizontal="center" vertical="center"/>
      <protection locked="0"/>
    </xf>
    <xf numFmtId="168" fontId="25" fillId="0" borderId="0" xfId="1" applyNumberFormat="1" applyFont="1" applyProtection="1">
      <protection hidden="1"/>
    </xf>
    <xf numFmtId="168" fontId="4" fillId="0" borderId="0" xfId="1" applyNumberFormat="1" applyProtection="1">
      <protection hidden="1"/>
    </xf>
    <xf numFmtId="165" fontId="12" fillId="0" borderId="0" xfId="1" applyNumberFormat="1" applyFont="1" applyAlignment="1" applyProtection="1">
      <alignment horizontal="left" vertical="center"/>
      <protection hidden="1"/>
    </xf>
    <xf numFmtId="49" fontId="17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/>
      <protection hidden="1"/>
    </xf>
    <xf numFmtId="0" fontId="12" fillId="0" borderId="1" xfId="1" applyFont="1" applyBorder="1" applyAlignment="1" applyProtection="1">
      <alignment horizontal="left" vertical="center"/>
      <protection hidden="1"/>
    </xf>
    <xf numFmtId="0" fontId="12" fillId="0" borderId="1" xfId="1" applyFont="1" applyBorder="1" applyAlignment="1" applyProtection="1">
      <alignment horizontal="center" vertical="center"/>
      <protection locked="0" hidden="1"/>
    </xf>
    <xf numFmtId="0" fontId="14" fillId="0" borderId="0" xfId="1" applyFont="1" applyAlignment="1" applyProtection="1">
      <alignment horizontal="center" vertical="center"/>
      <protection hidden="1"/>
    </xf>
    <xf numFmtId="0" fontId="29" fillId="0" borderId="0" xfId="1" applyFont="1" applyAlignment="1" applyProtection="1">
      <alignment vertical="center"/>
      <protection hidden="1"/>
    </xf>
    <xf numFmtId="49" fontId="4" fillId="0" borderId="0" xfId="1" applyNumberFormat="1" applyAlignment="1" applyProtection="1">
      <alignment vertical="center"/>
      <protection hidden="1"/>
    </xf>
    <xf numFmtId="0" fontId="30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3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4" fillId="0" borderId="0" xfId="1" applyAlignment="1" applyProtection="1">
      <alignment horizontal="left" vertical="center" indent="6"/>
      <protection hidden="1"/>
    </xf>
    <xf numFmtId="0" fontId="11" fillId="0" borderId="0" xfId="1" applyFont="1" applyAlignment="1" applyProtection="1">
      <alignment horizontal="left" vertical="center" indent="6"/>
      <protection hidden="1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15" fillId="0" borderId="63" xfId="0" applyFont="1" applyBorder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66" xfId="0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left" vertical="center"/>
    </xf>
    <xf numFmtId="0" fontId="15" fillId="0" borderId="69" xfId="0" applyFont="1" applyBorder="1" applyAlignment="1">
      <alignment horizontal="center" vertical="center"/>
    </xf>
    <xf numFmtId="0" fontId="15" fillId="0" borderId="70" xfId="0" applyFont="1" applyBorder="1" applyAlignment="1">
      <alignment horizontal="center" vertical="center"/>
    </xf>
    <xf numFmtId="0" fontId="1" fillId="7" borderId="71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  <protection locked="0" hidden="1"/>
    </xf>
    <xf numFmtId="0" fontId="19" fillId="0" borderId="1" xfId="1" applyFont="1" applyBorder="1" applyAlignment="1" applyProtection="1">
      <alignment horizontal="center" vertical="center"/>
      <protection hidden="1"/>
    </xf>
    <xf numFmtId="0" fontId="17" fillId="3" borderId="1" xfId="1" applyFont="1" applyFill="1" applyBorder="1" applyAlignment="1" applyProtection="1">
      <alignment horizontal="center" vertical="center" wrapText="1"/>
      <protection locked="0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8" fillId="8" borderId="7" xfId="1" applyFont="1" applyFill="1" applyBorder="1" applyAlignment="1" applyProtection="1">
      <alignment horizontal="center" vertical="center"/>
      <protection hidden="1"/>
    </xf>
    <xf numFmtId="0" fontId="8" fillId="8" borderId="8" xfId="1" applyFont="1" applyFill="1" applyBorder="1" applyAlignment="1" applyProtection="1">
      <alignment horizontal="center" vertical="center"/>
      <protection hidden="1"/>
    </xf>
    <xf numFmtId="0" fontId="8" fillId="8" borderId="44" xfId="1" applyFont="1" applyFill="1" applyBorder="1" applyAlignment="1" applyProtection="1">
      <alignment horizontal="center" vertical="center"/>
      <protection hidden="1"/>
    </xf>
    <xf numFmtId="1" fontId="14" fillId="8" borderId="12" xfId="1" applyNumberFormat="1" applyFont="1" applyFill="1" applyBorder="1" applyAlignment="1" applyProtection="1">
      <alignment horizontal="center" vertical="center"/>
      <protection hidden="1"/>
    </xf>
    <xf numFmtId="0" fontId="14" fillId="8" borderId="14" xfId="1" applyFont="1" applyFill="1" applyBorder="1" applyAlignment="1" applyProtection="1">
      <alignment horizontal="center" vertical="center"/>
      <protection hidden="1"/>
    </xf>
    <xf numFmtId="0" fontId="14" fillId="8" borderId="17" xfId="1" applyFont="1" applyFill="1" applyBorder="1" applyAlignment="1" applyProtection="1">
      <alignment horizontal="center" vertical="center"/>
      <protection hidden="1"/>
    </xf>
    <xf numFmtId="0" fontId="19" fillId="8" borderId="10" xfId="1" applyFont="1" applyFill="1" applyBorder="1" applyAlignment="1" applyProtection="1">
      <alignment horizontal="center" vertical="center"/>
      <protection hidden="1"/>
    </xf>
    <xf numFmtId="0" fontId="19" fillId="8" borderId="11" xfId="1" applyFont="1" applyFill="1" applyBorder="1" applyAlignment="1" applyProtection="1">
      <alignment horizontal="left" vertical="center"/>
      <protection hidden="1"/>
    </xf>
    <xf numFmtId="0" fontId="19" fillId="8" borderId="30" xfId="1" applyFont="1" applyFill="1" applyBorder="1" applyAlignment="1" applyProtection="1">
      <alignment horizontal="center" vertical="center"/>
      <protection hidden="1"/>
    </xf>
    <xf numFmtId="0" fontId="19" fillId="8" borderId="13" xfId="1" applyFont="1" applyFill="1" applyBorder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16" fontId="12" fillId="0" borderId="0" xfId="1" quotePrefix="1" applyNumberFormat="1" applyFont="1" applyAlignment="1" applyProtection="1">
      <alignment horizontal="left" vertical="center"/>
      <protection hidden="1"/>
    </xf>
    <xf numFmtId="0" fontId="12" fillId="8" borderId="1" xfId="1" applyFont="1" applyFill="1" applyBorder="1" applyAlignment="1" applyProtection="1">
      <alignment horizontal="center" vertical="center"/>
      <protection hidden="1"/>
    </xf>
    <xf numFmtId="0" fontId="12" fillId="8" borderId="1" xfId="1" applyFont="1" applyFill="1" applyBorder="1" applyAlignment="1" applyProtection="1">
      <alignment horizontal="left" vertical="center"/>
      <protection hidden="1"/>
    </xf>
    <xf numFmtId="0" fontId="19" fillId="0" borderId="1" xfId="1" applyFont="1" applyBorder="1" applyAlignment="1" applyProtection="1">
      <alignment horizontal="center" vertical="center" wrapText="1"/>
      <protection locked="0" hidden="1"/>
    </xf>
    <xf numFmtId="49" fontId="12" fillId="0" borderId="0" xfId="1" applyNumberFormat="1" applyFont="1" applyAlignment="1" applyProtection="1">
      <alignment horizontal="left" vertical="center"/>
      <protection hidden="1"/>
    </xf>
    <xf numFmtId="49" fontId="19" fillId="0" borderId="0" xfId="1" applyNumberFormat="1" applyFont="1" applyAlignment="1" applyProtection="1">
      <alignment horizontal="left" vertical="center"/>
      <protection hidden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4" fillId="5" borderId="4" xfId="1" applyFont="1" applyFill="1" applyBorder="1" applyAlignment="1" applyProtection="1">
      <alignment horizontal="center" vertical="center" wrapText="1"/>
      <protection hidden="1"/>
    </xf>
    <xf numFmtId="0" fontId="14" fillId="5" borderId="2" xfId="1" applyFont="1" applyFill="1" applyBorder="1" applyAlignment="1" applyProtection="1">
      <alignment horizontal="center" vertical="center" wrapText="1"/>
      <protection hidden="1"/>
    </xf>
    <xf numFmtId="0" fontId="4" fillId="0" borderId="9" xfId="1" applyBorder="1" applyAlignment="1" applyProtection="1">
      <alignment horizontal="center" vertical="center"/>
      <protection hidden="1"/>
    </xf>
    <xf numFmtId="0" fontId="4" fillId="0" borderId="11" xfId="1" applyBorder="1" applyAlignment="1" applyProtection="1">
      <alignment horizontal="center"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4" fillId="5" borderId="4" xfId="1" applyFont="1" applyFill="1" applyBorder="1" applyAlignment="1" applyProtection="1">
      <alignment horizontal="center" vertical="center"/>
      <protection hidden="1"/>
    </xf>
    <xf numFmtId="0" fontId="14" fillId="5" borderId="3" xfId="1" applyFont="1" applyFill="1" applyBorder="1" applyAlignment="1" applyProtection="1">
      <alignment horizontal="center" vertical="center"/>
      <protection hidden="1"/>
    </xf>
    <xf numFmtId="0" fontId="14" fillId="5" borderId="2" xfId="1" applyFont="1" applyFill="1" applyBorder="1" applyAlignment="1" applyProtection="1">
      <alignment horizontal="center" vertical="center"/>
      <protection hidden="1"/>
    </xf>
    <xf numFmtId="0" fontId="4" fillId="0" borderId="4" xfId="1" applyBorder="1" applyAlignment="1" applyProtection="1">
      <alignment horizontal="left" vertical="top"/>
      <protection locked="0" hidden="1"/>
    </xf>
    <xf numFmtId="0" fontId="4" fillId="0" borderId="3" xfId="1" applyBorder="1" applyAlignment="1" applyProtection="1">
      <alignment horizontal="left" vertical="top"/>
      <protection locked="0" hidden="1"/>
    </xf>
    <xf numFmtId="0" fontId="4" fillId="0" borderId="2" xfId="1" applyBorder="1" applyAlignment="1" applyProtection="1">
      <alignment horizontal="left" vertical="top"/>
      <protection locked="0" hidden="1"/>
    </xf>
    <xf numFmtId="0" fontId="4" fillId="0" borderId="4" xfId="1" applyBorder="1" applyAlignment="1" applyProtection="1">
      <alignment horizontal="left" vertical="top" wrapText="1"/>
      <protection locked="0" hidden="1"/>
    </xf>
    <xf numFmtId="0" fontId="4" fillId="0" borderId="3" xfId="1" applyBorder="1" applyAlignment="1" applyProtection="1">
      <alignment horizontal="left" vertical="top" wrapText="1"/>
      <protection locked="0" hidden="1"/>
    </xf>
    <xf numFmtId="0" fontId="4" fillId="0" borderId="2" xfId="1" applyBorder="1" applyAlignment="1" applyProtection="1">
      <alignment horizontal="left" vertical="top" wrapText="1"/>
      <protection locked="0" hidden="1"/>
    </xf>
    <xf numFmtId="0" fontId="4" fillId="0" borderId="35" xfId="1" applyBorder="1" applyAlignment="1" applyProtection="1">
      <alignment horizontal="center" vertical="top"/>
      <protection locked="0"/>
    </xf>
    <xf numFmtId="0" fontId="4" fillId="0" borderId="40" xfId="1" applyBorder="1" applyAlignment="1" applyProtection="1">
      <alignment horizontal="center" vertical="top"/>
      <protection locked="0"/>
    </xf>
    <xf numFmtId="0" fontId="4" fillId="0" borderId="36" xfId="1" applyBorder="1" applyAlignment="1" applyProtection="1">
      <alignment horizontal="left" vertical="top" wrapText="1"/>
      <protection locked="0"/>
    </xf>
    <xf numFmtId="0" fontId="4" fillId="0" borderId="39" xfId="1" applyBorder="1" applyAlignment="1" applyProtection="1">
      <alignment horizontal="left" vertical="top" wrapText="1"/>
      <protection locked="0"/>
    </xf>
    <xf numFmtId="0" fontId="4" fillId="0" borderId="9" xfId="1" applyBorder="1" applyAlignment="1" applyProtection="1">
      <alignment horizontal="left" vertical="top" wrapText="1"/>
      <protection locked="0" hidden="1"/>
    </xf>
    <xf numFmtId="0" fontId="4" fillId="0" borderId="11" xfId="1" applyBorder="1" applyAlignment="1" applyProtection="1">
      <alignment horizontal="left" vertical="top" wrapText="1"/>
      <protection locked="0" hidden="1"/>
    </xf>
    <xf numFmtId="0" fontId="4" fillId="0" borderId="38" xfId="1" applyBorder="1" applyAlignment="1" applyProtection="1">
      <alignment horizontal="left" vertical="top" wrapText="1"/>
      <protection locked="0" hidden="1"/>
    </xf>
    <xf numFmtId="0" fontId="4" fillId="0" borderId="0" xfId="1" applyAlignment="1" applyProtection="1">
      <alignment horizontal="left" vertical="top" wrapText="1"/>
      <protection locked="0" hidden="1"/>
    </xf>
    <xf numFmtId="0" fontId="4" fillId="0" borderId="36" xfId="1" applyBorder="1" applyAlignment="1" applyProtection="1">
      <alignment horizontal="center" vertical="top" wrapText="1"/>
      <protection hidden="1"/>
    </xf>
    <xf numFmtId="0" fontId="4" fillId="0" borderId="39" xfId="1" applyBorder="1" applyAlignment="1" applyProtection="1">
      <alignment horizontal="center" vertical="top" wrapText="1"/>
      <protection hidden="1"/>
    </xf>
    <xf numFmtId="0" fontId="4" fillId="0" borderId="37" xfId="1" applyBorder="1" applyAlignment="1" applyProtection="1">
      <alignment horizontal="center" vertical="top" wrapText="1"/>
      <protection hidden="1"/>
    </xf>
    <xf numFmtId="0" fontId="4" fillId="0" borderId="9" xfId="1" applyBorder="1" applyAlignment="1" applyProtection="1">
      <alignment horizontal="center" vertical="top" wrapText="1"/>
      <protection locked="0" hidden="1"/>
    </xf>
    <xf numFmtId="0" fontId="4" fillId="0" borderId="18" xfId="1" applyBorder="1" applyAlignment="1" applyProtection="1">
      <alignment horizontal="center" vertical="top" wrapText="1"/>
      <protection locked="0" hidden="1"/>
    </xf>
    <xf numFmtId="0" fontId="4" fillId="0" borderId="11" xfId="1" applyBorder="1" applyAlignment="1" applyProtection="1">
      <alignment horizontal="center" vertical="top" wrapText="1"/>
      <protection locked="0" hidden="1"/>
    </xf>
    <xf numFmtId="0" fontId="4" fillId="0" borderId="30" xfId="1" applyBorder="1" applyAlignment="1" applyProtection="1">
      <alignment horizontal="center" vertical="top"/>
      <protection locked="0"/>
    </xf>
    <xf numFmtId="0" fontId="4" fillId="0" borderId="37" xfId="1" applyBorder="1" applyAlignment="1" applyProtection="1">
      <alignment horizontal="left" vertical="top" wrapText="1"/>
      <protection locked="0"/>
    </xf>
    <xf numFmtId="0" fontId="4" fillId="0" borderId="9" xfId="1" applyBorder="1" applyAlignment="1" applyProtection="1">
      <alignment horizontal="center" vertical="top" wrapText="1"/>
      <protection hidden="1"/>
    </xf>
    <xf numFmtId="0" fontId="4" fillId="0" borderId="18" xfId="1" applyBorder="1" applyAlignment="1" applyProtection="1">
      <alignment horizontal="center" vertical="top" wrapText="1"/>
      <protection hidden="1"/>
    </xf>
    <xf numFmtId="0" fontId="4" fillId="0" borderId="11" xfId="1" applyBorder="1" applyAlignment="1" applyProtection="1">
      <alignment horizontal="center" vertical="top" wrapText="1"/>
      <protection hidden="1"/>
    </xf>
    <xf numFmtId="0" fontId="4" fillId="0" borderId="4" xfId="1" applyBorder="1" applyAlignment="1" applyProtection="1">
      <alignment horizontal="left" vertical="center"/>
      <protection locked="0" hidden="1"/>
    </xf>
    <xf numFmtId="0" fontId="4" fillId="0" borderId="3" xfId="1" applyBorder="1" applyAlignment="1" applyProtection="1">
      <alignment horizontal="left" vertical="center"/>
      <protection locked="0" hidden="1"/>
    </xf>
    <xf numFmtId="0" fontId="4" fillId="0" borderId="2" xfId="1" applyBorder="1" applyAlignment="1" applyProtection="1">
      <alignment horizontal="left" vertical="center"/>
      <protection locked="0" hidden="1"/>
    </xf>
    <xf numFmtId="0" fontId="4" fillId="0" borderId="4" xfId="1" applyBorder="1" applyAlignment="1" applyProtection="1">
      <alignment horizontal="left" vertical="center" wrapText="1"/>
      <protection locked="0" hidden="1"/>
    </xf>
    <xf numFmtId="0" fontId="4" fillId="0" borderId="3" xfId="1" applyBorder="1" applyAlignment="1" applyProtection="1">
      <alignment horizontal="left" vertical="center" wrapText="1"/>
      <protection locked="0" hidden="1"/>
    </xf>
    <xf numFmtId="0" fontId="4" fillId="0" borderId="2" xfId="1" applyBorder="1" applyAlignment="1" applyProtection="1">
      <alignment horizontal="left" vertical="center" wrapText="1"/>
      <protection locked="0" hidden="1"/>
    </xf>
    <xf numFmtId="0" fontId="4" fillId="0" borderId="9" xfId="1" applyBorder="1" applyAlignment="1" applyProtection="1">
      <alignment horizontal="center" vertical="center"/>
      <protection locked="0" hidden="1"/>
    </xf>
    <xf numFmtId="0" fontId="4" fillId="0" borderId="11" xfId="1" applyBorder="1" applyAlignment="1" applyProtection="1">
      <alignment horizontal="center" vertical="center"/>
      <protection locked="0" hidden="1"/>
    </xf>
    <xf numFmtId="0" fontId="4" fillId="0" borderId="19" xfId="1" applyBorder="1" applyAlignment="1" applyProtection="1">
      <alignment horizontal="left" vertical="top" wrapText="1"/>
      <protection locked="0" hidden="1"/>
    </xf>
    <xf numFmtId="0" fontId="4" fillId="0" borderId="9" xfId="1" applyBorder="1" applyAlignment="1" applyProtection="1">
      <alignment horizontal="center" vertical="top"/>
      <protection hidden="1"/>
    </xf>
    <xf numFmtId="0" fontId="4" fillId="0" borderId="18" xfId="1" applyBorder="1" applyAlignment="1" applyProtection="1">
      <alignment horizontal="center" vertical="top"/>
      <protection hidden="1"/>
    </xf>
    <xf numFmtId="0" fontId="4" fillId="0" borderId="11" xfId="1" applyBorder="1" applyAlignment="1" applyProtection="1">
      <alignment horizontal="center" vertical="top"/>
      <protection hidden="1"/>
    </xf>
    <xf numFmtId="0" fontId="4" fillId="0" borderId="35" xfId="1" applyBorder="1" applyAlignment="1" applyProtection="1">
      <alignment horizontal="center" vertical="top" wrapText="1"/>
      <protection hidden="1"/>
    </xf>
    <xf numFmtId="0" fontId="4" fillId="0" borderId="38" xfId="1" applyBorder="1" applyAlignment="1" applyProtection="1">
      <alignment horizontal="center" vertical="top" wrapText="1"/>
      <protection hidden="1"/>
    </xf>
    <xf numFmtId="0" fontId="4" fillId="0" borderId="40" xfId="1" applyBorder="1" applyAlignment="1" applyProtection="1">
      <alignment horizontal="center" vertical="top" wrapText="1"/>
      <protection hidden="1"/>
    </xf>
    <xf numFmtId="0" fontId="4" fillId="0" borderId="0" xfId="1" applyAlignment="1" applyProtection="1">
      <alignment horizontal="center" vertical="top" wrapText="1"/>
      <protection hidden="1"/>
    </xf>
    <xf numFmtId="0" fontId="4" fillId="0" borderId="30" xfId="1" applyBorder="1" applyAlignment="1" applyProtection="1">
      <alignment horizontal="center" vertical="top" wrapText="1"/>
      <protection hidden="1"/>
    </xf>
    <xf numFmtId="0" fontId="4" fillId="0" borderId="19" xfId="1" applyBorder="1" applyAlignment="1" applyProtection="1">
      <alignment horizontal="center" vertical="top" wrapText="1"/>
      <protection hidden="1"/>
    </xf>
    <xf numFmtId="0" fontId="21" fillId="0" borderId="0" xfId="1" applyFont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/>
      <protection hidden="1"/>
    </xf>
    <xf numFmtId="165" fontId="4" fillId="0" borderId="0" xfId="1" applyNumberFormat="1" applyAlignment="1" applyProtection="1">
      <alignment vertical="center"/>
      <protection hidden="1"/>
    </xf>
    <xf numFmtId="0" fontId="14" fillId="5" borderId="1" xfId="1" applyFont="1" applyFill="1" applyBorder="1" applyAlignment="1" applyProtection="1">
      <alignment horizontal="left" vertical="center"/>
      <protection hidden="1"/>
    </xf>
    <xf numFmtId="0" fontId="4" fillId="0" borderId="1" xfId="1" applyBorder="1" applyAlignment="1" applyProtection="1">
      <alignment horizontal="left" vertical="center" wrapText="1"/>
      <protection hidden="1"/>
    </xf>
    <xf numFmtId="0" fontId="14" fillId="5" borderId="4" xfId="1" applyFont="1" applyFill="1" applyBorder="1" applyAlignment="1" applyProtection="1">
      <alignment vertical="center"/>
      <protection hidden="1"/>
    </xf>
    <xf numFmtId="0" fontId="14" fillId="5" borderId="3" xfId="1" applyFont="1" applyFill="1" applyBorder="1" applyAlignment="1" applyProtection="1">
      <alignment vertical="center"/>
      <protection hidden="1"/>
    </xf>
    <xf numFmtId="0" fontId="14" fillId="5" borderId="2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horizontal="left" vertical="top" wrapText="1"/>
      <protection hidden="1"/>
    </xf>
    <xf numFmtId="0" fontId="4" fillId="0" borderId="1" xfId="1" applyBorder="1" applyAlignment="1" applyProtection="1">
      <alignment horizontal="left" vertical="top"/>
      <protection hidden="1"/>
    </xf>
    <xf numFmtId="0" fontId="4" fillId="0" borderId="4" xfId="1" applyBorder="1" applyAlignment="1" applyProtection="1">
      <alignment vertical="center"/>
      <protection hidden="1"/>
    </xf>
    <xf numFmtId="0" fontId="4" fillId="0" borderId="3" xfId="1" applyBorder="1" applyAlignment="1" applyProtection="1">
      <alignment vertical="center"/>
      <protection hidden="1"/>
    </xf>
    <xf numFmtId="0" fontId="4" fillId="0" borderId="2" xfId="1" applyBorder="1" applyAlignment="1" applyProtection="1">
      <alignment vertical="center"/>
      <protection locked="0" hidden="1"/>
    </xf>
    <xf numFmtId="0" fontId="4" fillId="0" borderId="1" xfId="1" applyBorder="1" applyAlignment="1" applyProtection="1">
      <alignment vertical="center"/>
      <protection locked="0" hidden="1"/>
    </xf>
    <xf numFmtId="0" fontId="4" fillId="0" borderId="35" xfId="1" applyBorder="1" applyAlignment="1" applyProtection="1">
      <alignment horizontal="left" vertical="center"/>
      <protection locked="0" hidden="1"/>
    </xf>
    <xf numFmtId="0" fontId="4" fillId="0" borderId="38" xfId="1" applyBorder="1" applyAlignment="1" applyProtection="1">
      <alignment horizontal="left" vertical="center"/>
      <protection locked="0" hidden="1"/>
    </xf>
    <xf numFmtId="0" fontId="4" fillId="0" borderId="36" xfId="1" applyBorder="1" applyAlignment="1" applyProtection="1">
      <alignment horizontal="left" vertical="center"/>
      <protection locked="0" hidden="1"/>
    </xf>
    <xf numFmtId="0" fontId="14" fillId="5" borderId="11" xfId="1" applyFont="1" applyFill="1" applyBorder="1" applyAlignment="1" applyProtection="1">
      <alignment vertical="center"/>
      <protection hidden="1"/>
    </xf>
    <xf numFmtId="0" fontId="4" fillId="0" borderId="1" xfId="1" applyBorder="1" applyAlignment="1" applyProtection="1">
      <alignment vertical="center"/>
      <protection hidden="1"/>
    </xf>
    <xf numFmtId="0" fontId="6" fillId="0" borderId="3" xfId="1" applyFont="1" applyBorder="1" applyAlignment="1" applyProtection="1">
      <alignment horizontal="center" vertical="center"/>
      <protection hidden="1"/>
    </xf>
    <xf numFmtId="0" fontId="14" fillId="0" borderId="4" xfId="1" applyFont="1" applyBorder="1" applyAlignment="1" applyProtection="1">
      <alignment horizontal="left" vertical="center" indent="1"/>
      <protection locked="0"/>
    </xf>
    <xf numFmtId="0" fontId="14" fillId="0" borderId="3" xfId="1" applyFont="1" applyBorder="1" applyAlignment="1" applyProtection="1">
      <alignment horizontal="left" vertical="center" indent="1"/>
      <protection locked="0"/>
    </xf>
    <xf numFmtId="0" fontId="14" fillId="0" borderId="2" xfId="1" applyFont="1" applyBorder="1" applyAlignment="1" applyProtection="1">
      <alignment horizontal="left" vertical="center" indent="1"/>
      <protection locked="0"/>
    </xf>
    <xf numFmtId="0" fontId="4" fillId="0" borderId="4" xfId="1" applyBorder="1" applyAlignment="1" applyProtection="1">
      <alignment vertical="center" wrapText="1"/>
      <protection hidden="1"/>
    </xf>
    <xf numFmtId="0" fontId="4" fillId="0" borderId="3" xfId="1" applyBorder="1" applyAlignment="1" applyProtection="1">
      <alignment vertical="center" wrapText="1"/>
      <protection hidden="1"/>
    </xf>
    <xf numFmtId="0" fontId="4" fillId="0" borderId="2" xfId="1" applyBorder="1" applyAlignment="1" applyProtection="1">
      <alignment vertical="center" wrapText="1"/>
      <protection hidden="1"/>
    </xf>
    <xf numFmtId="0" fontId="4" fillId="0" borderId="9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/>
      <protection locked="0" hidden="1"/>
    </xf>
    <xf numFmtId="0" fontId="4" fillId="0" borderId="1" xfId="1" applyBorder="1" applyAlignment="1" applyProtection="1">
      <alignment horizontal="left" vertical="center" wrapText="1"/>
      <protection locked="0" hidden="1"/>
    </xf>
    <xf numFmtId="0" fontId="13" fillId="0" borderId="0" xfId="1" applyFont="1" applyAlignment="1" applyProtection="1">
      <alignment horizontal="center" vertical="center"/>
      <protection hidden="1"/>
    </xf>
    <xf numFmtId="0" fontId="4" fillId="5" borderId="4" xfId="1" applyFill="1" applyBorder="1" applyAlignment="1" applyProtection="1">
      <alignment horizontal="left" vertical="center"/>
      <protection locked="0"/>
    </xf>
    <xf numFmtId="0" fontId="4" fillId="5" borderId="2" xfId="1" applyFill="1" applyBorder="1" applyAlignment="1" applyProtection="1">
      <alignment horizontal="left" vertical="center"/>
      <protection locked="0"/>
    </xf>
    <xf numFmtId="0" fontId="14" fillId="5" borderId="11" xfId="1" applyFont="1" applyFill="1" applyBorder="1" applyAlignment="1" applyProtection="1">
      <alignment horizontal="center" vertical="center"/>
      <protection hidden="1"/>
    </xf>
    <xf numFmtId="0" fontId="14" fillId="5" borderId="9" xfId="1" applyFont="1" applyFill="1" applyBorder="1" applyAlignment="1" applyProtection="1">
      <alignment horizontal="center" vertical="center" wrapText="1"/>
      <protection hidden="1"/>
    </xf>
    <xf numFmtId="0" fontId="14" fillId="5" borderId="11" xfId="1" applyFont="1" applyFill="1" applyBorder="1" applyAlignment="1" applyProtection="1">
      <alignment horizontal="center" vertical="center" wrapText="1"/>
      <protection hidden="1"/>
    </xf>
    <xf numFmtId="0" fontId="14" fillId="5" borderId="1" xfId="1" applyFont="1" applyFill="1" applyBorder="1" applyAlignment="1" applyProtection="1">
      <alignment horizontal="center" vertical="center" wrapText="1"/>
      <protection hidden="1"/>
    </xf>
    <xf numFmtId="0" fontId="26" fillId="0" borderId="59" xfId="1" applyFont="1" applyBorder="1" applyAlignment="1" applyProtection="1">
      <alignment horizontal="center" vertical="center" wrapText="1"/>
      <protection hidden="1"/>
    </xf>
    <xf numFmtId="0" fontId="26" fillId="0" borderId="60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/>
      <protection hidden="1"/>
    </xf>
    <xf numFmtId="0" fontId="28" fillId="0" borderId="0" xfId="1" applyFont="1" applyAlignment="1" applyProtection="1">
      <alignment horizontal="center" vertical="center"/>
      <protection hidden="1"/>
    </xf>
    <xf numFmtId="0" fontId="7" fillId="0" borderId="0" xfId="1" applyFont="1" applyAlignment="1" applyProtection="1">
      <alignment horizontal="center" vertical="center"/>
      <protection hidden="1"/>
    </xf>
    <xf numFmtId="0" fontId="26" fillId="0" borderId="60" xfId="1" applyFont="1" applyBorder="1" applyAlignment="1" applyProtection="1">
      <alignment horizontal="center" vertical="top" wrapText="1"/>
      <protection hidden="1"/>
    </xf>
    <xf numFmtId="0" fontId="26" fillId="0" borderId="60" xfId="1" applyFont="1" applyBorder="1" applyAlignment="1" applyProtection="1">
      <alignment horizontal="center" vertical="top"/>
      <protection hidden="1"/>
    </xf>
    <xf numFmtId="0" fontId="26" fillId="0" borderId="61" xfId="1" applyFont="1" applyBorder="1" applyAlignment="1" applyProtection="1">
      <alignment horizontal="center" vertical="top"/>
      <protection hidden="1"/>
    </xf>
    <xf numFmtId="0" fontId="31" fillId="0" borderId="0" xfId="1" applyFont="1" applyAlignment="1" applyProtection="1">
      <alignment horizontal="center" vertical="center"/>
      <protection hidden="1"/>
    </xf>
    <xf numFmtId="0" fontId="32" fillId="0" borderId="0" xfId="1" applyFont="1" applyAlignment="1" applyProtection="1">
      <alignment horizontal="center" vertical="center"/>
      <protection hidden="1"/>
    </xf>
    <xf numFmtId="49" fontId="33" fillId="0" borderId="0" xfId="1" applyNumberFormat="1" applyFont="1" applyAlignment="1" applyProtection="1">
      <alignment horizontal="center" vertical="center"/>
      <protection hidden="1"/>
    </xf>
    <xf numFmtId="49" fontId="23" fillId="0" borderId="0" xfId="1" applyNumberFormat="1" applyFont="1" applyAlignment="1" applyProtection="1">
      <alignment horizontal="center" vertical="center"/>
      <protection hidden="1"/>
    </xf>
    <xf numFmtId="0" fontId="23" fillId="0" borderId="0" xfId="1" applyFont="1" applyAlignment="1" applyProtection="1">
      <alignment horizontal="center" vertical="center"/>
      <protection hidden="1"/>
    </xf>
    <xf numFmtId="0" fontId="14" fillId="8" borderId="1" xfId="1" applyFont="1" applyFill="1" applyBorder="1" applyAlignment="1" applyProtection="1">
      <alignment horizontal="center" vertical="center" wrapText="1"/>
      <protection hidden="1"/>
    </xf>
    <xf numFmtId="0" fontId="14" fillId="8" borderId="9" xfId="1" applyFont="1" applyFill="1" applyBorder="1" applyAlignment="1" applyProtection="1">
      <alignment horizontal="center" vertical="center" wrapText="1"/>
      <protection hidden="1"/>
    </xf>
    <xf numFmtId="0" fontId="14" fillId="8" borderId="11" xfId="1" applyFont="1" applyFill="1" applyBorder="1" applyAlignment="1" applyProtection="1">
      <alignment horizontal="center" vertical="center" wrapText="1"/>
      <protection hidden="1"/>
    </xf>
    <xf numFmtId="0" fontId="14" fillId="8" borderId="35" xfId="1" applyFont="1" applyFill="1" applyBorder="1" applyAlignment="1" applyProtection="1">
      <alignment horizontal="center" vertical="center" wrapText="1"/>
      <protection hidden="1"/>
    </xf>
    <xf numFmtId="0" fontId="14" fillId="8" borderId="30" xfId="1" applyFont="1" applyFill="1" applyBorder="1" applyAlignment="1" applyProtection="1">
      <alignment horizontal="center" vertical="center" wrapText="1"/>
      <protection hidden="1"/>
    </xf>
    <xf numFmtId="0" fontId="19" fillId="8" borderId="1" xfId="1" applyFont="1" applyFill="1" applyBorder="1" applyAlignment="1" applyProtection="1">
      <alignment horizontal="center" vertical="center"/>
      <protection hidden="1"/>
    </xf>
    <xf numFmtId="0" fontId="19" fillId="8" borderId="1" xfId="1" applyFont="1" applyFill="1" applyBorder="1" applyAlignment="1" applyProtection="1">
      <alignment horizontal="center" vertical="center" wrapText="1"/>
      <protection hidden="1"/>
    </xf>
    <xf numFmtId="0" fontId="19" fillId="8" borderId="1" xfId="1" quotePrefix="1" applyFont="1" applyFill="1" applyBorder="1" applyAlignment="1" applyProtection="1">
      <alignment horizontal="center" vertical="center"/>
      <protection hidden="1"/>
    </xf>
    <xf numFmtId="167" fontId="19" fillId="8" borderId="76" xfId="1" applyNumberFormat="1" applyFont="1" applyFill="1" applyBorder="1" applyAlignment="1" applyProtection="1">
      <alignment horizontal="center" vertical="center"/>
      <protection hidden="1"/>
    </xf>
    <xf numFmtId="167" fontId="19" fillId="8" borderId="80" xfId="1" applyNumberFormat="1" applyFont="1" applyFill="1" applyBorder="1" applyAlignment="1" applyProtection="1">
      <alignment horizontal="center" vertical="center"/>
      <protection hidden="1"/>
    </xf>
    <xf numFmtId="0" fontId="12" fillId="0" borderId="78" xfId="1" applyFont="1" applyBorder="1" applyAlignment="1" applyProtection="1">
      <alignment horizontal="center" vertical="top" wrapText="1"/>
      <protection locked="0"/>
    </xf>
    <xf numFmtId="0" fontId="12" fillId="0" borderId="51" xfId="1" applyFont="1" applyBorder="1" applyAlignment="1" applyProtection="1">
      <alignment horizontal="center" vertical="top" wrapText="1"/>
      <protection locked="0"/>
    </xf>
    <xf numFmtId="0" fontId="12" fillId="0" borderId="75" xfId="1" applyFont="1" applyBorder="1" applyAlignment="1" applyProtection="1">
      <alignment horizontal="center" vertical="top" wrapText="1"/>
      <protection locked="0"/>
    </xf>
    <xf numFmtId="0" fontId="12" fillId="0" borderId="79" xfId="1" applyFont="1" applyBorder="1" applyAlignment="1" applyProtection="1">
      <alignment horizontal="center" vertical="top" wrapText="1"/>
      <protection locked="0"/>
    </xf>
    <xf numFmtId="167" fontId="19" fillId="8" borderId="74" xfId="1" applyNumberFormat="1" applyFont="1" applyFill="1" applyBorder="1" applyAlignment="1" applyProtection="1">
      <alignment horizontal="center" vertical="center"/>
      <protection hidden="1"/>
    </xf>
    <xf numFmtId="167" fontId="19" fillId="8" borderId="77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center" vertical="top" wrapText="1"/>
      <protection locked="0"/>
    </xf>
    <xf numFmtId="167" fontId="19" fillId="8" borderId="81" xfId="1" applyNumberFormat="1" applyFont="1" applyFill="1" applyBorder="1" applyAlignment="1" applyProtection="1">
      <alignment horizontal="center" vertical="center"/>
      <protection hidden="1"/>
    </xf>
    <xf numFmtId="49" fontId="18" fillId="8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8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8" borderId="45" xfId="1" applyFont="1" applyFill="1" applyBorder="1" applyAlignment="1" applyProtection="1">
      <alignment horizontal="center" vertical="center"/>
      <protection hidden="1"/>
    </xf>
    <xf numFmtId="0" fontId="19" fillId="8" borderId="55" xfId="1" applyFont="1" applyFill="1" applyBorder="1" applyAlignment="1" applyProtection="1">
      <alignment horizontal="center" vertical="center"/>
      <protection hidden="1"/>
    </xf>
    <xf numFmtId="0" fontId="7" fillId="0" borderId="57" xfId="1" applyFont="1" applyBorder="1" applyAlignment="1" applyProtection="1">
      <alignment horizontal="center" vertical="center"/>
      <protection hidden="1"/>
    </xf>
    <xf numFmtId="0" fontId="7" fillId="0" borderId="58" xfId="1" applyFont="1" applyBorder="1" applyAlignment="1" applyProtection="1">
      <alignment horizontal="center" vertical="center"/>
      <protection hidden="1"/>
    </xf>
    <xf numFmtId="0" fontId="7" fillId="0" borderId="34" xfId="1" applyFont="1" applyBorder="1" applyAlignment="1" applyProtection="1">
      <alignment horizontal="center" vertical="center"/>
      <protection hidden="1"/>
    </xf>
    <xf numFmtId="0" fontId="7" fillId="0" borderId="33" xfId="1" applyFont="1" applyBorder="1" applyAlignment="1" applyProtection="1">
      <alignment horizontal="center" vertical="center"/>
      <protection hidden="1"/>
    </xf>
    <xf numFmtId="0" fontId="19" fillId="8" borderId="6" xfId="1" applyFont="1" applyFill="1" applyBorder="1" applyAlignment="1" applyProtection="1">
      <alignment horizontal="center" vertical="center" wrapText="1"/>
      <protection hidden="1"/>
    </xf>
    <xf numFmtId="0" fontId="19" fillId="8" borderId="5" xfId="1" applyFont="1" applyFill="1" applyBorder="1" applyAlignment="1" applyProtection="1">
      <alignment horizontal="center" vertical="center" wrapText="1"/>
      <protection hidden="1"/>
    </xf>
    <xf numFmtId="0" fontId="19" fillId="8" borderId="46" xfId="1" applyFont="1" applyFill="1" applyBorder="1" applyAlignment="1" applyProtection="1">
      <alignment horizontal="center" vertical="center" wrapText="1"/>
      <protection hidden="1"/>
    </xf>
    <xf numFmtId="0" fontId="19" fillId="8" borderId="43" xfId="1" applyFont="1" applyFill="1" applyBorder="1" applyAlignment="1" applyProtection="1">
      <alignment horizontal="center" vertical="center" wrapText="1"/>
      <protection hidden="1"/>
    </xf>
    <xf numFmtId="0" fontId="19" fillId="8" borderId="27" xfId="1" applyFont="1" applyFill="1" applyBorder="1" applyAlignment="1" applyProtection="1">
      <alignment horizontal="center" vertical="center"/>
      <protection hidden="1"/>
    </xf>
    <xf numFmtId="0" fontId="19" fillId="8" borderId="25" xfId="1" applyFont="1" applyFill="1" applyBorder="1" applyAlignment="1" applyProtection="1">
      <alignment horizontal="center" vertical="center"/>
      <protection hidden="1"/>
    </xf>
    <xf numFmtId="0" fontId="19" fillId="8" borderId="28" xfId="1" applyFont="1" applyFill="1" applyBorder="1" applyAlignment="1" applyProtection="1">
      <alignment horizontal="center" vertical="center"/>
      <protection hidden="1"/>
    </xf>
    <xf numFmtId="0" fontId="19" fillId="8" borderId="26" xfId="1" applyFont="1" applyFill="1" applyBorder="1" applyAlignment="1" applyProtection="1">
      <alignment horizontal="center" vertical="center"/>
      <protection hidden="1"/>
    </xf>
    <xf numFmtId="0" fontId="19" fillId="8" borderId="54" xfId="1" applyFont="1" applyFill="1" applyBorder="1" applyAlignment="1" applyProtection="1">
      <alignment horizontal="center" vertical="center"/>
      <protection hidden="1"/>
    </xf>
    <xf numFmtId="0" fontId="19" fillId="8" borderId="56" xfId="1" applyFont="1" applyFill="1" applyBorder="1" applyAlignment="1" applyProtection="1">
      <alignment horizontal="center" vertical="center"/>
      <protection hidden="1"/>
    </xf>
    <xf numFmtId="0" fontId="19" fillId="8" borderId="21" xfId="1" applyFont="1" applyFill="1" applyBorder="1" applyAlignment="1" applyProtection="1">
      <alignment horizontal="center" vertical="center"/>
      <protection hidden="1"/>
    </xf>
    <xf numFmtId="0" fontId="19" fillId="8" borderId="20" xfId="1" applyFont="1" applyFill="1" applyBorder="1" applyAlignment="1" applyProtection="1">
      <alignment horizontal="center" vertical="center"/>
      <protection hidden="1"/>
    </xf>
    <xf numFmtId="0" fontId="19" fillId="5" borderId="45" xfId="1" applyFont="1" applyFill="1" applyBorder="1" applyAlignment="1" applyProtection="1">
      <alignment horizontal="center" vertical="center"/>
      <protection hidden="1"/>
    </xf>
    <xf numFmtId="0" fontId="19" fillId="5" borderId="55" xfId="1" applyFont="1" applyFill="1" applyBorder="1" applyAlignment="1" applyProtection="1">
      <alignment horizontal="center" vertical="center"/>
      <protection hidden="1"/>
    </xf>
    <xf numFmtId="0" fontId="19" fillId="5" borderId="54" xfId="1" applyFont="1" applyFill="1" applyBorder="1" applyAlignment="1" applyProtection="1">
      <alignment horizontal="center" vertical="center"/>
      <protection hidden="1"/>
    </xf>
    <xf numFmtId="0" fontId="19" fillId="5" borderId="56" xfId="1" applyFont="1" applyFill="1" applyBorder="1" applyAlignment="1" applyProtection="1">
      <alignment horizontal="center" vertical="center"/>
      <protection hidden="1"/>
    </xf>
    <xf numFmtId="0" fontId="19" fillId="5" borderId="28" xfId="1" applyFont="1" applyFill="1" applyBorder="1" applyAlignment="1" applyProtection="1">
      <alignment horizontal="center" vertical="center"/>
      <protection hidden="1"/>
    </xf>
    <xf numFmtId="0" fontId="19" fillId="5" borderId="26" xfId="1" applyFont="1" applyFill="1" applyBorder="1" applyAlignment="1" applyProtection="1">
      <alignment horizontal="center" vertical="center"/>
      <protection hidden="1"/>
    </xf>
    <xf numFmtId="0" fontId="19" fillId="5" borderId="27" xfId="1" applyFont="1" applyFill="1" applyBorder="1" applyAlignment="1" applyProtection="1">
      <alignment horizontal="center" vertical="center"/>
      <protection hidden="1"/>
    </xf>
    <xf numFmtId="0" fontId="19" fillId="5" borderId="25" xfId="1" applyFont="1" applyFill="1" applyBorder="1" applyAlignment="1" applyProtection="1">
      <alignment horizontal="center" vertical="center"/>
      <protection hidden="1"/>
    </xf>
    <xf numFmtId="0" fontId="19" fillId="5" borderId="21" xfId="1" applyFont="1" applyFill="1" applyBorder="1" applyAlignment="1" applyProtection="1">
      <alignment horizontal="center" vertical="center"/>
      <protection hidden="1"/>
    </xf>
    <xf numFmtId="0" fontId="19" fillId="5" borderId="20" xfId="1" applyFont="1" applyFill="1" applyBorder="1" applyAlignment="1" applyProtection="1">
      <alignment horizontal="center" vertical="center"/>
      <protection hidden="1"/>
    </xf>
    <xf numFmtId="49" fontId="18" fillId="5" borderId="27" xfId="1" applyNumberFormat="1" applyFont="1" applyFill="1" applyBorder="1" applyAlignment="1" applyProtection="1">
      <alignment horizontal="center" vertical="center" wrapText="1"/>
      <protection hidden="1"/>
    </xf>
    <xf numFmtId="49" fontId="18" fillId="5" borderId="25" xfId="1" applyNumberFormat="1" applyFont="1" applyFill="1" applyBorder="1" applyAlignment="1" applyProtection="1">
      <alignment horizontal="center" vertical="center" wrapText="1"/>
      <protection hidden="1"/>
    </xf>
    <xf numFmtId="0" fontId="19" fillId="5" borderId="6" xfId="1" applyFont="1" applyFill="1" applyBorder="1" applyAlignment="1" applyProtection="1">
      <alignment horizontal="center" vertical="center" wrapText="1"/>
      <protection hidden="1"/>
    </xf>
    <xf numFmtId="0" fontId="19" fillId="5" borderId="5" xfId="1" applyFont="1" applyFill="1" applyBorder="1" applyAlignment="1" applyProtection="1">
      <alignment horizontal="center" vertical="center" wrapText="1"/>
      <protection hidden="1"/>
    </xf>
    <xf numFmtId="0" fontId="19" fillId="5" borderId="46" xfId="1" applyFont="1" applyFill="1" applyBorder="1" applyAlignment="1" applyProtection="1">
      <alignment horizontal="center" vertical="center" wrapText="1"/>
      <protection hidden="1"/>
    </xf>
    <xf numFmtId="0" fontId="19" fillId="5" borderId="43" xfId="1" applyFont="1" applyFill="1" applyBorder="1" applyAlignment="1" applyProtection="1">
      <alignment horizontal="center" vertical="center" wrapText="1"/>
      <protection hidden="1"/>
    </xf>
    <xf numFmtId="167" fontId="19" fillId="5" borderId="47" xfId="1" applyNumberFormat="1" applyFont="1" applyFill="1" applyBorder="1" applyAlignment="1" applyProtection="1">
      <alignment horizontal="center" vertical="center"/>
      <protection hidden="1"/>
    </xf>
    <xf numFmtId="167" fontId="19" fillId="5" borderId="48" xfId="1" applyNumberFormat="1" applyFont="1" applyFill="1" applyBorder="1" applyAlignment="1" applyProtection="1">
      <alignment horizontal="center" vertical="center"/>
      <protection hidden="1"/>
    </xf>
    <xf numFmtId="0" fontId="12" fillId="0" borderId="50" xfId="1" applyFont="1" applyBorder="1" applyAlignment="1" applyProtection="1">
      <alignment horizontal="left" vertical="top" wrapText="1"/>
      <protection locked="0"/>
    </xf>
    <xf numFmtId="0" fontId="12" fillId="0" borderId="51" xfId="1" applyFont="1" applyBorder="1" applyAlignment="1" applyProtection="1">
      <alignment horizontal="left" vertical="top" wrapText="1"/>
      <protection locked="0"/>
    </xf>
    <xf numFmtId="0" fontId="12" fillId="0" borderId="52" xfId="1" applyFont="1" applyBorder="1" applyAlignment="1" applyProtection="1">
      <alignment horizontal="left" vertical="top" wrapText="1"/>
      <protection locked="0"/>
    </xf>
    <xf numFmtId="167" fontId="19" fillId="5" borderId="49" xfId="1" applyNumberFormat="1" applyFont="1" applyFill="1" applyBorder="1" applyAlignment="1" applyProtection="1">
      <alignment horizontal="center" vertical="center"/>
      <protection hidden="1"/>
    </xf>
    <xf numFmtId="0" fontId="12" fillId="0" borderId="53" xfId="1" applyFont="1" applyBorder="1" applyAlignment="1" applyProtection="1">
      <alignment horizontal="left" vertical="top" wrapText="1"/>
      <protection locked="0"/>
    </xf>
    <xf numFmtId="0" fontId="22" fillId="0" borderId="0" xfId="0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textRotation="90" wrapText="1"/>
    </xf>
    <xf numFmtId="165" fontId="0" fillId="0" borderId="0" xfId="0" applyNumberFormat="1" applyAlignment="1">
      <alignment vertical="center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9" fontId="0" fillId="5" borderId="9" xfId="0" applyNumberFormat="1" applyFill="1" applyBorder="1" applyAlignment="1">
      <alignment horizontal="center" vertical="center" wrapText="1"/>
    </xf>
    <xf numFmtId="9" fontId="0" fillId="5" borderId="18" xfId="0" applyNumberFormat="1" applyFill="1" applyBorder="1" applyAlignment="1">
      <alignment horizontal="center" vertical="center" wrapText="1"/>
    </xf>
    <xf numFmtId="9" fontId="0" fillId="5" borderId="11" xfId="0" applyNumberFormat="1" applyFill="1" applyBorder="1" applyAlignment="1">
      <alignment horizontal="center" vertical="center" wrapText="1"/>
    </xf>
    <xf numFmtId="0" fontId="14" fillId="5" borderId="35" xfId="0" applyFont="1" applyFill="1" applyBorder="1" applyAlignment="1">
      <alignment horizontal="center" vertical="center" wrapText="1"/>
    </xf>
    <xf numFmtId="0" fontId="14" fillId="5" borderId="38" xfId="0" applyFont="1" applyFill="1" applyBorder="1" applyAlignment="1">
      <alignment horizontal="center" vertical="center" wrapText="1"/>
    </xf>
    <xf numFmtId="0" fontId="14" fillId="5" borderId="36" xfId="0" applyFont="1" applyFill="1" applyBorder="1" applyAlignment="1">
      <alignment horizontal="center" vertical="center" wrapText="1"/>
    </xf>
    <xf numFmtId="0" fontId="14" fillId="5" borderId="40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4" fillId="5" borderId="39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3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</cellXfs>
  <cellStyles count="8">
    <cellStyle name="Comma [0] 2" xfId="2" xr:uid="{00000000-0005-0000-0000-000000000000}"/>
    <cellStyle name="Hyperlink 2" xfId="6" xr:uid="{00000000-0005-0000-0000-000001000000}"/>
    <cellStyle name="Normal" xfId="0" builtinId="0"/>
    <cellStyle name="Normal 2" xfId="1" xr:uid="{00000000-0005-0000-0000-000003000000}"/>
    <cellStyle name="Normal 2 2" xfId="5" xr:uid="{00000000-0005-0000-0000-000004000000}"/>
    <cellStyle name="Normal 3" xfId="3" xr:uid="{00000000-0005-0000-0000-000005000000}"/>
    <cellStyle name="Normal 5" xfId="4" xr:uid="{00000000-0005-0000-0000-000006000000}"/>
    <cellStyle name="Normal 6" xfId="7" xr:uid="{00000000-0005-0000-0000-000007000000}"/>
  </cellStyles>
  <dxfs count="32">
    <dxf>
      <font>
        <color theme="9" tint="0.39994506668294322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b/>
        <i val="0"/>
        <color rgb="FFFF0000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  <dxf>
      <font>
        <color theme="9" tint="0.39994506668294322"/>
      </font>
    </dxf>
  </dxfs>
  <tableStyles count="0" defaultTableStyle="TableStyleMedium2" defaultPivotStyle="PivotStyleLight16"/>
  <colors>
    <mruColors>
      <color rgb="FFFF00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hyperlink" Target="#'KKM 1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ashboard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ashboard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Dashboard!A1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119584</xdr:colOff>
      <xdr:row>0</xdr:row>
      <xdr:rowOff>101031</xdr:rowOff>
    </xdr:from>
    <xdr:to>
      <xdr:col>1</xdr:col>
      <xdr:colOff>1130115</xdr:colOff>
      <xdr:row>0</xdr:row>
      <xdr:rowOff>353031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9584" y="101031"/>
          <a:ext cx="1337102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36268" y="53407"/>
          <a:ext cx="0" cy="2520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725" y="47625"/>
          <a:ext cx="1334071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105975</xdr:colOff>
      <xdr:row>0</xdr:row>
      <xdr:rowOff>101032</xdr:rowOff>
    </xdr:from>
    <xdr:to>
      <xdr:col>1</xdr:col>
      <xdr:colOff>1116506</xdr:colOff>
      <xdr:row>0</xdr:row>
      <xdr:rowOff>353032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5975" y="1010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2121993</xdr:colOff>
      <xdr:row>0</xdr:row>
      <xdr:rowOff>53407</xdr:rowOff>
    </xdr:from>
    <xdr:to>
      <xdr:col>1</xdr:col>
      <xdr:colOff>3283028</xdr:colOff>
      <xdr:row>0</xdr:row>
      <xdr:rowOff>305407</xdr:rowOff>
    </xdr:to>
    <xdr:sp macro="" textlink="">
      <xdr:nvSpPr>
        <xdr:cNvPr id="5" name="Rounded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036268" y="53407"/>
          <a:ext cx="0" cy="137700"/>
        </a:xfrm>
        <a:prstGeom prst="roundRect">
          <a:avLst/>
        </a:prstGeom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KELAS 12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47625</xdr:rowOff>
    </xdr:from>
    <xdr:to>
      <xdr:col>3</xdr:col>
      <xdr:colOff>133921</xdr:colOff>
      <xdr:row>0</xdr:row>
      <xdr:rowOff>299625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85725" y="47625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114381</xdr:colOff>
      <xdr:row>0</xdr:row>
      <xdr:rowOff>98232</xdr:rowOff>
    </xdr:from>
    <xdr:to>
      <xdr:col>1</xdr:col>
      <xdr:colOff>1121410</xdr:colOff>
      <xdr:row>0</xdr:row>
      <xdr:rowOff>350232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14381" y="98232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156884</xdr:colOff>
      <xdr:row>6</xdr:row>
      <xdr:rowOff>100853</xdr:rowOff>
    </xdr:from>
    <xdr:to>
      <xdr:col>5</xdr:col>
      <xdr:colOff>787855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56884" y="12438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78442</xdr:colOff>
      <xdr:row>40</xdr:row>
      <xdr:rowOff>100853</xdr:rowOff>
    </xdr:from>
    <xdr:to>
      <xdr:col>5</xdr:col>
      <xdr:colOff>709413</xdr:colOff>
      <xdr:row>40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CxnSpPr/>
      </xdr:nvCxnSpPr>
      <xdr:spPr>
        <a:xfrm>
          <a:off x="78442" y="7530353"/>
          <a:ext cx="77937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156884</xdr:colOff>
      <xdr:row>40</xdr:row>
      <xdr:rowOff>100853</xdr:rowOff>
    </xdr:from>
    <xdr:to>
      <xdr:col>5</xdr:col>
      <xdr:colOff>787855</xdr:colOff>
      <xdr:row>40</xdr:row>
      <xdr:rowOff>100853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56884" y="1994647"/>
          <a:ext cx="7780324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36</xdr:row>
      <xdr:rowOff>112060</xdr:rowOff>
    </xdr:from>
    <xdr:to>
      <xdr:col>1</xdr:col>
      <xdr:colOff>861789</xdr:colOff>
      <xdr:row>39</xdr:row>
      <xdr:rowOff>11908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206" y="840442"/>
          <a:ext cx="794554" cy="7739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78442</xdr:colOff>
      <xdr:row>6</xdr:row>
      <xdr:rowOff>100853</xdr:rowOff>
    </xdr:from>
    <xdr:to>
      <xdr:col>3</xdr:col>
      <xdr:colOff>709413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78442" y="1243853"/>
          <a:ext cx="8098571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67235</xdr:colOff>
      <xdr:row>2</xdr:row>
      <xdr:rowOff>112060</xdr:rowOff>
    </xdr:from>
    <xdr:to>
      <xdr:col>1</xdr:col>
      <xdr:colOff>861789</xdr:colOff>
      <xdr:row>5</xdr:row>
      <xdr:rowOff>11908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085" y="49306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0</xdr:row>
      <xdr:rowOff>89647</xdr:rowOff>
    </xdr:from>
    <xdr:to>
      <xdr:col>1</xdr:col>
      <xdr:colOff>1151673</xdr:colOff>
      <xdr:row>0</xdr:row>
      <xdr:rowOff>361626</xdr:rowOff>
    </xdr:to>
    <xdr:sp macro="" textlink="">
      <xdr:nvSpPr>
        <xdr:cNvPr id="8" name="Rounded Rectangle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34471" y="89647"/>
          <a:ext cx="1342173" cy="271979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58351</xdr:colOff>
      <xdr:row>0</xdr:row>
      <xdr:rowOff>53408</xdr:rowOff>
    </xdr:from>
    <xdr:to>
      <xdr:col>1</xdr:col>
      <xdr:colOff>1065380</xdr:colOff>
      <xdr:row>0</xdr:row>
      <xdr:rowOff>305408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8351" y="53408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</a:rPr>
            <a:t>DASHBOARD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89648</xdr:colOff>
      <xdr:row>6</xdr:row>
      <xdr:rowOff>100853</xdr:rowOff>
    </xdr:from>
    <xdr:to>
      <xdr:col>33</xdr:col>
      <xdr:colOff>800472</xdr:colOff>
      <xdr:row>6</xdr:row>
      <xdr:rowOff>100853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CxnSpPr/>
      </xdr:nvCxnSpPr>
      <xdr:spPr>
        <a:xfrm>
          <a:off x="89648" y="12438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246530</xdr:colOff>
      <xdr:row>2</xdr:row>
      <xdr:rowOff>134470</xdr:rowOff>
    </xdr:from>
    <xdr:to>
      <xdr:col>1</xdr:col>
      <xdr:colOff>1041084</xdr:colOff>
      <xdr:row>5</xdr:row>
      <xdr:rowOff>34318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380" y="515470"/>
          <a:ext cx="794554" cy="471348"/>
        </a:xfrm>
        <a:prstGeom prst="rect">
          <a:avLst/>
        </a:prstGeom>
      </xdr:spPr>
    </xdr:pic>
    <xdr:clientData/>
  </xdr:twoCellAnchor>
  <xdr:twoCellAnchor>
    <xdr:from>
      <xdr:col>0</xdr:col>
      <xdr:colOff>89648</xdr:colOff>
      <xdr:row>39</xdr:row>
      <xdr:rowOff>100853</xdr:rowOff>
    </xdr:from>
    <xdr:to>
      <xdr:col>33</xdr:col>
      <xdr:colOff>800472</xdr:colOff>
      <xdr:row>39</xdr:row>
      <xdr:rowOff>100853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89648" y="7530353"/>
          <a:ext cx="12226549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257735</xdr:colOff>
      <xdr:row>35</xdr:row>
      <xdr:rowOff>123265</xdr:rowOff>
    </xdr:from>
    <xdr:to>
      <xdr:col>1</xdr:col>
      <xdr:colOff>1052289</xdr:colOff>
      <xdr:row>38</xdr:row>
      <xdr:rowOff>23113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06" y="10365441"/>
          <a:ext cx="794554" cy="7739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314450</xdr:colOff>
      <xdr:row>5</xdr:row>
      <xdr:rowOff>123972</xdr:rowOff>
    </xdr:from>
    <xdr:to>
      <xdr:col>3</xdr:col>
      <xdr:colOff>1077291</xdr:colOff>
      <xdr:row>18</xdr:row>
      <xdr:rowOff>259775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050" y="2724297"/>
          <a:ext cx="3506041" cy="36981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206647</xdr:colOff>
      <xdr:row>0</xdr:row>
      <xdr:rowOff>73960</xdr:rowOff>
    </xdr:from>
    <xdr:to>
      <xdr:col>1</xdr:col>
      <xdr:colOff>584487</xdr:colOff>
      <xdr:row>2</xdr:row>
      <xdr:rowOff>216275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9AE279-74F6-47DA-814A-FFE61D632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647" y="73960"/>
          <a:ext cx="713120" cy="73667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3</xdr:row>
      <xdr:rowOff>19050</xdr:rowOff>
    </xdr:from>
    <xdr:to>
      <xdr:col>7</xdr:col>
      <xdr:colOff>458175</xdr:colOff>
      <xdr:row>3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1FB03D-E8F4-4181-BE93-469D4962A348}"/>
            </a:ext>
          </a:extLst>
        </xdr:cNvPr>
        <xdr:cNvCxnSpPr/>
      </xdr:nvCxnSpPr>
      <xdr:spPr>
        <a:xfrm>
          <a:off x="57150" y="910590"/>
          <a:ext cx="10459425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0</xdr:colOff>
      <xdr:row>0</xdr:row>
      <xdr:rowOff>120762</xdr:rowOff>
    </xdr:from>
    <xdr:to>
      <xdr:col>78</xdr:col>
      <xdr:colOff>0</xdr:colOff>
      <xdr:row>1</xdr:row>
      <xdr:rowOff>280148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3668" y="558912"/>
          <a:ext cx="0" cy="454661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69</xdr:row>
      <xdr:rowOff>95251</xdr:rowOff>
    </xdr:from>
    <xdr:to>
      <xdr:col>37</xdr:col>
      <xdr:colOff>503465</xdr:colOff>
      <xdr:row>69</xdr:row>
      <xdr:rowOff>95251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69</xdr:row>
      <xdr:rowOff>95251</xdr:rowOff>
    </xdr:from>
    <xdr:to>
      <xdr:col>76</xdr:col>
      <xdr:colOff>503465</xdr:colOff>
      <xdr:row>69</xdr:row>
      <xdr:rowOff>95251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66</xdr:row>
      <xdr:rowOff>132669</xdr:rowOff>
    </xdr:from>
    <xdr:to>
      <xdr:col>39</xdr:col>
      <xdr:colOff>244928</xdr:colOff>
      <xdr:row>66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0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66</xdr:row>
      <xdr:rowOff>0</xdr:rowOff>
    </xdr:from>
    <xdr:to>
      <xdr:col>51</xdr:col>
      <xdr:colOff>187213</xdr:colOff>
      <xdr:row>66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  <xdr:twoCellAnchor>
    <xdr:from>
      <xdr:col>0</xdr:col>
      <xdr:colOff>122464</xdr:colOff>
      <xdr:row>3</xdr:row>
      <xdr:rowOff>95251</xdr:rowOff>
    </xdr:from>
    <xdr:to>
      <xdr:col>37</xdr:col>
      <xdr:colOff>503465</xdr:colOff>
      <xdr:row>3</xdr:row>
      <xdr:rowOff>95251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CxnSpPr/>
      </xdr:nvCxnSpPr>
      <xdr:spPr>
        <a:xfrm>
          <a:off x="1224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3</xdr:row>
      <xdr:rowOff>95251</xdr:rowOff>
    </xdr:from>
    <xdr:to>
      <xdr:col>76</xdr:col>
      <xdr:colOff>503465</xdr:colOff>
      <xdr:row>3</xdr:row>
      <xdr:rowOff>95251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/>
      </xdr:nvCxnSpPr>
      <xdr:spPr>
        <a:xfrm>
          <a:off x="15972064" y="1419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122464</xdr:colOff>
      <xdr:row>69</xdr:row>
      <xdr:rowOff>95251</xdr:rowOff>
    </xdr:from>
    <xdr:to>
      <xdr:col>37</xdr:col>
      <xdr:colOff>503465</xdr:colOff>
      <xdr:row>69</xdr:row>
      <xdr:rowOff>95251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CxnSpPr/>
      </xdr:nvCxnSpPr>
      <xdr:spPr>
        <a:xfrm>
          <a:off x="1224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122464</xdr:colOff>
      <xdr:row>69</xdr:row>
      <xdr:rowOff>95251</xdr:rowOff>
    </xdr:from>
    <xdr:to>
      <xdr:col>76</xdr:col>
      <xdr:colOff>503465</xdr:colOff>
      <xdr:row>69</xdr:row>
      <xdr:rowOff>95251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/>
      </xdr:nvCxnSpPr>
      <xdr:spPr>
        <a:xfrm>
          <a:off x="15972064" y="12468226"/>
          <a:ext cx="15611476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39</xdr:col>
      <xdr:colOff>244928</xdr:colOff>
      <xdr:row>66</xdr:row>
      <xdr:rowOff>132669</xdr:rowOff>
    </xdr:from>
    <xdr:to>
      <xdr:col>39</xdr:col>
      <xdr:colOff>244928</xdr:colOff>
      <xdr:row>134</xdr:row>
      <xdr:rowOff>57831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4528" y="11619819"/>
          <a:ext cx="0" cy="57831"/>
        </a:xfrm>
        <a:prstGeom prst="rect">
          <a:avLst/>
        </a:prstGeom>
      </xdr:spPr>
    </xdr:pic>
    <xdr:clientData/>
  </xdr:twoCellAnchor>
  <xdr:twoCellAnchor editAs="oneCell">
    <xdr:from>
      <xdr:col>44</xdr:col>
      <xdr:colOff>261258</xdr:colOff>
      <xdr:row>66</xdr:row>
      <xdr:rowOff>0</xdr:rowOff>
    </xdr:from>
    <xdr:to>
      <xdr:col>51</xdr:col>
      <xdr:colOff>187213</xdr:colOff>
      <xdr:row>66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b="14379"/>
        <a:stretch/>
      </xdr:blipFill>
      <xdr:spPr>
        <a:xfrm>
          <a:off x="20035158" y="21048889"/>
          <a:ext cx="2126232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144876</xdr:colOff>
      <xdr:row>3</xdr:row>
      <xdr:rowOff>95251</xdr:rowOff>
    </xdr:from>
    <xdr:to>
      <xdr:col>24</xdr:col>
      <xdr:colOff>0</xdr:colOff>
      <xdr:row>3</xdr:row>
      <xdr:rowOff>95251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44876" y="1406339"/>
          <a:ext cx="12492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198513</xdr:colOff>
      <xdr:row>0</xdr:row>
      <xdr:rowOff>78440</xdr:rowOff>
    </xdr:from>
    <xdr:to>
      <xdr:col>1</xdr:col>
      <xdr:colOff>932217</xdr:colOff>
      <xdr:row>2</xdr:row>
      <xdr:rowOff>269641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2" y="515469"/>
          <a:ext cx="733704" cy="773907"/>
        </a:xfrm>
        <a:prstGeom prst="rect">
          <a:avLst/>
        </a:prstGeom>
      </xdr:spPr>
    </xdr:pic>
    <xdr:clientData/>
  </xdr:twoCellAnchor>
  <xdr:twoCellAnchor>
    <xdr:from>
      <xdr:col>0</xdr:col>
      <xdr:colOff>144876</xdr:colOff>
      <xdr:row>70</xdr:row>
      <xdr:rowOff>95251</xdr:rowOff>
    </xdr:from>
    <xdr:to>
      <xdr:col>24</xdr:col>
      <xdr:colOff>0</xdr:colOff>
      <xdr:row>70</xdr:row>
      <xdr:rowOff>95251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CxnSpPr/>
      </xdr:nvCxnSpPr>
      <xdr:spPr>
        <a:xfrm>
          <a:off x="144876" y="1428751"/>
          <a:ext cx="13356812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5</xdr:row>
      <xdr:rowOff>0</xdr:rowOff>
    </xdr:from>
    <xdr:to>
      <xdr:col>17</xdr:col>
      <xdr:colOff>1667660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168089" y="1197429"/>
          <a:ext cx="14508000" cy="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347382</xdr:colOff>
      <xdr:row>1</xdr:row>
      <xdr:rowOff>134471</xdr:rowOff>
    </xdr:from>
    <xdr:to>
      <xdr:col>2</xdr:col>
      <xdr:colOff>333775</xdr:colOff>
      <xdr:row>4</xdr:row>
      <xdr:rowOff>183796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735" y="134471"/>
          <a:ext cx="938893" cy="923384"/>
        </a:xfrm>
        <a:prstGeom prst="rect">
          <a:avLst/>
        </a:prstGeom>
      </xdr:spPr>
    </xdr:pic>
    <xdr:clientData/>
  </xdr:twoCellAnchor>
  <xdr:twoCellAnchor>
    <xdr:from>
      <xdr:col>0</xdr:col>
      <xdr:colOff>157505</xdr:colOff>
      <xdr:row>0</xdr:row>
      <xdr:rowOff>98653</xdr:rowOff>
    </xdr:from>
    <xdr:to>
      <xdr:col>2</xdr:col>
      <xdr:colOff>251255</xdr:colOff>
      <xdr:row>0</xdr:row>
      <xdr:rowOff>350653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157505" y="98653"/>
          <a:ext cx="1332000" cy="252000"/>
        </a:xfrm>
        <a:prstGeom prst="roundRect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</a:rPr>
            <a:t>DASHBOARD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3" tint="-0.249977111117893"/>
  </sheetPr>
  <dimension ref="A1:AA191"/>
  <sheetViews>
    <sheetView showGridLines="0" zoomScale="70" zoomScaleNormal="70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15" customHeight="1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88" t="s">
        <v>91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7" ht="14.4" x14ac:dyDescent="0.3"/>
    <row r="4" spans="1:27" s="1" customFormat="1" ht="14.4" x14ac:dyDescent="0.3">
      <c r="B4" s="75" t="s">
        <v>90</v>
      </c>
      <c r="C4" s="1" t="s">
        <v>92</v>
      </c>
    </row>
    <row r="5" spans="1:27" s="1" customFormat="1" ht="14.4" x14ac:dyDescent="0.3">
      <c r="B5" s="75" t="s">
        <v>42</v>
      </c>
      <c r="C5" s="1" t="e">
        <f>PROPER(#REF!)</f>
        <v>#REF!</v>
      </c>
    </row>
    <row r="6" spans="1:27" s="1" customFormat="1" ht="14.4" x14ac:dyDescent="0.3">
      <c r="B6" s="75" t="s">
        <v>89</v>
      </c>
      <c r="C6" s="1" t="e">
        <f>#REF!&amp;" / "&amp;#REF!</f>
        <v>#REF!</v>
      </c>
    </row>
    <row r="7" spans="1:27" ht="14.4" x14ac:dyDescent="0.3"/>
    <row r="8" spans="1:27" s="1" customFormat="1" ht="14.4" x14ac:dyDescent="0.3">
      <c r="A8" s="189" t="s">
        <v>88</v>
      </c>
      <c r="B8" s="190"/>
      <c r="C8" s="190"/>
      <c r="D8" s="190"/>
      <c r="E8" s="190"/>
      <c r="F8" s="190"/>
      <c r="G8" s="190"/>
      <c r="H8" s="190"/>
      <c r="I8" s="190"/>
      <c r="J8" s="190"/>
      <c r="K8" s="191"/>
    </row>
    <row r="9" spans="1:27" s="1" customFormat="1" ht="30" customHeight="1" x14ac:dyDescent="0.3">
      <c r="A9" s="71">
        <v>1</v>
      </c>
      <c r="B9" s="192"/>
      <c r="C9" s="193"/>
      <c r="D9" s="193"/>
      <c r="E9" s="193"/>
      <c r="F9" s="193"/>
      <c r="G9" s="193"/>
      <c r="H9" s="193"/>
      <c r="I9" s="193"/>
      <c r="J9" s="193"/>
      <c r="K9" s="194"/>
    </row>
    <row r="10" spans="1:27" s="72" customFormat="1" ht="45" customHeight="1" x14ac:dyDescent="0.3">
      <c r="A10" s="73">
        <v>2</v>
      </c>
      <c r="B10" s="195"/>
      <c r="C10" s="196"/>
      <c r="D10" s="196"/>
      <c r="E10" s="196"/>
      <c r="F10" s="196"/>
      <c r="G10" s="196"/>
      <c r="H10" s="196"/>
      <c r="I10" s="196"/>
      <c r="J10" s="196"/>
      <c r="K10" s="197"/>
    </row>
    <row r="11" spans="1:27" s="1" customFormat="1" ht="45" customHeight="1" x14ac:dyDescent="0.3">
      <c r="A11" s="71">
        <v>3</v>
      </c>
      <c r="B11" s="195"/>
      <c r="C11" s="196"/>
      <c r="D11" s="196"/>
      <c r="E11" s="196"/>
      <c r="F11" s="196"/>
      <c r="G11" s="196"/>
      <c r="H11" s="196"/>
      <c r="I11" s="196"/>
      <c r="J11" s="196"/>
      <c r="K11" s="197"/>
    </row>
    <row r="12" spans="1:27" s="1" customFormat="1" ht="45" customHeight="1" x14ac:dyDescent="0.3">
      <c r="A12" s="71">
        <v>4</v>
      </c>
      <c r="B12" s="195"/>
      <c r="C12" s="196"/>
      <c r="D12" s="196"/>
      <c r="E12" s="196"/>
      <c r="F12" s="196"/>
      <c r="G12" s="196"/>
      <c r="H12" s="196"/>
      <c r="I12" s="196"/>
      <c r="J12" s="196"/>
      <c r="K12" s="197"/>
    </row>
    <row r="13" spans="1:27" ht="14.4" x14ac:dyDescent="0.3"/>
    <row r="14" spans="1:27" s="1" customFormat="1" ht="30" customHeight="1" x14ac:dyDescent="0.3">
      <c r="A14" s="184" t="s">
        <v>14</v>
      </c>
      <c r="B14" s="185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186" t="str">
        <f t="shared" ref="C15:K15" si="0">IF($B15="","","-")</f>
        <v/>
      </c>
      <c r="D15" s="186" t="str">
        <f t="shared" si="0"/>
        <v/>
      </c>
      <c r="E15" s="186" t="str">
        <f t="shared" si="0"/>
        <v/>
      </c>
      <c r="F15" s="186" t="str">
        <f t="shared" si="0"/>
        <v/>
      </c>
      <c r="G15" s="186" t="str">
        <f t="shared" si="0"/>
        <v/>
      </c>
      <c r="H15" s="186" t="str">
        <f t="shared" si="0"/>
        <v/>
      </c>
      <c r="I15" s="186" t="str">
        <f t="shared" si="0"/>
        <v/>
      </c>
      <c r="J15" s="186" t="str">
        <f t="shared" si="0"/>
        <v/>
      </c>
      <c r="K15" s="186" t="str">
        <f t="shared" si="0"/>
        <v/>
      </c>
    </row>
    <row r="16" spans="1:27" ht="60" customHeight="1" x14ac:dyDescent="0.3">
      <c r="A16" s="68"/>
      <c r="B16" s="67"/>
      <c r="C16" s="187"/>
      <c r="D16" s="187"/>
      <c r="E16" s="187"/>
      <c r="F16" s="187"/>
      <c r="G16" s="187"/>
      <c r="H16" s="187"/>
      <c r="I16" s="187"/>
      <c r="J16" s="187"/>
      <c r="K16" s="187"/>
    </row>
    <row r="17" spans="1:11" ht="45" customHeight="1" x14ac:dyDescent="0.3">
      <c r="A17" s="70"/>
      <c r="B17" s="69"/>
      <c r="C17" s="186" t="str">
        <f t="shared" ref="C17:K17" si="1">IF($B17="","","-")</f>
        <v/>
      </c>
      <c r="D17" s="186" t="str">
        <f t="shared" si="1"/>
        <v/>
      </c>
      <c r="E17" s="186" t="str">
        <f t="shared" si="1"/>
        <v/>
      </c>
      <c r="F17" s="186" t="str">
        <f t="shared" si="1"/>
        <v/>
      </c>
      <c r="G17" s="186" t="str">
        <f t="shared" si="1"/>
        <v/>
      </c>
      <c r="H17" s="186" t="str">
        <f t="shared" si="1"/>
        <v/>
      </c>
      <c r="I17" s="186" t="str">
        <f t="shared" si="1"/>
        <v/>
      </c>
      <c r="J17" s="186" t="str">
        <f t="shared" si="1"/>
        <v/>
      </c>
      <c r="K17" s="186" t="str">
        <f t="shared" si="1"/>
        <v/>
      </c>
    </row>
    <row r="18" spans="1:11" ht="60" customHeight="1" x14ac:dyDescent="0.3">
      <c r="A18" s="68"/>
      <c r="B18" s="67"/>
      <c r="C18" s="187"/>
      <c r="D18" s="187"/>
      <c r="E18" s="187"/>
      <c r="F18" s="187"/>
      <c r="G18" s="187"/>
      <c r="H18" s="187"/>
      <c r="I18" s="187"/>
      <c r="J18" s="187"/>
      <c r="K18" s="187"/>
    </row>
    <row r="19" spans="1:11" ht="45" customHeight="1" x14ac:dyDescent="0.3">
      <c r="A19" s="70"/>
      <c r="B19" s="69"/>
      <c r="C19" s="186" t="str">
        <f t="shared" ref="C19:K19" si="2">IF($B19="","","-")</f>
        <v/>
      </c>
      <c r="D19" s="186" t="str">
        <f t="shared" si="2"/>
        <v/>
      </c>
      <c r="E19" s="186" t="str">
        <f t="shared" si="2"/>
        <v/>
      </c>
      <c r="F19" s="186" t="str">
        <f t="shared" si="2"/>
        <v/>
      </c>
      <c r="G19" s="186" t="str">
        <f t="shared" si="2"/>
        <v/>
      </c>
      <c r="H19" s="186" t="str">
        <f t="shared" si="2"/>
        <v/>
      </c>
      <c r="I19" s="186" t="str">
        <f t="shared" si="2"/>
        <v/>
      </c>
      <c r="J19" s="186" t="str">
        <f t="shared" si="2"/>
        <v/>
      </c>
      <c r="K19" s="186" t="str">
        <f t="shared" si="2"/>
        <v/>
      </c>
    </row>
    <row r="20" spans="1:11" ht="60" customHeight="1" x14ac:dyDescent="0.3">
      <c r="A20" s="68"/>
      <c r="B20" s="67"/>
      <c r="C20" s="187"/>
      <c r="D20" s="187"/>
      <c r="E20" s="187"/>
      <c r="F20" s="187"/>
      <c r="G20" s="187"/>
      <c r="H20" s="187"/>
      <c r="I20" s="187"/>
      <c r="J20" s="187"/>
      <c r="K20" s="187"/>
    </row>
    <row r="21" spans="1:11" ht="45" customHeight="1" x14ac:dyDescent="0.3">
      <c r="A21" s="70"/>
      <c r="B21" s="69"/>
      <c r="C21" s="186" t="str">
        <f t="shared" ref="C21:K21" si="3">IF($B21="","","-")</f>
        <v/>
      </c>
      <c r="D21" s="186" t="str">
        <f t="shared" si="3"/>
        <v/>
      </c>
      <c r="E21" s="186" t="str">
        <f t="shared" si="3"/>
        <v/>
      </c>
      <c r="F21" s="186" t="str">
        <f t="shared" si="3"/>
        <v/>
      </c>
      <c r="G21" s="186" t="str">
        <f t="shared" si="3"/>
        <v/>
      </c>
      <c r="H21" s="186" t="str">
        <f t="shared" si="3"/>
        <v/>
      </c>
      <c r="I21" s="186" t="str">
        <f t="shared" si="3"/>
        <v/>
      </c>
      <c r="J21" s="186" t="str">
        <f t="shared" si="3"/>
        <v/>
      </c>
      <c r="K21" s="186" t="str">
        <f t="shared" si="3"/>
        <v/>
      </c>
    </row>
    <row r="22" spans="1:11" ht="60" customHeight="1" x14ac:dyDescent="0.3">
      <c r="A22" s="68"/>
      <c r="B22" s="67"/>
      <c r="C22" s="187"/>
      <c r="D22" s="187"/>
      <c r="E22" s="187"/>
      <c r="F22" s="187"/>
      <c r="G22" s="187"/>
      <c r="H22" s="187"/>
      <c r="I22" s="187"/>
      <c r="J22" s="187"/>
      <c r="K22" s="187"/>
    </row>
    <row r="23" spans="1:11" s="1" customFormat="1" ht="30" customHeight="1" x14ac:dyDescent="0.3">
      <c r="A23" s="184" t="s">
        <v>14</v>
      </c>
      <c r="B23" s="185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186" t="str">
        <f t="shared" ref="C24:I24" si="4">IF($B24="","","-")</f>
        <v/>
      </c>
      <c r="D24" s="186" t="str">
        <f t="shared" si="4"/>
        <v/>
      </c>
      <c r="E24" s="186" t="str">
        <f t="shared" si="4"/>
        <v/>
      </c>
      <c r="F24" s="186" t="str">
        <f t="shared" si="4"/>
        <v/>
      </c>
      <c r="G24" s="186" t="str">
        <f t="shared" si="4"/>
        <v/>
      </c>
      <c r="H24" s="186" t="str">
        <f t="shared" si="4"/>
        <v/>
      </c>
      <c r="I24" s="186" t="str">
        <f t="shared" si="4"/>
        <v/>
      </c>
      <c r="J24" s="186"/>
      <c r="K24" s="186" t="str">
        <f>IF($B24="","","-")</f>
        <v/>
      </c>
    </row>
    <row r="25" spans="1:11" ht="60" customHeight="1" x14ac:dyDescent="0.3">
      <c r="A25" s="68"/>
      <c r="B25" s="67"/>
      <c r="C25" s="187"/>
      <c r="D25" s="187"/>
      <c r="E25" s="187"/>
      <c r="F25" s="187"/>
      <c r="G25" s="187"/>
      <c r="H25" s="187"/>
      <c r="I25" s="187"/>
      <c r="J25" s="187"/>
      <c r="K25" s="187"/>
    </row>
    <row r="26" spans="1:11" ht="45" customHeight="1" x14ac:dyDescent="0.3">
      <c r="A26" s="70"/>
      <c r="B26" s="69"/>
      <c r="C26" s="186" t="str">
        <f t="shared" ref="C26:I26" si="5">IF($B26="","","-")</f>
        <v/>
      </c>
      <c r="D26" s="186" t="str">
        <f t="shared" si="5"/>
        <v/>
      </c>
      <c r="E26" s="186" t="str">
        <f t="shared" si="5"/>
        <v/>
      </c>
      <c r="F26" s="186" t="str">
        <f t="shared" si="5"/>
        <v/>
      </c>
      <c r="G26" s="186" t="str">
        <f t="shared" si="5"/>
        <v/>
      </c>
      <c r="H26" s="186" t="str">
        <f t="shared" si="5"/>
        <v/>
      </c>
      <c r="I26" s="186" t="str">
        <f t="shared" si="5"/>
        <v/>
      </c>
      <c r="J26" s="186"/>
      <c r="K26" s="186" t="str">
        <f>IF($B26="","","-")</f>
        <v/>
      </c>
    </row>
    <row r="27" spans="1:11" ht="60" customHeight="1" x14ac:dyDescent="0.3">
      <c r="A27" s="68"/>
      <c r="B27" s="67"/>
      <c r="C27" s="187"/>
      <c r="D27" s="187"/>
      <c r="E27" s="187"/>
      <c r="F27" s="187"/>
      <c r="G27" s="187"/>
      <c r="H27" s="187"/>
      <c r="I27" s="187"/>
      <c r="J27" s="187"/>
      <c r="K27" s="187"/>
    </row>
    <row r="28" spans="1:11" ht="45" customHeight="1" x14ac:dyDescent="0.3">
      <c r="A28" s="70"/>
      <c r="B28" s="69"/>
      <c r="C28" s="186" t="str">
        <f t="shared" ref="C28:I28" si="6">IF($B28="","","-")</f>
        <v/>
      </c>
      <c r="D28" s="186" t="str">
        <f t="shared" si="6"/>
        <v/>
      </c>
      <c r="E28" s="186" t="str">
        <f t="shared" si="6"/>
        <v/>
      </c>
      <c r="F28" s="186" t="str">
        <f t="shared" si="6"/>
        <v/>
      </c>
      <c r="G28" s="186" t="str">
        <f t="shared" si="6"/>
        <v/>
      </c>
      <c r="H28" s="186" t="str">
        <f t="shared" si="6"/>
        <v/>
      </c>
      <c r="I28" s="186" t="str">
        <f t="shared" si="6"/>
        <v/>
      </c>
      <c r="J28" s="186"/>
      <c r="K28" s="186" t="str">
        <f>IF($B28="","","-")</f>
        <v/>
      </c>
    </row>
    <row r="29" spans="1:11" ht="60" customHeight="1" x14ac:dyDescent="0.3">
      <c r="A29" s="68"/>
      <c r="B29" s="67"/>
      <c r="C29" s="187"/>
      <c r="D29" s="187"/>
      <c r="E29" s="187"/>
      <c r="F29" s="187"/>
      <c r="G29" s="187"/>
      <c r="H29" s="187"/>
      <c r="I29" s="187"/>
      <c r="J29" s="187"/>
      <c r="K29" s="187"/>
    </row>
    <row r="30" spans="1:11" s="1" customFormat="1" ht="15" customHeight="1" x14ac:dyDescent="0.3">
      <c r="A30" s="198"/>
      <c r="B30" s="200"/>
      <c r="C30" s="202"/>
      <c r="D30" s="202"/>
      <c r="E30" s="204"/>
      <c r="F30" s="66"/>
      <c r="G30" s="66"/>
      <c r="H30" s="66"/>
      <c r="I30" s="74"/>
      <c r="J30" s="206"/>
      <c r="K30" s="209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99"/>
      <c r="B31" s="201"/>
      <c r="C31" s="203"/>
      <c r="D31" s="203"/>
      <c r="E31" s="205"/>
      <c r="F31" s="66"/>
      <c r="G31" s="66"/>
      <c r="H31" s="66"/>
      <c r="I31" s="74"/>
      <c r="J31" s="207"/>
      <c r="K31" s="210"/>
    </row>
    <row r="32" spans="1:11" s="1" customFormat="1" ht="15" customHeight="1" x14ac:dyDescent="0.3">
      <c r="A32" s="199"/>
      <c r="B32" s="201"/>
      <c r="C32" s="202"/>
      <c r="D32" s="202"/>
      <c r="E32" s="205"/>
      <c r="F32" s="66"/>
      <c r="G32" s="66"/>
      <c r="H32" s="66"/>
      <c r="I32" s="74"/>
      <c r="J32" s="207"/>
      <c r="K32" s="210"/>
    </row>
    <row r="33" spans="1:11" s="1" customFormat="1" ht="15" customHeight="1" x14ac:dyDescent="0.3">
      <c r="A33" s="199"/>
      <c r="B33" s="201"/>
      <c r="C33" s="203"/>
      <c r="D33" s="203"/>
      <c r="E33" s="205"/>
      <c r="F33" s="66"/>
      <c r="G33" s="66"/>
      <c r="H33" s="66"/>
      <c r="I33" s="74"/>
      <c r="J33" s="207"/>
      <c r="K33" s="210"/>
    </row>
    <row r="34" spans="1:11" s="1" customFormat="1" ht="15" customHeight="1" x14ac:dyDescent="0.3">
      <c r="A34" s="199"/>
      <c r="B34" s="201"/>
      <c r="C34" s="202"/>
      <c r="D34" s="202"/>
      <c r="E34" s="205"/>
      <c r="F34" s="66"/>
      <c r="G34" s="66"/>
      <c r="H34" s="66"/>
      <c r="I34" s="66"/>
      <c r="J34" s="207"/>
      <c r="K34" s="210"/>
    </row>
    <row r="35" spans="1:11" s="1" customFormat="1" ht="15" customHeight="1" x14ac:dyDescent="0.3">
      <c r="A35" s="199"/>
      <c r="B35" s="201"/>
      <c r="C35" s="203"/>
      <c r="D35" s="203"/>
      <c r="E35" s="205"/>
      <c r="F35" s="66"/>
      <c r="G35" s="66"/>
      <c r="H35" s="66"/>
      <c r="I35" s="66"/>
      <c r="J35" s="207"/>
      <c r="K35" s="210"/>
    </row>
    <row r="36" spans="1:11" s="1" customFormat="1" ht="15" customHeight="1" x14ac:dyDescent="0.3">
      <c r="A36" s="199"/>
      <c r="B36" s="201"/>
      <c r="C36" s="202"/>
      <c r="D36" s="202"/>
      <c r="E36" s="205"/>
      <c r="F36" s="66"/>
      <c r="G36" s="66"/>
      <c r="H36" s="66"/>
      <c r="I36" s="66"/>
      <c r="J36" s="207"/>
      <c r="K36" s="210"/>
    </row>
    <row r="37" spans="1:11" s="1" customFormat="1" ht="15" customHeight="1" x14ac:dyDescent="0.3">
      <c r="A37" s="212"/>
      <c r="B37" s="213"/>
      <c r="C37" s="203"/>
      <c r="D37" s="203"/>
      <c r="E37" s="205"/>
      <c r="F37" s="66"/>
      <c r="G37" s="66"/>
      <c r="H37" s="66"/>
      <c r="I37" s="66"/>
      <c r="J37" s="208"/>
      <c r="K37" s="211"/>
    </row>
    <row r="38" spans="1:11" s="1" customFormat="1" ht="15" customHeight="1" x14ac:dyDescent="0.3">
      <c r="A38" s="198"/>
      <c r="B38" s="200"/>
      <c r="C38" s="202"/>
      <c r="D38" s="202"/>
      <c r="E38" s="204"/>
      <c r="F38" s="66"/>
      <c r="G38" s="66"/>
      <c r="H38" s="66"/>
      <c r="I38" s="66"/>
      <c r="J38" s="214"/>
      <c r="K38" s="209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99"/>
      <c r="B39" s="201"/>
      <c r="C39" s="203"/>
      <c r="D39" s="203"/>
      <c r="E39" s="205"/>
      <c r="F39" s="66"/>
      <c r="G39" s="66"/>
      <c r="H39" s="66"/>
      <c r="I39" s="66"/>
      <c r="J39" s="215"/>
      <c r="K39" s="210"/>
    </row>
    <row r="40" spans="1:11" s="1" customFormat="1" ht="15" customHeight="1" x14ac:dyDescent="0.3">
      <c r="A40" s="199"/>
      <c r="B40" s="201"/>
      <c r="C40" s="202"/>
      <c r="D40" s="202"/>
      <c r="E40" s="205"/>
      <c r="F40" s="66"/>
      <c r="G40" s="66"/>
      <c r="H40" s="66"/>
      <c r="I40" s="66"/>
      <c r="J40" s="215"/>
      <c r="K40" s="210"/>
    </row>
    <row r="41" spans="1:11" s="1" customFormat="1" ht="15" customHeight="1" x14ac:dyDescent="0.3">
      <c r="A41" s="199"/>
      <c r="B41" s="201"/>
      <c r="C41" s="203"/>
      <c r="D41" s="203"/>
      <c r="E41" s="205"/>
      <c r="F41" s="66"/>
      <c r="G41" s="66"/>
      <c r="H41" s="66"/>
      <c r="I41" s="66"/>
      <c r="J41" s="215"/>
      <c r="K41" s="210"/>
    </row>
    <row r="42" spans="1:11" s="1" customFormat="1" ht="15" customHeight="1" x14ac:dyDescent="0.3">
      <c r="A42" s="199"/>
      <c r="B42" s="201"/>
      <c r="C42" s="202"/>
      <c r="D42" s="202"/>
      <c r="E42" s="205"/>
      <c r="F42" s="66"/>
      <c r="G42" s="66"/>
      <c r="H42" s="66"/>
      <c r="I42" s="66"/>
      <c r="J42" s="215"/>
      <c r="K42" s="210"/>
    </row>
    <row r="43" spans="1:11" s="1" customFormat="1" ht="15" customHeight="1" x14ac:dyDescent="0.3">
      <c r="A43" s="199"/>
      <c r="B43" s="201"/>
      <c r="C43" s="203"/>
      <c r="D43" s="203"/>
      <c r="E43" s="205"/>
      <c r="F43" s="66"/>
      <c r="G43" s="66"/>
      <c r="H43" s="66"/>
      <c r="I43" s="66"/>
      <c r="J43" s="215"/>
      <c r="K43" s="210"/>
    </row>
    <row r="44" spans="1:11" s="1" customFormat="1" ht="15" customHeight="1" x14ac:dyDescent="0.3">
      <c r="A44" s="199"/>
      <c r="B44" s="201"/>
      <c r="C44" s="202"/>
      <c r="D44" s="202"/>
      <c r="E44" s="205"/>
      <c r="F44" s="66"/>
      <c r="G44" s="66"/>
      <c r="H44" s="66"/>
      <c r="I44" s="66"/>
      <c r="J44" s="215"/>
      <c r="K44" s="210"/>
    </row>
    <row r="45" spans="1:11" s="1" customFormat="1" ht="15" customHeight="1" x14ac:dyDescent="0.3">
      <c r="A45" s="212"/>
      <c r="B45" s="213"/>
      <c r="C45" s="203"/>
      <c r="D45" s="203"/>
      <c r="E45" s="205"/>
      <c r="F45" s="66"/>
      <c r="G45" s="66"/>
      <c r="H45" s="66"/>
      <c r="I45" s="66"/>
      <c r="J45" s="216"/>
      <c r="K45" s="211"/>
    </row>
    <row r="46" spans="1:11" s="1" customFormat="1" ht="15" customHeight="1" x14ac:dyDescent="0.3">
      <c r="A46" s="198"/>
      <c r="B46" s="200"/>
      <c r="C46" s="202"/>
      <c r="D46" s="202"/>
      <c r="E46" s="204"/>
      <c r="F46" s="220"/>
      <c r="G46" s="221"/>
      <c r="H46" s="221"/>
      <c r="I46" s="222"/>
      <c r="J46" s="214"/>
      <c r="K46" s="209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99"/>
      <c r="B47" s="201"/>
      <c r="C47" s="203"/>
      <c r="D47" s="203"/>
      <c r="E47" s="205"/>
      <c r="F47" s="217"/>
      <c r="G47" s="218"/>
      <c r="H47" s="218"/>
      <c r="I47" s="219"/>
      <c r="J47" s="215"/>
      <c r="K47" s="210"/>
    </row>
    <row r="48" spans="1:11" s="1" customFormat="1" ht="15" customHeight="1" x14ac:dyDescent="0.3">
      <c r="A48" s="199"/>
      <c r="B48" s="201"/>
      <c r="C48" s="202"/>
      <c r="D48" s="202"/>
      <c r="E48" s="205"/>
      <c r="F48" s="217"/>
      <c r="G48" s="218"/>
      <c r="H48" s="218"/>
      <c r="I48" s="219"/>
      <c r="J48" s="215"/>
      <c r="K48" s="210"/>
    </row>
    <row r="49" spans="1:11" s="1" customFormat="1" ht="15" customHeight="1" x14ac:dyDescent="0.3">
      <c r="A49" s="199"/>
      <c r="B49" s="201"/>
      <c r="C49" s="203"/>
      <c r="D49" s="203"/>
      <c r="E49" s="205"/>
      <c r="F49" s="66"/>
      <c r="G49" s="66"/>
      <c r="H49" s="66"/>
      <c r="I49" s="66"/>
      <c r="J49" s="215"/>
      <c r="K49" s="210"/>
    </row>
    <row r="50" spans="1:11" s="1" customFormat="1" ht="15" customHeight="1" x14ac:dyDescent="0.3">
      <c r="A50" s="199"/>
      <c r="B50" s="201"/>
      <c r="C50" s="202"/>
      <c r="D50" s="202"/>
      <c r="E50" s="205"/>
      <c r="F50" s="66"/>
      <c r="G50" s="66"/>
      <c r="H50" s="66"/>
      <c r="I50" s="66"/>
      <c r="J50" s="215"/>
      <c r="K50" s="210"/>
    </row>
    <row r="51" spans="1:11" s="1" customFormat="1" ht="15" customHeight="1" x14ac:dyDescent="0.3">
      <c r="A51" s="199"/>
      <c r="B51" s="201"/>
      <c r="C51" s="203"/>
      <c r="D51" s="203"/>
      <c r="E51" s="205"/>
      <c r="F51" s="66"/>
      <c r="G51" s="66"/>
      <c r="H51" s="66"/>
      <c r="I51" s="66"/>
      <c r="J51" s="215"/>
      <c r="K51" s="210"/>
    </row>
    <row r="52" spans="1:11" s="1" customFormat="1" ht="15" customHeight="1" x14ac:dyDescent="0.3">
      <c r="A52" s="199"/>
      <c r="B52" s="201"/>
      <c r="C52" s="202"/>
      <c r="D52" s="202"/>
      <c r="E52" s="205"/>
      <c r="F52" s="66"/>
      <c r="G52" s="66"/>
      <c r="H52" s="66"/>
      <c r="I52" s="66"/>
      <c r="J52" s="215"/>
      <c r="K52" s="210"/>
    </row>
    <row r="53" spans="1:11" s="1" customFormat="1" ht="15" customHeight="1" x14ac:dyDescent="0.3">
      <c r="A53" s="212"/>
      <c r="B53" s="213"/>
      <c r="C53" s="203"/>
      <c r="D53" s="203"/>
      <c r="E53" s="205"/>
      <c r="F53" s="66"/>
      <c r="G53" s="66"/>
      <c r="H53" s="66"/>
      <c r="I53" s="66"/>
      <c r="J53" s="216"/>
      <c r="K53" s="211"/>
    </row>
    <row r="54" spans="1:11" s="1" customFormat="1" ht="30" customHeight="1" x14ac:dyDescent="0.3">
      <c r="A54" s="184" t="s">
        <v>14</v>
      </c>
      <c r="B54" s="185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8"/>
      <c r="B55" s="200"/>
      <c r="C55" s="202"/>
      <c r="D55" s="202"/>
      <c r="E55" s="204"/>
      <c r="F55" s="66"/>
      <c r="G55" s="66"/>
      <c r="H55" s="66"/>
      <c r="I55" s="66"/>
      <c r="J55" s="214"/>
      <c r="K55" s="209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99"/>
      <c r="B56" s="201"/>
      <c r="C56" s="203"/>
      <c r="D56" s="203"/>
      <c r="E56" s="205"/>
      <c r="F56" s="66"/>
      <c r="G56" s="66"/>
      <c r="H56" s="66"/>
      <c r="I56" s="66"/>
      <c r="J56" s="215"/>
      <c r="K56" s="210"/>
    </row>
    <row r="57" spans="1:11" s="1" customFormat="1" ht="15" customHeight="1" x14ac:dyDescent="0.3">
      <c r="A57" s="199"/>
      <c r="B57" s="201"/>
      <c r="C57" s="202"/>
      <c r="D57" s="202"/>
      <c r="E57" s="205"/>
      <c r="F57" s="66"/>
      <c r="G57" s="66"/>
      <c r="H57" s="66"/>
      <c r="I57" s="66"/>
      <c r="J57" s="215"/>
      <c r="K57" s="210"/>
    </row>
    <row r="58" spans="1:11" s="1" customFormat="1" ht="15" customHeight="1" x14ac:dyDescent="0.3">
      <c r="A58" s="199"/>
      <c r="B58" s="201"/>
      <c r="C58" s="203"/>
      <c r="D58" s="203"/>
      <c r="E58" s="205"/>
      <c r="F58" s="66"/>
      <c r="G58" s="66"/>
      <c r="H58" s="66"/>
      <c r="I58" s="66"/>
      <c r="J58" s="215"/>
      <c r="K58" s="210"/>
    </row>
    <row r="59" spans="1:11" s="1" customFormat="1" ht="15" customHeight="1" x14ac:dyDescent="0.3">
      <c r="A59" s="199"/>
      <c r="B59" s="201"/>
      <c r="C59" s="202"/>
      <c r="D59" s="202"/>
      <c r="E59" s="205"/>
      <c r="F59" s="66"/>
      <c r="G59" s="66"/>
      <c r="H59" s="66"/>
      <c r="I59" s="66"/>
      <c r="J59" s="215"/>
      <c r="K59" s="210"/>
    </row>
    <row r="60" spans="1:11" s="1" customFormat="1" ht="15" customHeight="1" x14ac:dyDescent="0.3">
      <c r="A60" s="199"/>
      <c r="B60" s="201"/>
      <c r="C60" s="203"/>
      <c r="D60" s="203"/>
      <c r="E60" s="205"/>
      <c r="F60" s="66"/>
      <c r="G60" s="66"/>
      <c r="H60" s="66"/>
      <c r="I60" s="66"/>
      <c r="J60" s="215"/>
      <c r="K60" s="210"/>
    </row>
    <row r="61" spans="1:11" s="1" customFormat="1" ht="15" customHeight="1" x14ac:dyDescent="0.3">
      <c r="A61" s="199"/>
      <c r="B61" s="201"/>
      <c r="C61" s="202"/>
      <c r="D61" s="202"/>
      <c r="E61" s="205"/>
      <c r="F61" s="66"/>
      <c r="G61" s="66"/>
      <c r="H61" s="66"/>
      <c r="I61" s="66"/>
      <c r="J61" s="215"/>
      <c r="K61" s="210"/>
    </row>
    <row r="62" spans="1:11" s="1" customFormat="1" ht="15" customHeight="1" x14ac:dyDescent="0.3">
      <c r="A62" s="212"/>
      <c r="B62" s="213"/>
      <c r="C62" s="203"/>
      <c r="D62" s="203"/>
      <c r="E62" s="205"/>
      <c r="F62" s="66"/>
      <c r="G62" s="66"/>
      <c r="H62" s="66"/>
      <c r="I62" s="66"/>
      <c r="J62" s="216"/>
      <c r="K62" s="211"/>
    </row>
    <row r="63" spans="1:11" s="1" customFormat="1" ht="15" customHeight="1" x14ac:dyDescent="0.3">
      <c r="A63" s="198"/>
      <c r="B63" s="200"/>
      <c r="C63" s="202"/>
      <c r="D63" s="202"/>
      <c r="E63" s="204"/>
      <c r="F63" s="66"/>
      <c r="G63" s="66"/>
      <c r="H63" s="66"/>
      <c r="I63" s="66"/>
      <c r="J63" s="214"/>
      <c r="K63" s="209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99"/>
      <c r="B64" s="201"/>
      <c r="C64" s="203"/>
      <c r="D64" s="203"/>
      <c r="E64" s="205"/>
      <c r="F64" s="66"/>
      <c r="G64" s="66"/>
      <c r="H64" s="66"/>
      <c r="I64" s="66"/>
      <c r="J64" s="215"/>
      <c r="K64" s="210"/>
    </row>
    <row r="65" spans="1:11" s="1" customFormat="1" ht="15" customHeight="1" x14ac:dyDescent="0.3">
      <c r="A65" s="199"/>
      <c r="B65" s="201"/>
      <c r="C65" s="202"/>
      <c r="D65" s="202"/>
      <c r="E65" s="205"/>
      <c r="F65" s="66"/>
      <c r="G65" s="66"/>
      <c r="H65" s="66"/>
      <c r="I65" s="66"/>
      <c r="J65" s="215"/>
      <c r="K65" s="210"/>
    </row>
    <row r="66" spans="1:11" s="1" customFormat="1" ht="15" customHeight="1" x14ac:dyDescent="0.3">
      <c r="A66" s="199"/>
      <c r="B66" s="201"/>
      <c r="C66" s="203"/>
      <c r="D66" s="203"/>
      <c r="E66" s="205"/>
      <c r="F66" s="66"/>
      <c r="G66" s="66"/>
      <c r="H66" s="66"/>
      <c r="I66" s="66"/>
      <c r="J66" s="215"/>
      <c r="K66" s="210"/>
    </row>
    <row r="67" spans="1:11" s="1" customFormat="1" ht="15" customHeight="1" x14ac:dyDescent="0.3">
      <c r="A67" s="199"/>
      <c r="B67" s="201"/>
      <c r="C67" s="202"/>
      <c r="D67" s="202"/>
      <c r="E67" s="205"/>
      <c r="F67" s="66"/>
      <c r="G67" s="66"/>
      <c r="H67" s="66"/>
      <c r="I67" s="66"/>
      <c r="J67" s="215"/>
      <c r="K67" s="210"/>
    </row>
    <row r="68" spans="1:11" s="1" customFormat="1" ht="15" customHeight="1" x14ac:dyDescent="0.3">
      <c r="A68" s="199"/>
      <c r="B68" s="201"/>
      <c r="C68" s="203"/>
      <c r="D68" s="203"/>
      <c r="E68" s="205"/>
      <c r="F68" s="66"/>
      <c r="G68" s="66"/>
      <c r="H68" s="66"/>
      <c r="I68" s="66"/>
      <c r="J68" s="215"/>
      <c r="K68" s="210"/>
    </row>
    <row r="69" spans="1:11" s="1" customFormat="1" ht="15" customHeight="1" x14ac:dyDescent="0.3">
      <c r="A69" s="199"/>
      <c r="B69" s="201"/>
      <c r="C69" s="202"/>
      <c r="D69" s="202"/>
      <c r="E69" s="205"/>
      <c r="F69" s="66"/>
      <c r="G69" s="66"/>
      <c r="H69" s="66"/>
      <c r="I69" s="66"/>
      <c r="J69" s="215"/>
      <c r="K69" s="210"/>
    </row>
    <row r="70" spans="1:11" s="1" customFormat="1" ht="15" customHeight="1" x14ac:dyDescent="0.3">
      <c r="A70" s="212"/>
      <c r="B70" s="213"/>
      <c r="C70" s="203"/>
      <c r="D70" s="203"/>
      <c r="E70" s="205"/>
      <c r="F70" s="66"/>
      <c r="G70" s="66"/>
      <c r="H70" s="66"/>
      <c r="I70" s="66"/>
      <c r="J70" s="216"/>
      <c r="K70" s="211"/>
    </row>
    <row r="71" spans="1:11" s="1" customFormat="1" ht="15" customHeight="1" x14ac:dyDescent="0.3">
      <c r="A71" s="198"/>
      <c r="B71" s="200"/>
      <c r="C71" s="202"/>
      <c r="D71" s="202"/>
      <c r="E71" s="204"/>
      <c r="F71" s="66"/>
      <c r="G71" s="66"/>
      <c r="H71" s="66"/>
      <c r="I71" s="66"/>
      <c r="J71" s="214"/>
      <c r="K71" s="209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99"/>
      <c r="B72" s="201"/>
      <c r="C72" s="203"/>
      <c r="D72" s="203"/>
      <c r="E72" s="205"/>
      <c r="F72" s="66"/>
      <c r="G72" s="66"/>
      <c r="H72" s="66"/>
      <c r="I72" s="66"/>
      <c r="J72" s="215"/>
      <c r="K72" s="210"/>
    </row>
    <row r="73" spans="1:11" s="1" customFormat="1" ht="15" customHeight="1" x14ac:dyDescent="0.3">
      <c r="A73" s="199"/>
      <c r="B73" s="201"/>
      <c r="C73" s="202"/>
      <c r="D73" s="202"/>
      <c r="E73" s="205"/>
      <c r="F73" s="66"/>
      <c r="G73" s="66"/>
      <c r="H73" s="66"/>
      <c r="I73" s="66"/>
      <c r="J73" s="215"/>
      <c r="K73" s="210"/>
    </row>
    <row r="74" spans="1:11" s="1" customFormat="1" ht="15" customHeight="1" x14ac:dyDescent="0.3">
      <c r="A74" s="199"/>
      <c r="B74" s="201"/>
      <c r="C74" s="203"/>
      <c r="D74" s="203"/>
      <c r="E74" s="205"/>
      <c r="F74" s="66"/>
      <c r="G74" s="66"/>
      <c r="H74" s="66"/>
      <c r="I74" s="66"/>
      <c r="J74" s="215"/>
      <c r="K74" s="210"/>
    </row>
    <row r="75" spans="1:11" s="1" customFormat="1" ht="15" customHeight="1" x14ac:dyDescent="0.3">
      <c r="A75" s="199"/>
      <c r="B75" s="201"/>
      <c r="C75" s="202"/>
      <c r="D75" s="202"/>
      <c r="E75" s="205"/>
      <c r="F75" s="66"/>
      <c r="G75" s="66"/>
      <c r="H75" s="66"/>
      <c r="I75" s="66"/>
      <c r="J75" s="215"/>
      <c r="K75" s="210"/>
    </row>
    <row r="76" spans="1:11" s="1" customFormat="1" ht="15" customHeight="1" x14ac:dyDescent="0.3">
      <c r="A76" s="199"/>
      <c r="B76" s="201"/>
      <c r="C76" s="203"/>
      <c r="D76" s="203"/>
      <c r="E76" s="205"/>
      <c r="F76" s="66"/>
      <c r="G76" s="66"/>
      <c r="H76" s="66"/>
      <c r="I76" s="66"/>
      <c r="J76" s="215"/>
      <c r="K76" s="210"/>
    </row>
    <row r="77" spans="1:11" s="1" customFormat="1" ht="15" customHeight="1" x14ac:dyDescent="0.3">
      <c r="A77" s="199"/>
      <c r="B77" s="201"/>
      <c r="C77" s="202"/>
      <c r="D77" s="223"/>
      <c r="E77" s="205"/>
      <c r="F77" s="66"/>
      <c r="G77" s="66"/>
      <c r="H77" s="66"/>
      <c r="I77" s="66"/>
      <c r="J77" s="215"/>
      <c r="K77" s="210"/>
    </row>
    <row r="78" spans="1:11" s="1" customFormat="1" ht="15" customHeight="1" x14ac:dyDescent="0.3">
      <c r="A78" s="212"/>
      <c r="B78" s="213"/>
      <c r="C78" s="203"/>
      <c r="D78" s="224"/>
      <c r="E78" s="205"/>
      <c r="F78" s="66"/>
      <c r="G78" s="66"/>
      <c r="H78" s="66"/>
      <c r="I78" s="66"/>
      <c r="J78" s="216"/>
      <c r="K78" s="211"/>
    </row>
    <row r="79" spans="1:11" s="1" customFormat="1" ht="15" customHeight="1" x14ac:dyDescent="0.3">
      <c r="A79" s="198"/>
      <c r="B79" s="200"/>
      <c r="C79" s="202"/>
      <c r="D79" s="202"/>
      <c r="E79" s="204"/>
      <c r="F79" s="66"/>
      <c r="G79" s="66"/>
      <c r="H79" s="66"/>
      <c r="I79" s="66"/>
      <c r="J79" s="214"/>
      <c r="K79" s="209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99"/>
      <c r="B80" s="201"/>
      <c r="C80" s="203"/>
      <c r="D80" s="203"/>
      <c r="E80" s="205"/>
      <c r="F80" s="66"/>
      <c r="G80" s="66"/>
      <c r="H80" s="66"/>
      <c r="I80" s="66"/>
      <c r="J80" s="215"/>
      <c r="K80" s="210"/>
    </row>
    <row r="81" spans="1:11" s="1" customFormat="1" ht="15" customHeight="1" x14ac:dyDescent="0.3">
      <c r="A81" s="199"/>
      <c r="B81" s="201"/>
      <c r="C81" s="202"/>
      <c r="D81" s="202"/>
      <c r="E81" s="205"/>
      <c r="F81" s="66"/>
      <c r="G81" s="66"/>
      <c r="H81" s="66"/>
      <c r="I81" s="66"/>
      <c r="J81" s="215"/>
      <c r="K81" s="210"/>
    </row>
    <row r="82" spans="1:11" s="1" customFormat="1" ht="15" customHeight="1" x14ac:dyDescent="0.3">
      <c r="A82" s="199"/>
      <c r="B82" s="201"/>
      <c r="C82" s="203"/>
      <c r="D82" s="203"/>
      <c r="E82" s="205"/>
      <c r="F82" s="66"/>
      <c r="G82" s="66"/>
      <c r="H82" s="66"/>
      <c r="I82" s="66"/>
      <c r="J82" s="215"/>
      <c r="K82" s="210"/>
    </row>
    <row r="83" spans="1:11" s="1" customFormat="1" ht="15" customHeight="1" x14ac:dyDescent="0.3">
      <c r="A83" s="199"/>
      <c r="B83" s="201"/>
      <c r="C83" s="202"/>
      <c r="D83" s="202"/>
      <c r="E83" s="205"/>
      <c r="F83" s="66"/>
      <c r="G83" s="66"/>
      <c r="H83" s="66"/>
      <c r="I83" s="66"/>
      <c r="J83" s="215"/>
      <c r="K83" s="210"/>
    </row>
    <row r="84" spans="1:11" s="1" customFormat="1" ht="15" customHeight="1" x14ac:dyDescent="0.3">
      <c r="A84" s="199"/>
      <c r="B84" s="201"/>
      <c r="C84" s="203"/>
      <c r="D84" s="203"/>
      <c r="E84" s="205"/>
      <c r="F84" s="66"/>
      <c r="G84" s="66"/>
      <c r="H84" s="66"/>
      <c r="I84" s="66"/>
      <c r="J84" s="215"/>
      <c r="K84" s="210"/>
    </row>
    <row r="85" spans="1:11" s="1" customFormat="1" ht="15" customHeight="1" x14ac:dyDescent="0.3">
      <c r="A85" s="199"/>
      <c r="B85" s="201"/>
      <c r="C85" s="202"/>
      <c r="D85" s="202"/>
      <c r="E85" s="205"/>
      <c r="F85" s="66"/>
      <c r="G85" s="66"/>
      <c r="H85" s="66"/>
      <c r="I85" s="66"/>
      <c r="J85" s="215"/>
      <c r="K85" s="210"/>
    </row>
    <row r="86" spans="1:11" s="1" customFormat="1" ht="15" customHeight="1" x14ac:dyDescent="0.3">
      <c r="A86" s="212"/>
      <c r="B86" s="213"/>
      <c r="C86" s="203"/>
      <c r="D86" s="203"/>
      <c r="E86" s="225"/>
      <c r="F86" s="66"/>
      <c r="G86" s="66"/>
      <c r="H86" s="66"/>
      <c r="I86" s="66"/>
      <c r="J86" s="216"/>
      <c r="K86" s="211"/>
    </row>
    <row r="87" spans="1:11" ht="14.4" x14ac:dyDescent="0.3"/>
    <row r="88" spans="1:11" s="5" customFormat="1" ht="14.4" x14ac:dyDescent="0.3">
      <c r="F88" s="61"/>
      <c r="G88" s="6"/>
      <c r="H88" s="6"/>
      <c r="I88" s="6"/>
    </row>
    <row r="89" spans="1:11" s="5" customFormat="1" ht="14.4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ht="14.4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ht="14.4" x14ac:dyDescent="0.3">
      <c r="B91" s="2"/>
      <c r="F91" s="61"/>
      <c r="G91" s="6"/>
      <c r="H91" s="6"/>
      <c r="I91" s="6"/>
    </row>
    <row r="92" spans="1:11" s="5" customFormat="1" ht="14.4" x14ac:dyDescent="0.3">
      <c r="B92" s="2"/>
      <c r="F92" s="61"/>
      <c r="G92" s="6"/>
      <c r="H92" s="6"/>
      <c r="I92" s="6"/>
    </row>
    <row r="93" spans="1:11" s="5" customFormat="1" ht="14.4" x14ac:dyDescent="0.3">
      <c r="B93" s="2"/>
      <c r="F93" s="61"/>
      <c r="G93" s="6"/>
      <c r="H93" s="6"/>
      <c r="I93" s="6"/>
    </row>
    <row r="94" spans="1:11" s="5" customFormat="1" ht="14.4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ht="14.4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ht="14.4" x14ac:dyDescent="0.3"/>
    <row r="97" spans="1:11" ht="21" x14ac:dyDescent="0.3">
      <c r="A97" s="188" t="s">
        <v>91</v>
      </c>
      <c r="B97" s="188"/>
      <c r="C97" s="188"/>
      <c r="D97" s="188"/>
      <c r="E97" s="188"/>
      <c r="F97" s="188"/>
      <c r="G97" s="188"/>
      <c r="H97" s="188"/>
      <c r="I97" s="188"/>
      <c r="J97" s="188"/>
      <c r="K97" s="188"/>
    </row>
    <row r="98" spans="1:11" ht="14.4" x14ac:dyDescent="0.3"/>
    <row r="99" spans="1:11" s="1" customFormat="1" ht="14.4" x14ac:dyDescent="0.3">
      <c r="A99" s="53"/>
      <c r="B99" s="75" t="s">
        <v>90</v>
      </c>
      <c r="C99" s="1" t="str">
        <f>C4</f>
        <v>MA Nurul Hidayah Padalarang</v>
      </c>
    </row>
    <row r="100" spans="1:11" s="1" customFormat="1" ht="14.4" x14ac:dyDescent="0.3">
      <c r="A100" s="53"/>
      <c r="B100" s="75" t="s">
        <v>42</v>
      </c>
      <c r="C100" s="1" t="e">
        <f>C5</f>
        <v>#REF!</v>
      </c>
    </row>
    <row r="101" spans="1:11" s="1" customFormat="1" ht="14.4" x14ac:dyDescent="0.3">
      <c r="A101" s="53"/>
      <c r="B101" s="75" t="s">
        <v>89</v>
      </c>
      <c r="C101" s="1" t="e">
        <f>C6</f>
        <v>#REF!</v>
      </c>
    </row>
    <row r="102" spans="1:11" ht="14.4" x14ac:dyDescent="0.3"/>
    <row r="103" spans="1:11" s="1" customFormat="1" ht="14.4" x14ac:dyDescent="0.3">
      <c r="A103" s="189" t="s">
        <v>88</v>
      </c>
      <c r="B103" s="190"/>
      <c r="C103" s="190"/>
      <c r="D103" s="190"/>
      <c r="E103" s="190"/>
      <c r="F103" s="190"/>
      <c r="G103" s="190"/>
      <c r="H103" s="190"/>
      <c r="I103" s="190"/>
      <c r="J103" s="190"/>
      <c r="K103" s="191"/>
    </row>
    <row r="104" spans="1:11" s="1" customFormat="1" ht="30" customHeight="1" x14ac:dyDescent="0.3">
      <c r="A104" s="71">
        <v>1</v>
      </c>
      <c r="B104" s="192"/>
      <c r="C104" s="193"/>
      <c r="D104" s="193"/>
      <c r="E104" s="193"/>
      <c r="F104" s="193"/>
      <c r="G104" s="193"/>
      <c r="H104" s="193"/>
      <c r="I104" s="193"/>
      <c r="J104" s="193"/>
      <c r="K104" s="194"/>
    </row>
    <row r="105" spans="1:11" s="72" customFormat="1" ht="45" customHeight="1" x14ac:dyDescent="0.3">
      <c r="A105" s="73">
        <v>2</v>
      </c>
      <c r="B105" s="195"/>
      <c r="C105" s="196"/>
      <c r="D105" s="196"/>
      <c r="E105" s="196"/>
      <c r="F105" s="196"/>
      <c r="G105" s="196"/>
      <c r="H105" s="196"/>
      <c r="I105" s="196"/>
      <c r="J105" s="196"/>
      <c r="K105" s="197"/>
    </row>
    <row r="106" spans="1:11" s="1" customFormat="1" ht="45" customHeight="1" x14ac:dyDescent="0.3">
      <c r="A106" s="71">
        <v>3</v>
      </c>
      <c r="B106" s="195"/>
      <c r="C106" s="196"/>
      <c r="D106" s="196"/>
      <c r="E106" s="196"/>
      <c r="F106" s="196"/>
      <c r="G106" s="196"/>
      <c r="H106" s="196"/>
      <c r="I106" s="196"/>
      <c r="J106" s="196"/>
      <c r="K106" s="197"/>
    </row>
    <row r="107" spans="1:11" s="1" customFormat="1" ht="45" customHeight="1" x14ac:dyDescent="0.3">
      <c r="A107" s="71">
        <v>4</v>
      </c>
      <c r="B107" s="195"/>
      <c r="C107" s="196"/>
      <c r="D107" s="196"/>
      <c r="E107" s="196"/>
      <c r="F107" s="196"/>
      <c r="G107" s="196"/>
      <c r="H107" s="196"/>
      <c r="I107" s="196"/>
      <c r="J107" s="196"/>
      <c r="K107" s="197"/>
    </row>
    <row r="108" spans="1:11" ht="14.4" x14ac:dyDescent="0.3"/>
    <row r="109" spans="1:11" s="1" customFormat="1" ht="30" customHeight="1" x14ac:dyDescent="0.3">
      <c r="A109" s="184" t="s">
        <v>14</v>
      </c>
      <c r="B109" s="185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186"/>
      <c r="D110" s="186" t="str">
        <f t="shared" ref="D110:K110" si="7">IF($B110="","","-")</f>
        <v/>
      </c>
      <c r="E110" s="186" t="str">
        <f t="shared" si="7"/>
        <v/>
      </c>
      <c r="F110" s="186" t="str">
        <f t="shared" si="7"/>
        <v/>
      </c>
      <c r="G110" s="186" t="str">
        <f t="shared" si="7"/>
        <v/>
      </c>
      <c r="H110" s="186" t="str">
        <f t="shared" si="7"/>
        <v/>
      </c>
      <c r="I110" s="186" t="str">
        <f t="shared" si="7"/>
        <v/>
      </c>
      <c r="J110" s="186" t="str">
        <f t="shared" si="7"/>
        <v/>
      </c>
      <c r="K110" s="186" t="str">
        <f t="shared" si="7"/>
        <v/>
      </c>
    </row>
    <row r="111" spans="1:11" ht="60" customHeight="1" x14ac:dyDescent="0.3">
      <c r="A111" s="68"/>
      <c r="B111" s="67"/>
      <c r="C111" s="187"/>
      <c r="D111" s="187"/>
      <c r="E111" s="187"/>
      <c r="F111" s="187"/>
      <c r="G111" s="187"/>
      <c r="H111" s="187"/>
      <c r="I111" s="187"/>
      <c r="J111" s="187"/>
      <c r="K111" s="187"/>
    </row>
    <row r="112" spans="1:11" ht="45" customHeight="1" x14ac:dyDescent="0.3">
      <c r="A112" s="70"/>
      <c r="B112" s="69"/>
      <c r="C112" s="186"/>
      <c r="D112" s="186" t="str">
        <f t="shared" ref="D112:K112" si="8">IF($B112="","","-")</f>
        <v/>
      </c>
      <c r="E112" s="186" t="str">
        <f t="shared" si="8"/>
        <v/>
      </c>
      <c r="F112" s="186" t="str">
        <f t="shared" si="8"/>
        <v/>
      </c>
      <c r="G112" s="186" t="str">
        <f t="shared" si="8"/>
        <v/>
      </c>
      <c r="H112" s="186" t="str">
        <f t="shared" si="8"/>
        <v/>
      </c>
      <c r="I112" s="186" t="str">
        <f t="shared" si="8"/>
        <v/>
      </c>
      <c r="J112" s="186" t="str">
        <f t="shared" si="8"/>
        <v/>
      </c>
      <c r="K112" s="186" t="str">
        <f t="shared" si="8"/>
        <v/>
      </c>
    </row>
    <row r="113" spans="1:11" ht="60" customHeight="1" x14ac:dyDescent="0.3">
      <c r="A113" s="68"/>
      <c r="B113" s="67"/>
      <c r="C113" s="187"/>
      <c r="D113" s="187"/>
      <c r="E113" s="187"/>
      <c r="F113" s="187"/>
      <c r="G113" s="187"/>
      <c r="H113" s="187"/>
      <c r="I113" s="187"/>
      <c r="J113" s="187"/>
      <c r="K113" s="187"/>
    </row>
    <row r="114" spans="1:11" ht="45" customHeight="1" x14ac:dyDescent="0.3">
      <c r="A114" s="70"/>
      <c r="B114" s="69"/>
      <c r="C114" s="186"/>
      <c r="D114" s="186" t="str">
        <f t="shared" ref="D114:K114" si="9">IF($B114="","","-")</f>
        <v/>
      </c>
      <c r="E114" s="186" t="str">
        <f t="shared" si="9"/>
        <v/>
      </c>
      <c r="F114" s="186" t="str">
        <f t="shared" si="9"/>
        <v/>
      </c>
      <c r="G114" s="186" t="str">
        <f t="shared" si="9"/>
        <v/>
      </c>
      <c r="H114" s="186" t="str">
        <f t="shared" si="9"/>
        <v/>
      </c>
      <c r="I114" s="186" t="str">
        <f t="shared" si="9"/>
        <v/>
      </c>
      <c r="J114" s="186" t="str">
        <f t="shared" si="9"/>
        <v/>
      </c>
      <c r="K114" s="186" t="str">
        <f t="shared" si="9"/>
        <v/>
      </c>
    </row>
    <row r="115" spans="1:11" ht="60" customHeight="1" x14ac:dyDescent="0.3">
      <c r="A115" s="68"/>
      <c r="B115" s="67"/>
      <c r="C115" s="187"/>
      <c r="D115" s="187"/>
      <c r="E115" s="187"/>
      <c r="F115" s="187"/>
      <c r="G115" s="187"/>
      <c r="H115" s="187"/>
      <c r="I115" s="187"/>
      <c r="J115" s="187"/>
      <c r="K115" s="187"/>
    </row>
    <row r="116" spans="1:11" ht="45" customHeight="1" x14ac:dyDescent="0.3">
      <c r="A116" s="70"/>
      <c r="B116" s="69"/>
      <c r="C116" s="186"/>
      <c r="D116" s="186" t="str">
        <f t="shared" ref="D116:K116" si="10">IF($B116="","","-")</f>
        <v/>
      </c>
      <c r="E116" s="186" t="str">
        <f t="shared" si="10"/>
        <v/>
      </c>
      <c r="F116" s="186" t="str">
        <f t="shared" si="10"/>
        <v/>
      </c>
      <c r="G116" s="186" t="str">
        <f t="shared" si="10"/>
        <v/>
      </c>
      <c r="H116" s="186" t="str">
        <f t="shared" si="10"/>
        <v/>
      </c>
      <c r="I116" s="186" t="str">
        <f t="shared" si="10"/>
        <v/>
      </c>
      <c r="J116" s="186" t="str">
        <f t="shared" si="10"/>
        <v/>
      </c>
      <c r="K116" s="186" t="str">
        <f t="shared" si="10"/>
        <v/>
      </c>
    </row>
    <row r="117" spans="1:11" ht="60" customHeight="1" x14ac:dyDescent="0.3">
      <c r="A117" s="68"/>
      <c r="B117" s="67"/>
      <c r="C117" s="187"/>
      <c r="D117" s="187"/>
      <c r="E117" s="187"/>
      <c r="F117" s="187"/>
      <c r="G117" s="187"/>
      <c r="H117" s="187"/>
      <c r="I117" s="187"/>
      <c r="J117" s="187"/>
      <c r="K117" s="187"/>
    </row>
    <row r="118" spans="1:11" s="1" customFormat="1" ht="30" customHeight="1" x14ac:dyDescent="0.3">
      <c r="A118" s="184" t="s">
        <v>14</v>
      </c>
      <c r="B118" s="185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186"/>
      <c r="D119" s="186" t="str">
        <f t="shared" ref="D119:K119" si="11">IF($B119="","","-")</f>
        <v/>
      </c>
      <c r="E119" s="186" t="str">
        <f t="shared" si="11"/>
        <v/>
      </c>
      <c r="F119" s="186" t="str">
        <f t="shared" si="11"/>
        <v/>
      </c>
      <c r="G119" s="186" t="str">
        <f t="shared" si="11"/>
        <v/>
      </c>
      <c r="H119" s="186" t="str">
        <f t="shared" si="11"/>
        <v/>
      </c>
      <c r="I119" s="186" t="str">
        <f t="shared" si="11"/>
        <v/>
      </c>
      <c r="J119" s="186" t="str">
        <f t="shared" si="11"/>
        <v/>
      </c>
      <c r="K119" s="186" t="str">
        <f t="shared" si="11"/>
        <v/>
      </c>
    </row>
    <row r="120" spans="1:11" ht="60" customHeight="1" x14ac:dyDescent="0.3">
      <c r="A120" s="68"/>
      <c r="B120" s="67"/>
      <c r="C120" s="187"/>
      <c r="D120" s="187"/>
      <c r="E120" s="187"/>
      <c r="F120" s="187"/>
      <c r="G120" s="187"/>
      <c r="H120" s="187"/>
      <c r="I120" s="187"/>
      <c r="J120" s="187"/>
      <c r="K120" s="187"/>
    </row>
    <row r="121" spans="1:11" ht="45" customHeight="1" x14ac:dyDescent="0.3">
      <c r="A121" s="70"/>
      <c r="B121" s="69"/>
      <c r="C121" s="186"/>
      <c r="D121" s="186" t="str">
        <f t="shared" ref="D121:K121" si="12">IF($B121="","","-")</f>
        <v/>
      </c>
      <c r="E121" s="186" t="str">
        <f t="shared" si="12"/>
        <v/>
      </c>
      <c r="F121" s="186" t="str">
        <f t="shared" si="12"/>
        <v/>
      </c>
      <c r="G121" s="186" t="str">
        <f t="shared" si="12"/>
        <v/>
      </c>
      <c r="H121" s="186" t="str">
        <f t="shared" si="12"/>
        <v/>
      </c>
      <c r="I121" s="186" t="str">
        <f t="shared" si="12"/>
        <v/>
      </c>
      <c r="J121" s="186" t="str">
        <f t="shared" si="12"/>
        <v/>
      </c>
      <c r="K121" s="186" t="str">
        <f t="shared" si="12"/>
        <v/>
      </c>
    </row>
    <row r="122" spans="1:11" ht="60" customHeight="1" x14ac:dyDescent="0.3">
      <c r="A122" s="68"/>
      <c r="B122" s="67"/>
      <c r="C122" s="187"/>
      <c r="D122" s="187"/>
      <c r="E122" s="187"/>
      <c r="F122" s="187"/>
      <c r="G122" s="187"/>
      <c r="H122" s="187"/>
      <c r="I122" s="187"/>
      <c r="J122" s="187"/>
      <c r="K122" s="187"/>
    </row>
    <row r="123" spans="1:11" ht="45" customHeight="1" x14ac:dyDescent="0.3">
      <c r="A123" s="70"/>
      <c r="B123" s="69"/>
      <c r="C123" s="186"/>
      <c r="D123" s="186" t="str">
        <f t="shared" ref="D123:K123" si="13">IF($B123="","","-")</f>
        <v/>
      </c>
      <c r="E123" s="186" t="str">
        <f t="shared" si="13"/>
        <v/>
      </c>
      <c r="F123" s="186" t="str">
        <f t="shared" si="13"/>
        <v/>
      </c>
      <c r="G123" s="186" t="str">
        <f t="shared" si="13"/>
        <v/>
      </c>
      <c r="H123" s="186" t="str">
        <f t="shared" si="13"/>
        <v/>
      </c>
      <c r="I123" s="186" t="str">
        <f t="shared" si="13"/>
        <v/>
      </c>
      <c r="J123" s="186" t="str">
        <f t="shared" si="13"/>
        <v/>
      </c>
      <c r="K123" s="186" t="str">
        <f t="shared" si="13"/>
        <v/>
      </c>
    </row>
    <row r="124" spans="1:11" ht="60" customHeight="1" x14ac:dyDescent="0.3">
      <c r="A124" s="68"/>
      <c r="B124" s="67"/>
      <c r="C124" s="187"/>
      <c r="D124" s="187"/>
      <c r="E124" s="187"/>
      <c r="F124" s="187"/>
      <c r="G124" s="187"/>
      <c r="H124" s="187"/>
      <c r="I124" s="187"/>
      <c r="J124" s="187"/>
      <c r="K124" s="187"/>
    </row>
    <row r="125" spans="1:11" s="1" customFormat="1" ht="15" customHeight="1" x14ac:dyDescent="0.3">
      <c r="A125" s="198"/>
      <c r="B125" s="200"/>
      <c r="C125" s="202"/>
      <c r="D125" s="202"/>
      <c r="E125" s="204"/>
      <c r="F125" s="66"/>
      <c r="G125" s="66"/>
      <c r="H125" s="66"/>
      <c r="I125" s="66"/>
      <c r="J125" s="214"/>
      <c r="K125" s="209"/>
    </row>
    <row r="126" spans="1:11" s="1" customFormat="1" ht="15" customHeight="1" x14ac:dyDescent="0.3">
      <c r="A126" s="199"/>
      <c r="B126" s="201"/>
      <c r="C126" s="203"/>
      <c r="D126" s="203"/>
      <c r="E126" s="205"/>
      <c r="F126" s="66"/>
      <c r="G126" s="66"/>
      <c r="H126" s="66"/>
      <c r="I126" s="66"/>
      <c r="J126" s="215"/>
      <c r="K126" s="210"/>
    </row>
    <row r="127" spans="1:11" s="1" customFormat="1" ht="15" customHeight="1" x14ac:dyDescent="0.3">
      <c r="A127" s="199"/>
      <c r="B127" s="201"/>
      <c r="C127" s="202"/>
      <c r="D127" s="202"/>
      <c r="E127" s="205"/>
      <c r="F127" s="66"/>
      <c r="G127" s="66"/>
      <c r="H127" s="66"/>
      <c r="I127" s="66"/>
      <c r="J127" s="215"/>
      <c r="K127" s="210"/>
    </row>
    <row r="128" spans="1:11" s="1" customFormat="1" ht="15" customHeight="1" x14ac:dyDescent="0.3">
      <c r="A128" s="199"/>
      <c r="B128" s="201"/>
      <c r="C128" s="203"/>
      <c r="D128" s="203"/>
      <c r="E128" s="205"/>
      <c r="F128" s="66"/>
      <c r="G128" s="66"/>
      <c r="H128" s="66"/>
      <c r="I128" s="66"/>
      <c r="J128" s="215"/>
      <c r="K128" s="210"/>
    </row>
    <row r="129" spans="1:11" s="1" customFormat="1" ht="15" customHeight="1" x14ac:dyDescent="0.3">
      <c r="A129" s="199"/>
      <c r="B129" s="201"/>
      <c r="C129" s="202"/>
      <c r="D129" s="202"/>
      <c r="E129" s="205"/>
      <c r="F129" s="66"/>
      <c r="G129" s="66"/>
      <c r="H129" s="66"/>
      <c r="I129" s="66"/>
      <c r="J129" s="215"/>
      <c r="K129" s="210"/>
    </row>
    <row r="130" spans="1:11" s="1" customFormat="1" ht="15" customHeight="1" x14ac:dyDescent="0.3">
      <c r="A130" s="199"/>
      <c r="B130" s="201"/>
      <c r="C130" s="203"/>
      <c r="D130" s="203"/>
      <c r="E130" s="205"/>
      <c r="F130" s="66"/>
      <c r="G130" s="66"/>
      <c r="H130" s="66"/>
      <c r="I130" s="66"/>
      <c r="J130" s="215"/>
      <c r="K130" s="210"/>
    </row>
    <row r="131" spans="1:11" s="1" customFormat="1" ht="15" customHeight="1" x14ac:dyDescent="0.3">
      <c r="A131" s="199"/>
      <c r="B131" s="201"/>
      <c r="C131" s="202"/>
      <c r="D131" s="202"/>
      <c r="E131" s="205"/>
      <c r="F131" s="66"/>
      <c r="G131" s="66"/>
      <c r="H131" s="66"/>
      <c r="I131" s="66"/>
      <c r="J131" s="215"/>
      <c r="K131" s="210"/>
    </row>
    <row r="132" spans="1:11" s="1" customFormat="1" ht="15" customHeight="1" x14ac:dyDescent="0.3">
      <c r="A132" s="212"/>
      <c r="B132" s="213"/>
      <c r="C132" s="203"/>
      <c r="D132" s="203"/>
      <c r="E132" s="205"/>
      <c r="F132" s="66"/>
      <c r="G132" s="66"/>
      <c r="H132" s="66"/>
      <c r="I132" s="66"/>
      <c r="J132" s="216"/>
      <c r="K132" s="211"/>
    </row>
    <row r="133" spans="1:11" s="1" customFormat="1" ht="15" customHeight="1" x14ac:dyDescent="0.3">
      <c r="A133" s="198"/>
      <c r="B133" s="200"/>
      <c r="C133" s="202"/>
      <c r="D133" s="202"/>
      <c r="E133" s="204"/>
      <c r="F133" s="66"/>
      <c r="G133" s="66"/>
      <c r="H133" s="66"/>
      <c r="I133" s="66"/>
      <c r="J133" s="214"/>
      <c r="K133" s="209"/>
    </row>
    <row r="134" spans="1:11" s="1" customFormat="1" ht="15" customHeight="1" x14ac:dyDescent="0.3">
      <c r="A134" s="199"/>
      <c r="B134" s="201"/>
      <c r="C134" s="203"/>
      <c r="D134" s="203"/>
      <c r="E134" s="205"/>
      <c r="F134" s="66"/>
      <c r="G134" s="66"/>
      <c r="H134" s="66"/>
      <c r="I134" s="66"/>
      <c r="J134" s="215"/>
      <c r="K134" s="210"/>
    </row>
    <row r="135" spans="1:11" s="1" customFormat="1" ht="15" customHeight="1" x14ac:dyDescent="0.3">
      <c r="A135" s="199"/>
      <c r="B135" s="201"/>
      <c r="C135" s="202"/>
      <c r="D135" s="202"/>
      <c r="E135" s="205"/>
      <c r="F135" s="66"/>
      <c r="G135" s="66"/>
      <c r="H135" s="66"/>
      <c r="I135" s="66"/>
      <c r="J135" s="215"/>
      <c r="K135" s="210"/>
    </row>
    <row r="136" spans="1:11" s="1" customFormat="1" ht="15" customHeight="1" x14ac:dyDescent="0.3">
      <c r="A136" s="199"/>
      <c r="B136" s="201"/>
      <c r="C136" s="203"/>
      <c r="D136" s="203"/>
      <c r="E136" s="205"/>
      <c r="F136" s="66"/>
      <c r="G136" s="66"/>
      <c r="H136" s="66"/>
      <c r="I136" s="66"/>
      <c r="J136" s="215"/>
      <c r="K136" s="210"/>
    </row>
    <row r="137" spans="1:11" s="1" customFormat="1" ht="15" customHeight="1" x14ac:dyDescent="0.3">
      <c r="A137" s="199"/>
      <c r="B137" s="201"/>
      <c r="C137" s="202"/>
      <c r="D137" s="202"/>
      <c r="E137" s="205"/>
      <c r="F137" s="66"/>
      <c r="G137" s="66"/>
      <c r="H137" s="66"/>
      <c r="I137" s="66"/>
      <c r="J137" s="215"/>
      <c r="K137" s="210"/>
    </row>
    <row r="138" spans="1:11" s="1" customFormat="1" ht="15" customHeight="1" x14ac:dyDescent="0.3">
      <c r="A138" s="199"/>
      <c r="B138" s="201"/>
      <c r="C138" s="203"/>
      <c r="D138" s="203"/>
      <c r="E138" s="205"/>
      <c r="F138" s="66"/>
      <c r="G138" s="66"/>
      <c r="H138" s="66"/>
      <c r="I138" s="66"/>
      <c r="J138" s="215"/>
      <c r="K138" s="210"/>
    </row>
    <row r="139" spans="1:11" s="1" customFormat="1" ht="15" customHeight="1" x14ac:dyDescent="0.3">
      <c r="A139" s="199"/>
      <c r="B139" s="201"/>
      <c r="C139" s="202"/>
      <c r="D139" s="202"/>
      <c r="E139" s="205"/>
      <c r="F139" s="66"/>
      <c r="G139" s="66"/>
      <c r="H139" s="66"/>
      <c r="I139" s="66"/>
      <c r="J139" s="215"/>
      <c r="K139" s="210"/>
    </row>
    <row r="140" spans="1:11" s="1" customFormat="1" ht="15" customHeight="1" x14ac:dyDescent="0.3">
      <c r="A140" s="212"/>
      <c r="B140" s="213"/>
      <c r="C140" s="203"/>
      <c r="D140" s="203"/>
      <c r="E140" s="205"/>
      <c r="F140" s="66"/>
      <c r="G140" s="66"/>
      <c r="H140" s="66"/>
      <c r="I140" s="66"/>
      <c r="J140" s="216"/>
      <c r="K140" s="211"/>
    </row>
    <row r="141" spans="1:11" s="1" customFormat="1" ht="15" customHeight="1" x14ac:dyDescent="0.3">
      <c r="A141" s="198"/>
      <c r="B141" s="200"/>
      <c r="C141" s="202"/>
      <c r="D141" s="202"/>
      <c r="E141" s="204"/>
      <c r="F141" s="66"/>
      <c r="G141" s="66"/>
      <c r="H141" s="66"/>
      <c r="I141" s="66"/>
      <c r="J141" s="214"/>
      <c r="K141" s="209"/>
    </row>
    <row r="142" spans="1:11" s="1" customFormat="1" ht="15" customHeight="1" x14ac:dyDescent="0.3">
      <c r="A142" s="199"/>
      <c r="B142" s="201"/>
      <c r="C142" s="203"/>
      <c r="D142" s="203"/>
      <c r="E142" s="205"/>
      <c r="F142" s="66"/>
      <c r="G142" s="66"/>
      <c r="H142" s="66"/>
      <c r="I142" s="66"/>
      <c r="J142" s="215"/>
      <c r="K142" s="210"/>
    </row>
    <row r="143" spans="1:11" s="1" customFormat="1" ht="15" customHeight="1" x14ac:dyDescent="0.3">
      <c r="A143" s="199"/>
      <c r="B143" s="201"/>
      <c r="C143" s="202"/>
      <c r="D143" s="202"/>
      <c r="E143" s="205"/>
      <c r="F143" s="66"/>
      <c r="G143" s="66"/>
      <c r="H143" s="66"/>
      <c r="I143" s="66"/>
      <c r="J143" s="215"/>
      <c r="K143" s="210"/>
    </row>
    <row r="144" spans="1:11" s="1" customFormat="1" ht="15" customHeight="1" x14ac:dyDescent="0.3">
      <c r="A144" s="199"/>
      <c r="B144" s="201"/>
      <c r="C144" s="203"/>
      <c r="D144" s="203"/>
      <c r="E144" s="205"/>
      <c r="F144" s="66"/>
      <c r="G144" s="66"/>
      <c r="H144" s="66"/>
      <c r="I144" s="66"/>
      <c r="J144" s="215"/>
      <c r="K144" s="210"/>
    </row>
    <row r="145" spans="1:11" s="1" customFormat="1" ht="15" customHeight="1" x14ac:dyDescent="0.3">
      <c r="A145" s="199"/>
      <c r="B145" s="201"/>
      <c r="C145" s="202"/>
      <c r="D145" s="202"/>
      <c r="E145" s="205"/>
      <c r="F145" s="66"/>
      <c r="G145" s="66"/>
      <c r="H145" s="66"/>
      <c r="I145" s="66"/>
      <c r="J145" s="215"/>
      <c r="K145" s="210"/>
    </row>
    <row r="146" spans="1:11" s="1" customFormat="1" ht="15" customHeight="1" x14ac:dyDescent="0.3">
      <c r="A146" s="199"/>
      <c r="B146" s="201"/>
      <c r="C146" s="203"/>
      <c r="D146" s="203"/>
      <c r="E146" s="205"/>
      <c r="F146" s="66"/>
      <c r="G146" s="66"/>
      <c r="H146" s="66"/>
      <c r="I146" s="66"/>
      <c r="J146" s="215"/>
      <c r="K146" s="210"/>
    </row>
    <row r="147" spans="1:11" s="1" customFormat="1" ht="15" customHeight="1" x14ac:dyDescent="0.3">
      <c r="A147" s="199"/>
      <c r="B147" s="201"/>
      <c r="C147" s="202"/>
      <c r="D147" s="202"/>
      <c r="E147" s="205"/>
      <c r="F147" s="66"/>
      <c r="G147" s="66"/>
      <c r="H147" s="66"/>
      <c r="I147" s="66"/>
      <c r="J147" s="215"/>
      <c r="K147" s="210"/>
    </row>
    <row r="148" spans="1:11" s="1" customFormat="1" ht="15" customHeight="1" x14ac:dyDescent="0.3">
      <c r="A148" s="212"/>
      <c r="B148" s="213"/>
      <c r="C148" s="203"/>
      <c r="D148" s="203"/>
      <c r="E148" s="205"/>
      <c r="F148" s="66"/>
      <c r="G148" s="66"/>
      <c r="H148" s="66"/>
      <c r="I148" s="66"/>
      <c r="J148" s="216"/>
      <c r="K148" s="211"/>
    </row>
    <row r="149" spans="1:11" s="1" customFormat="1" ht="30" customHeight="1" x14ac:dyDescent="0.3">
      <c r="A149" s="184" t="s">
        <v>14</v>
      </c>
      <c r="B149" s="185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8"/>
      <c r="B150" s="200"/>
      <c r="C150" s="202"/>
      <c r="D150" s="202"/>
      <c r="E150" s="204"/>
      <c r="F150" s="66"/>
      <c r="G150" s="66"/>
      <c r="H150" s="66"/>
      <c r="I150" s="66"/>
      <c r="J150" s="214"/>
      <c r="K150" s="209"/>
    </row>
    <row r="151" spans="1:11" s="1" customFormat="1" ht="15" customHeight="1" x14ac:dyDescent="0.3">
      <c r="A151" s="199"/>
      <c r="B151" s="201"/>
      <c r="C151" s="203"/>
      <c r="D151" s="203"/>
      <c r="E151" s="205"/>
      <c r="F151" s="66"/>
      <c r="G151" s="66"/>
      <c r="H151" s="66"/>
      <c r="I151" s="66"/>
      <c r="J151" s="215"/>
      <c r="K151" s="210"/>
    </row>
    <row r="152" spans="1:11" s="1" customFormat="1" ht="15" customHeight="1" x14ac:dyDescent="0.3">
      <c r="A152" s="199"/>
      <c r="B152" s="201"/>
      <c r="C152" s="202"/>
      <c r="D152" s="202"/>
      <c r="E152" s="205"/>
      <c r="F152" s="66"/>
      <c r="G152" s="66"/>
      <c r="H152" s="66"/>
      <c r="I152" s="66"/>
      <c r="J152" s="215"/>
      <c r="K152" s="210"/>
    </row>
    <row r="153" spans="1:11" s="1" customFormat="1" ht="15" customHeight="1" x14ac:dyDescent="0.3">
      <c r="A153" s="199"/>
      <c r="B153" s="201"/>
      <c r="C153" s="203"/>
      <c r="D153" s="203"/>
      <c r="E153" s="205"/>
      <c r="F153" s="66"/>
      <c r="G153" s="66"/>
      <c r="H153" s="66"/>
      <c r="I153" s="66"/>
      <c r="J153" s="215"/>
      <c r="K153" s="210"/>
    </row>
    <row r="154" spans="1:11" s="1" customFormat="1" ht="15" customHeight="1" x14ac:dyDescent="0.3">
      <c r="A154" s="199"/>
      <c r="B154" s="201"/>
      <c r="C154" s="202"/>
      <c r="D154" s="202"/>
      <c r="E154" s="205"/>
      <c r="F154" s="66"/>
      <c r="G154" s="66"/>
      <c r="H154" s="66"/>
      <c r="I154" s="66"/>
      <c r="J154" s="215"/>
      <c r="K154" s="210"/>
    </row>
    <row r="155" spans="1:11" s="1" customFormat="1" ht="15" customHeight="1" x14ac:dyDescent="0.3">
      <c r="A155" s="199"/>
      <c r="B155" s="201"/>
      <c r="C155" s="203"/>
      <c r="D155" s="203"/>
      <c r="E155" s="205"/>
      <c r="F155" s="66"/>
      <c r="G155" s="66"/>
      <c r="H155" s="66"/>
      <c r="I155" s="66"/>
      <c r="J155" s="215"/>
      <c r="K155" s="210"/>
    </row>
    <row r="156" spans="1:11" s="1" customFormat="1" ht="15" customHeight="1" x14ac:dyDescent="0.3">
      <c r="A156" s="199"/>
      <c r="B156" s="201"/>
      <c r="C156" s="202"/>
      <c r="D156" s="202"/>
      <c r="E156" s="205"/>
      <c r="F156" s="66"/>
      <c r="G156" s="66"/>
      <c r="H156" s="66"/>
      <c r="I156" s="66"/>
      <c r="J156" s="215"/>
      <c r="K156" s="210"/>
    </row>
    <row r="157" spans="1:11" s="1" customFormat="1" ht="15" customHeight="1" x14ac:dyDescent="0.3">
      <c r="A157" s="212"/>
      <c r="B157" s="213"/>
      <c r="C157" s="203"/>
      <c r="D157" s="203"/>
      <c r="E157" s="205"/>
      <c r="F157" s="66"/>
      <c r="G157" s="66"/>
      <c r="H157" s="66"/>
      <c r="I157" s="66"/>
      <c r="J157" s="216"/>
      <c r="K157" s="211"/>
    </row>
    <row r="158" spans="1:11" s="1" customFormat="1" ht="15" customHeight="1" x14ac:dyDescent="0.3">
      <c r="A158" s="198"/>
      <c r="B158" s="200"/>
      <c r="C158" s="202"/>
      <c r="D158" s="202"/>
      <c r="E158" s="204"/>
      <c r="F158" s="66"/>
      <c r="G158" s="66"/>
      <c r="H158" s="66"/>
      <c r="I158" s="66"/>
      <c r="J158" s="214"/>
      <c r="K158" s="209"/>
    </row>
    <row r="159" spans="1:11" s="1" customFormat="1" ht="15" customHeight="1" x14ac:dyDescent="0.3">
      <c r="A159" s="199"/>
      <c r="B159" s="201"/>
      <c r="C159" s="203"/>
      <c r="D159" s="203"/>
      <c r="E159" s="205"/>
      <c r="F159" s="66"/>
      <c r="G159" s="66"/>
      <c r="H159" s="66"/>
      <c r="I159" s="66"/>
      <c r="J159" s="215"/>
      <c r="K159" s="210"/>
    </row>
    <row r="160" spans="1:11" s="1" customFormat="1" ht="15" customHeight="1" x14ac:dyDescent="0.3">
      <c r="A160" s="199"/>
      <c r="B160" s="201"/>
      <c r="C160" s="202"/>
      <c r="D160" s="202"/>
      <c r="E160" s="205"/>
      <c r="F160" s="66"/>
      <c r="G160" s="66"/>
      <c r="H160" s="66"/>
      <c r="I160" s="66"/>
      <c r="J160" s="215"/>
      <c r="K160" s="210"/>
    </row>
    <row r="161" spans="1:11" s="1" customFormat="1" ht="15" customHeight="1" x14ac:dyDescent="0.3">
      <c r="A161" s="199"/>
      <c r="B161" s="201"/>
      <c r="C161" s="203"/>
      <c r="D161" s="203"/>
      <c r="E161" s="205"/>
      <c r="F161" s="66"/>
      <c r="G161" s="66"/>
      <c r="H161" s="66"/>
      <c r="I161" s="66"/>
      <c r="J161" s="215"/>
      <c r="K161" s="210"/>
    </row>
    <row r="162" spans="1:11" s="1" customFormat="1" ht="15" customHeight="1" x14ac:dyDescent="0.3">
      <c r="A162" s="199"/>
      <c r="B162" s="201"/>
      <c r="C162" s="202"/>
      <c r="D162" s="202"/>
      <c r="E162" s="205"/>
      <c r="F162" s="66"/>
      <c r="G162" s="66"/>
      <c r="H162" s="66"/>
      <c r="I162" s="66"/>
      <c r="J162" s="215"/>
      <c r="K162" s="210"/>
    </row>
    <row r="163" spans="1:11" s="1" customFormat="1" ht="15" customHeight="1" x14ac:dyDescent="0.3">
      <c r="A163" s="199"/>
      <c r="B163" s="201"/>
      <c r="C163" s="203"/>
      <c r="D163" s="203"/>
      <c r="E163" s="205"/>
      <c r="F163" s="66"/>
      <c r="G163" s="66"/>
      <c r="H163" s="66"/>
      <c r="I163" s="66"/>
      <c r="J163" s="215"/>
      <c r="K163" s="210"/>
    </row>
    <row r="164" spans="1:11" s="1" customFormat="1" ht="15" customHeight="1" x14ac:dyDescent="0.3">
      <c r="A164" s="199"/>
      <c r="B164" s="201"/>
      <c r="C164" s="202"/>
      <c r="D164" s="202"/>
      <c r="E164" s="205"/>
      <c r="F164" s="66"/>
      <c r="G164" s="66"/>
      <c r="H164" s="66"/>
      <c r="I164" s="66"/>
      <c r="J164" s="215"/>
      <c r="K164" s="210"/>
    </row>
    <row r="165" spans="1:11" s="1" customFormat="1" ht="15" customHeight="1" x14ac:dyDescent="0.3">
      <c r="A165" s="212"/>
      <c r="B165" s="213"/>
      <c r="C165" s="203"/>
      <c r="D165" s="203"/>
      <c r="E165" s="205"/>
      <c r="F165" s="66"/>
      <c r="G165" s="66"/>
      <c r="H165" s="66"/>
      <c r="I165" s="66"/>
      <c r="J165" s="216"/>
      <c r="K165" s="211"/>
    </row>
    <row r="166" spans="1:11" s="1" customFormat="1" ht="15" customHeight="1" x14ac:dyDescent="0.3">
      <c r="A166" s="198"/>
      <c r="B166" s="200"/>
      <c r="C166" s="202"/>
      <c r="D166" s="202"/>
      <c r="E166" s="204"/>
      <c r="F166" s="66"/>
      <c r="G166" s="66"/>
      <c r="H166" s="66"/>
      <c r="I166" s="66"/>
      <c r="J166" s="214"/>
      <c r="K166" s="209"/>
    </row>
    <row r="167" spans="1:11" s="1" customFormat="1" ht="15" customHeight="1" x14ac:dyDescent="0.3">
      <c r="A167" s="199"/>
      <c r="B167" s="201"/>
      <c r="C167" s="203"/>
      <c r="D167" s="203"/>
      <c r="E167" s="205"/>
      <c r="F167" s="66"/>
      <c r="G167" s="66"/>
      <c r="H167" s="66"/>
      <c r="I167" s="66"/>
      <c r="J167" s="215"/>
      <c r="K167" s="210"/>
    </row>
    <row r="168" spans="1:11" s="1" customFormat="1" ht="15" customHeight="1" x14ac:dyDescent="0.3">
      <c r="A168" s="199"/>
      <c r="B168" s="201"/>
      <c r="C168" s="202"/>
      <c r="D168" s="202"/>
      <c r="E168" s="205"/>
      <c r="F168" s="66"/>
      <c r="G168" s="66"/>
      <c r="H168" s="66"/>
      <c r="I168" s="66"/>
      <c r="J168" s="215"/>
      <c r="K168" s="210"/>
    </row>
    <row r="169" spans="1:11" s="1" customFormat="1" ht="15" customHeight="1" x14ac:dyDescent="0.3">
      <c r="A169" s="199"/>
      <c r="B169" s="201"/>
      <c r="C169" s="203"/>
      <c r="D169" s="203"/>
      <c r="E169" s="205"/>
      <c r="F169" s="66"/>
      <c r="G169" s="66"/>
      <c r="H169" s="66"/>
      <c r="I169" s="66"/>
      <c r="J169" s="215"/>
      <c r="K169" s="210"/>
    </row>
    <row r="170" spans="1:11" s="1" customFormat="1" ht="15" customHeight="1" x14ac:dyDescent="0.3">
      <c r="A170" s="199"/>
      <c r="B170" s="201"/>
      <c r="C170" s="202"/>
      <c r="D170" s="202"/>
      <c r="E170" s="205"/>
      <c r="F170" s="66"/>
      <c r="G170" s="66"/>
      <c r="H170" s="66"/>
      <c r="I170" s="66"/>
      <c r="J170" s="215"/>
      <c r="K170" s="210"/>
    </row>
    <row r="171" spans="1:11" s="1" customFormat="1" ht="15" customHeight="1" x14ac:dyDescent="0.3">
      <c r="A171" s="199"/>
      <c r="B171" s="201"/>
      <c r="C171" s="203"/>
      <c r="D171" s="203"/>
      <c r="E171" s="205"/>
      <c r="F171" s="66"/>
      <c r="G171" s="66"/>
      <c r="H171" s="66"/>
      <c r="I171" s="66"/>
      <c r="J171" s="215"/>
      <c r="K171" s="210"/>
    </row>
    <row r="172" spans="1:11" s="1" customFormat="1" ht="15" customHeight="1" x14ac:dyDescent="0.3">
      <c r="A172" s="199"/>
      <c r="B172" s="201"/>
      <c r="C172" s="202"/>
      <c r="D172" s="202"/>
      <c r="E172" s="205"/>
      <c r="F172" s="66"/>
      <c r="G172" s="66"/>
      <c r="H172" s="66"/>
      <c r="I172" s="66"/>
      <c r="J172" s="215"/>
      <c r="K172" s="210"/>
    </row>
    <row r="173" spans="1:11" s="1" customFormat="1" ht="15" customHeight="1" x14ac:dyDescent="0.3">
      <c r="A173" s="212"/>
      <c r="B173" s="213"/>
      <c r="C173" s="203"/>
      <c r="D173" s="203"/>
      <c r="E173" s="205"/>
      <c r="F173" s="66"/>
      <c r="G173" s="66"/>
      <c r="H173" s="66"/>
      <c r="I173" s="66"/>
      <c r="J173" s="216"/>
      <c r="K173" s="211"/>
    </row>
    <row r="174" spans="1:11" s="1" customFormat="1" ht="15" customHeight="1" x14ac:dyDescent="0.3">
      <c r="A174" s="198"/>
      <c r="B174" s="200"/>
      <c r="C174" s="202"/>
      <c r="D174" s="209"/>
      <c r="E174" s="204"/>
      <c r="F174" s="66"/>
      <c r="G174" s="66"/>
      <c r="H174" s="66"/>
      <c r="I174" s="66"/>
      <c r="J174" s="214"/>
      <c r="K174" s="209"/>
    </row>
    <row r="175" spans="1:11" s="1" customFormat="1" ht="15" customHeight="1" x14ac:dyDescent="0.3">
      <c r="A175" s="199"/>
      <c r="B175" s="201"/>
      <c r="C175" s="203"/>
      <c r="D175" s="211"/>
      <c r="E175" s="205"/>
      <c r="F175" s="66"/>
      <c r="G175" s="66"/>
      <c r="H175" s="66"/>
      <c r="I175" s="66"/>
      <c r="J175" s="215"/>
      <c r="K175" s="210"/>
    </row>
    <row r="176" spans="1:11" s="1" customFormat="1" ht="15" customHeight="1" x14ac:dyDescent="0.3">
      <c r="A176" s="199"/>
      <c r="B176" s="201"/>
      <c r="C176" s="202"/>
      <c r="D176" s="209"/>
      <c r="E176" s="205"/>
      <c r="F176" s="66"/>
      <c r="G176" s="66"/>
      <c r="H176" s="66"/>
      <c r="I176" s="66"/>
      <c r="J176" s="215"/>
      <c r="K176" s="210"/>
    </row>
    <row r="177" spans="1:11" s="1" customFormat="1" ht="15" customHeight="1" x14ac:dyDescent="0.3">
      <c r="A177" s="199"/>
      <c r="B177" s="201"/>
      <c r="C177" s="203"/>
      <c r="D177" s="211"/>
      <c r="E177" s="205"/>
      <c r="F177" s="66"/>
      <c r="G177" s="66"/>
      <c r="H177" s="66"/>
      <c r="I177" s="66"/>
      <c r="J177" s="215"/>
      <c r="K177" s="210"/>
    </row>
    <row r="178" spans="1:11" s="1" customFormat="1" ht="15" customHeight="1" x14ac:dyDescent="0.3">
      <c r="A178" s="199"/>
      <c r="B178" s="201"/>
      <c r="C178" s="202"/>
      <c r="D178" s="209"/>
      <c r="E178" s="205"/>
      <c r="F178" s="66"/>
      <c r="G178" s="66"/>
      <c r="H178" s="66"/>
      <c r="I178" s="66"/>
      <c r="J178" s="215"/>
      <c r="K178" s="210"/>
    </row>
    <row r="179" spans="1:11" s="1" customFormat="1" ht="15" customHeight="1" x14ac:dyDescent="0.3">
      <c r="A179" s="199"/>
      <c r="B179" s="201"/>
      <c r="C179" s="203"/>
      <c r="D179" s="211"/>
      <c r="E179" s="205"/>
      <c r="F179" s="66"/>
      <c r="G179" s="66"/>
      <c r="H179" s="66"/>
      <c r="I179" s="66"/>
      <c r="J179" s="215"/>
      <c r="K179" s="210"/>
    </row>
    <row r="180" spans="1:11" s="1" customFormat="1" ht="15" customHeight="1" x14ac:dyDescent="0.3">
      <c r="A180" s="199"/>
      <c r="B180" s="201"/>
      <c r="C180" s="202"/>
      <c r="D180" s="209"/>
      <c r="E180" s="205"/>
      <c r="F180" s="66"/>
      <c r="G180" s="66"/>
      <c r="H180" s="66"/>
      <c r="I180" s="66"/>
      <c r="J180" s="215"/>
      <c r="K180" s="210"/>
    </row>
    <row r="181" spans="1:11" s="1" customFormat="1" ht="15" customHeight="1" x14ac:dyDescent="0.3">
      <c r="A181" s="212"/>
      <c r="B181" s="213"/>
      <c r="C181" s="203"/>
      <c r="D181" s="211"/>
      <c r="E181" s="225"/>
      <c r="F181" s="66"/>
      <c r="G181" s="66"/>
      <c r="H181" s="66"/>
      <c r="I181" s="66"/>
      <c r="J181" s="216"/>
      <c r="K181" s="211"/>
    </row>
    <row r="182" spans="1:11" ht="14.4" x14ac:dyDescent="0.3"/>
    <row r="183" spans="1:11" s="5" customFormat="1" ht="14.4" x14ac:dyDescent="0.3">
      <c r="D183" s="1"/>
      <c r="E183" s="1"/>
      <c r="F183" s="61"/>
      <c r="G183" s="6"/>
      <c r="H183" s="6"/>
      <c r="I183" s="6"/>
    </row>
    <row r="184" spans="1:11" s="5" customFormat="1" ht="14.4" x14ac:dyDescent="0.3">
      <c r="B184" s="62" t="e">
        <f>B89</f>
        <v>#REF!</v>
      </c>
      <c r="D184" s="1"/>
      <c r="E184" s="1"/>
      <c r="F184" s="61" t="e">
        <f>F89</f>
        <v>#REF!</v>
      </c>
      <c r="G184" s="6"/>
      <c r="H184" s="6"/>
      <c r="I184" s="6"/>
    </row>
    <row r="185" spans="1:11" s="5" customFormat="1" ht="14.4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ht="14.4" x14ac:dyDescent="0.3">
      <c r="B186" s="2"/>
      <c r="D186" s="1"/>
      <c r="E186" s="1"/>
      <c r="F186" s="61"/>
      <c r="G186" s="6"/>
      <c r="H186" s="6"/>
      <c r="I186" s="6"/>
    </row>
    <row r="187" spans="1:11" s="5" customFormat="1" ht="14.4" x14ac:dyDescent="0.3">
      <c r="B187" s="2"/>
      <c r="D187" s="1"/>
      <c r="E187" s="1"/>
      <c r="F187" s="61"/>
      <c r="G187" s="6"/>
      <c r="H187" s="6"/>
      <c r="I187" s="6"/>
    </row>
    <row r="188" spans="1:11" s="5" customFormat="1" ht="14.4" x14ac:dyDescent="0.3">
      <c r="B188" s="2"/>
      <c r="D188" s="1"/>
      <c r="E188" s="1"/>
      <c r="F188" s="61"/>
      <c r="G188" s="6"/>
      <c r="H188" s="6"/>
      <c r="I188" s="6"/>
    </row>
    <row r="189" spans="1:11" s="5" customFormat="1" ht="14.4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ht="14.4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ht="14.4" x14ac:dyDescent="0.3"/>
  </sheetData>
  <sheetProtection sheet="1" objects="1" scenarios="1"/>
  <mergeCells count="357">
    <mergeCell ref="K174:K181"/>
    <mergeCell ref="C176:C177"/>
    <mergeCell ref="D176:D177"/>
    <mergeCell ref="A178:A181"/>
    <mergeCell ref="B178:B181"/>
    <mergeCell ref="C178:C179"/>
    <mergeCell ref="D178:D179"/>
    <mergeCell ref="C180:C181"/>
    <mergeCell ref="D180:D181"/>
    <mergeCell ref="A174:A177"/>
    <mergeCell ref="B174:B177"/>
    <mergeCell ref="C174:C175"/>
    <mergeCell ref="D174:D175"/>
    <mergeCell ref="E174:E181"/>
    <mergeCell ref="J174:J181"/>
    <mergeCell ref="K166:K173"/>
    <mergeCell ref="C168:C169"/>
    <mergeCell ref="D168:D169"/>
    <mergeCell ref="A170:A173"/>
    <mergeCell ref="B170:B173"/>
    <mergeCell ref="C170:C171"/>
    <mergeCell ref="D170:D171"/>
    <mergeCell ref="C172:C173"/>
    <mergeCell ref="D172:D173"/>
    <mergeCell ref="A166:A169"/>
    <mergeCell ref="B166:B169"/>
    <mergeCell ref="C166:C167"/>
    <mergeCell ref="D166:D167"/>
    <mergeCell ref="E166:E173"/>
    <mergeCell ref="J166:J173"/>
    <mergeCell ref="D152:D153"/>
    <mergeCell ref="A154:A157"/>
    <mergeCell ref="B154:B157"/>
    <mergeCell ref="C154:C155"/>
    <mergeCell ref="D154:D155"/>
    <mergeCell ref="C156:C157"/>
    <mergeCell ref="D156:D157"/>
    <mergeCell ref="K158:K165"/>
    <mergeCell ref="C160:C161"/>
    <mergeCell ref="D160:D161"/>
    <mergeCell ref="A162:A165"/>
    <mergeCell ref="B162:B165"/>
    <mergeCell ref="C162:C163"/>
    <mergeCell ref="D162:D163"/>
    <mergeCell ref="C164:C165"/>
    <mergeCell ref="D164:D165"/>
    <mergeCell ref="A158:A161"/>
    <mergeCell ref="B158:B161"/>
    <mergeCell ref="C158:C159"/>
    <mergeCell ref="D158:D159"/>
    <mergeCell ref="E158:E165"/>
    <mergeCell ref="J158:J165"/>
    <mergeCell ref="A149:B149"/>
    <mergeCell ref="A150:A153"/>
    <mergeCell ref="B150:B153"/>
    <mergeCell ref="C150:C151"/>
    <mergeCell ref="D150:D151"/>
    <mergeCell ref="E150:E157"/>
    <mergeCell ref="K141:K148"/>
    <mergeCell ref="C143:C144"/>
    <mergeCell ref="D143:D144"/>
    <mergeCell ref="A145:A148"/>
    <mergeCell ref="B145:B148"/>
    <mergeCell ref="C145:C146"/>
    <mergeCell ref="D145:D146"/>
    <mergeCell ref="C147:C148"/>
    <mergeCell ref="D147:D148"/>
    <mergeCell ref="A141:A144"/>
    <mergeCell ref="B141:B144"/>
    <mergeCell ref="C141:C142"/>
    <mergeCell ref="D141:D142"/>
    <mergeCell ref="E141:E148"/>
    <mergeCell ref="J141:J148"/>
    <mergeCell ref="J150:J157"/>
    <mergeCell ref="K150:K157"/>
    <mergeCell ref="C152:C153"/>
    <mergeCell ref="K133:K140"/>
    <mergeCell ref="C135:C136"/>
    <mergeCell ref="D135:D136"/>
    <mergeCell ref="A137:A140"/>
    <mergeCell ref="B137:B140"/>
    <mergeCell ref="C137:C138"/>
    <mergeCell ref="D137:D138"/>
    <mergeCell ref="C139:C140"/>
    <mergeCell ref="D139:D140"/>
    <mergeCell ref="A133:A136"/>
    <mergeCell ref="B133:B136"/>
    <mergeCell ref="C133:C134"/>
    <mergeCell ref="D133:D134"/>
    <mergeCell ref="E133:E140"/>
    <mergeCell ref="J133:J140"/>
    <mergeCell ref="J123:J124"/>
    <mergeCell ref="K123:K124"/>
    <mergeCell ref="A125:A128"/>
    <mergeCell ref="B125:B128"/>
    <mergeCell ref="C125:C126"/>
    <mergeCell ref="D125:D126"/>
    <mergeCell ref="E125:E132"/>
    <mergeCell ref="J125:J132"/>
    <mergeCell ref="K125:K132"/>
    <mergeCell ref="C123:C124"/>
    <mergeCell ref="D123:D124"/>
    <mergeCell ref="E123:E124"/>
    <mergeCell ref="F123:F124"/>
    <mergeCell ref="G123:G124"/>
    <mergeCell ref="H123:H124"/>
    <mergeCell ref="C127:C128"/>
    <mergeCell ref="D127:D128"/>
    <mergeCell ref="A129:A132"/>
    <mergeCell ref="B129:B132"/>
    <mergeCell ref="C129:C130"/>
    <mergeCell ref="D129:D130"/>
    <mergeCell ref="C131:C132"/>
    <mergeCell ref="D131:D132"/>
    <mergeCell ref="I123:I124"/>
    <mergeCell ref="K119:K120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K121:K122"/>
    <mergeCell ref="A118:B118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C112:C113"/>
    <mergeCell ref="D112:D113"/>
    <mergeCell ref="E112:E113"/>
    <mergeCell ref="F112:F113"/>
    <mergeCell ref="G112:G113"/>
    <mergeCell ref="H112:H113"/>
    <mergeCell ref="I112:I113"/>
    <mergeCell ref="J112:J113"/>
    <mergeCell ref="K112:K113"/>
    <mergeCell ref="A109:B109"/>
    <mergeCell ref="C110:C111"/>
    <mergeCell ref="D110:D111"/>
    <mergeCell ref="E110:E111"/>
    <mergeCell ref="F110:F111"/>
    <mergeCell ref="G110:G111"/>
    <mergeCell ref="A97:K97"/>
    <mergeCell ref="A103:K103"/>
    <mergeCell ref="B104:K104"/>
    <mergeCell ref="B105:K105"/>
    <mergeCell ref="B106:K106"/>
    <mergeCell ref="B107:K107"/>
    <mergeCell ref="H110:H111"/>
    <mergeCell ref="I110:I111"/>
    <mergeCell ref="J110:J111"/>
    <mergeCell ref="K110:K111"/>
    <mergeCell ref="K79:K86"/>
    <mergeCell ref="C81:C82"/>
    <mergeCell ref="D81:D82"/>
    <mergeCell ref="A83:A86"/>
    <mergeCell ref="B83:B86"/>
    <mergeCell ref="C83:C84"/>
    <mergeCell ref="D83:D84"/>
    <mergeCell ref="C85:C86"/>
    <mergeCell ref="D85:D86"/>
    <mergeCell ref="A79:A82"/>
    <mergeCell ref="B79:B82"/>
    <mergeCell ref="C79:C80"/>
    <mergeCell ref="D79:D80"/>
    <mergeCell ref="E79:E86"/>
    <mergeCell ref="J79:J86"/>
    <mergeCell ref="K71:K78"/>
    <mergeCell ref="C73:C74"/>
    <mergeCell ref="D73:D74"/>
    <mergeCell ref="A75:A78"/>
    <mergeCell ref="B75:B78"/>
    <mergeCell ref="C75:C76"/>
    <mergeCell ref="D75:D76"/>
    <mergeCell ref="C77:C78"/>
    <mergeCell ref="D77:D78"/>
    <mergeCell ref="A71:A74"/>
    <mergeCell ref="B71:B74"/>
    <mergeCell ref="C71:C72"/>
    <mergeCell ref="D71:D72"/>
    <mergeCell ref="E71:E78"/>
    <mergeCell ref="J71:J78"/>
    <mergeCell ref="K63:K70"/>
    <mergeCell ref="C65:C66"/>
    <mergeCell ref="D65:D66"/>
    <mergeCell ref="A67:A70"/>
    <mergeCell ref="B67:B70"/>
    <mergeCell ref="C67:C68"/>
    <mergeCell ref="D67:D68"/>
    <mergeCell ref="C69:C70"/>
    <mergeCell ref="D69:D70"/>
    <mergeCell ref="A63:A66"/>
    <mergeCell ref="B63:B66"/>
    <mergeCell ref="C63:C64"/>
    <mergeCell ref="D63:D64"/>
    <mergeCell ref="E63:E70"/>
    <mergeCell ref="J63:J70"/>
    <mergeCell ref="J55:J62"/>
    <mergeCell ref="K55:K62"/>
    <mergeCell ref="C57:C58"/>
    <mergeCell ref="D57:D58"/>
    <mergeCell ref="A59:A62"/>
    <mergeCell ref="B59:B62"/>
    <mergeCell ref="C59:C60"/>
    <mergeCell ref="D59:D60"/>
    <mergeCell ref="C61:C62"/>
    <mergeCell ref="D61:D62"/>
    <mergeCell ref="A54:B54"/>
    <mergeCell ref="A55:A58"/>
    <mergeCell ref="B55:B58"/>
    <mergeCell ref="C55:C56"/>
    <mergeCell ref="D55:D56"/>
    <mergeCell ref="E55:E62"/>
    <mergeCell ref="J46:J53"/>
    <mergeCell ref="K46:K53"/>
    <mergeCell ref="F47:I47"/>
    <mergeCell ref="C48:C49"/>
    <mergeCell ref="D48:D49"/>
    <mergeCell ref="F48:I48"/>
    <mergeCell ref="C50:C51"/>
    <mergeCell ref="D50:D51"/>
    <mergeCell ref="C52:C53"/>
    <mergeCell ref="D52:D53"/>
    <mergeCell ref="A46:A49"/>
    <mergeCell ref="B46:B49"/>
    <mergeCell ref="C46:C47"/>
    <mergeCell ref="D46:D47"/>
    <mergeCell ref="E46:E53"/>
    <mergeCell ref="F46:I46"/>
    <mergeCell ref="A50:A53"/>
    <mergeCell ref="B50:B53"/>
    <mergeCell ref="K38:K45"/>
    <mergeCell ref="C40:C41"/>
    <mergeCell ref="D40:D41"/>
    <mergeCell ref="A42:A45"/>
    <mergeCell ref="B42:B45"/>
    <mergeCell ref="C42:C43"/>
    <mergeCell ref="D42:D43"/>
    <mergeCell ref="C44:C45"/>
    <mergeCell ref="D44:D45"/>
    <mergeCell ref="A38:A41"/>
    <mergeCell ref="B38:B41"/>
    <mergeCell ref="C38:C39"/>
    <mergeCell ref="D38:D39"/>
    <mergeCell ref="E38:E45"/>
    <mergeCell ref="J38:J45"/>
    <mergeCell ref="J28:J29"/>
    <mergeCell ref="K28:K29"/>
    <mergeCell ref="A30:A33"/>
    <mergeCell ref="B30:B33"/>
    <mergeCell ref="C30:C31"/>
    <mergeCell ref="D30:D31"/>
    <mergeCell ref="E30:E37"/>
    <mergeCell ref="J30:J37"/>
    <mergeCell ref="K30:K37"/>
    <mergeCell ref="C28:C29"/>
    <mergeCell ref="D28:D29"/>
    <mergeCell ref="E28:E29"/>
    <mergeCell ref="F28:F29"/>
    <mergeCell ref="G28:G29"/>
    <mergeCell ref="H28:H29"/>
    <mergeCell ref="C32:C33"/>
    <mergeCell ref="D32:D33"/>
    <mergeCell ref="A34:A37"/>
    <mergeCell ref="B34:B37"/>
    <mergeCell ref="C34:C35"/>
    <mergeCell ref="D34:D35"/>
    <mergeCell ref="C36:C37"/>
    <mergeCell ref="D36:D37"/>
    <mergeCell ref="I28:I29"/>
    <mergeCell ref="K24:K25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A23:B23"/>
    <mergeCell ref="C24:C25"/>
    <mergeCell ref="D24:D25"/>
    <mergeCell ref="E24:E25"/>
    <mergeCell ref="F24:F25"/>
    <mergeCell ref="G24:G25"/>
    <mergeCell ref="H24:H25"/>
    <mergeCell ref="I24:I25"/>
    <mergeCell ref="J24:J25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A14:B14"/>
    <mergeCell ref="C15:C16"/>
    <mergeCell ref="D15:D16"/>
    <mergeCell ref="E15:E16"/>
    <mergeCell ref="F15:F16"/>
    <mergeCell ref="G15:G16"/>
    <mergeCell ref="A2:K2"/>
    <mergeCell ref="A8:K8"/>
    <mergeCell ref="B9:K9"/>
    <mergeCell ref="B10:K10"/>
    <mergeCell ref="B11:K11"/>
    <mergeCell ref="B12:K12"/>
    <mergeCell ref="H15:H16"/>
    <mergeCell ref="I15:I16"/>
    <mergeCell ref="J15:J16"/>
    <mergeCell ref="K15:K16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theme="3" tint="-0.249977111117893"/>
  </sheetPr>
  <dimension ref="A1:G756"/>
  <sheetViews>
    <sheetView showGridLines="0" zoomScale="115" zoomScaleNormal="115" zoomScaleSheetLayoutView="100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5" style="1" customWidth="1"/>
    <col min="3" max="3" width="25.88671875" style="1" customWidth="1"/>
    <col min="4" max="4" width="5" style="1" customWidth="1"/>
    <col min="5" max="5" width="39.44140625" style="1" customWidth="1"/>
    <col min="6" max="6" width="0.44140625" style="1" customWidth="1"/>
    <col min="7" max="7" width="0" style="1" hidden="1" customWidth="1"/>
    <col min="8" max="16384" width="9.109375" style="1" hidden="1"/>
  </cols>
  <sheetData>
    <row r="1" spans="1:5" s="82" customFormat="1" ht="27" customHeight="1" x14ac:dyDescent="0.3"/>
    <row r="2" spans="1:5" ht="21" customHeight="1" x14ac:dyDescent="0.3">
      <c r="A2" s="235" t="s">
        <v>134</v>
      </c>
      <c r="B2" s="235"/>
      <c r="C2" s="235"/>
      <c r="D2" s="235"/>
      <c r="E2" s="235"/>
    </row>
    <row r="3" spans="1:5" ht="15" customHeight="1" x14ac:dyDescent="0.3"/>
    <row r="4" spans="1:5" ht="15" customHeight="1" x14ac:dyDescent="0.3">
      <c r="A4" s="238" t="s">
        <v>90</v>
      </c>
      <c r="B4" s="238"/>
      <c r="C4" s="1" t="s">
        <v>9</v>
      </c>
    </row>
    <row r="5" spans="1:5" ht="15" customHeight="1" x14ac:dyDescent="0.3">
      <c r="A5" s="238" t="s">
        <v>42</v>
      </c>
      <c r="B5" s="238"/>
      <c r="C5" s="1" t="e">
        <f>#REF!</f>
        <v>#REF!</v>
      </c>
    </row>
    <row r="6" spans="1:5" ht="15" customHeight="1" x14ac:dyDescent="0.3">
      <c r="A6" s="238" t="s">
        <v>89</v>
      </c>
      <c r="B6" s="238"/>
      <c r="C6" s="1" t="s">
        <v>130</v>
      </c>
    </row>
    <row r="7" spans="1:5" ht="15" customHeight="1" x14ac:dyDescent="0.3">
      <c r="A7" s="238" t="s">
        <v>135</v>
      </c>
      <c r="B7" s="238"/>
      <c r="C7" s="1" t="e">
        <f>#REF!</f>
        <v>#REF!</v>
      </c>
    </row>
    <row r="8" spans="1:5" ht="15" customHeight="1" x14ac:dyDescent="0.3"/>
    <row r="9" spans="1:5" ht="15" customHeight="1" x14ac:dyDescent="0.3">
      <c r="A9" s="18" t="s">
        <v>13</v>
      </c>
      <c r="B9" s="236" t="s">
        <v>88</v>
      </c>
      <c r="C9" s="236"/>
      <c r="D9" s="237" t="s">
        <v>14</v>
      </c>
      <c r="E9" s="237"/>
    </row>
    <row r="10" spans="1:5" ht="30" customHeight="1" x14ac:dyDescent="0.3">
      <c r="A10" s="226">
        <v>1</v>
      </c>
      <c r="B10" s="229"/>
      <c r="C10" s="230"/>
      <c r="D10" s="88"/>
      <c r="E10" s="85"/>
    </row>
    <row r="11" spans="1:5" s="72" customFormat="1" ht="30" customHeight="1" x14ac:dyDescent="0.3">
      <c r="A11" s="227"/>
      <c r="B11" s="231"/>
      <c r="C11" s="232"/>
      <c r="D11" s="89"/>
      <c r="E11" s="86"/>
    </row>
    <row r="12" spans="1:5" ht="30" customHeight="1" x14ac:dyDescent="0.3">
      <c r="A12" s="227"/>
      <c r="B12" s="231"/>
      <c r="C12" s="232"/>
      <c r="D12" s="89"/>
      <c r="E12" s="86"/>
    </row>
    <row r="13" spans="1:5" ht="30" customHeight="1" x14ac:dyDescent="0.3">
      <c r="A13" s="227"/>
      <c r="B13" s="231"/>
      <c r="C13" s="232"/>
      <c r="D13" s="89"/>
      <c r="E13" s="86"/>
    </row>
    <row r="14" spans="1:5" ht="30" customHeight="1" x14ac:dyDescent="0.3">
      <c r="A14" s="227"/>
      <c r="B14" s="231"/>
      <c r="C14" s="232"/>
      <c r="D14" s="89"/>
      <c r="E14" s="86"/>
    </row>
    <row r="15" spans="1:5" ht="30" customHeight="1" x14ac:dyDescent="0.3">
      <c r="A15" s="227"/>
      <c r="B15" s="231"/>
      <c r="C15" s="232"/>
      <c r="D15" s="89"/>
      <c r="E15" s="86"/>
    </row>
    <row r="16" spans="1:5" ht="30" customHeight="1" x14ac:dyDescent="0.3">
      <c r="A16" s="228"/>
      <c r="B16" s="233"/>
      <c r="C16" s="234"/>
      <c r="D16" s="90"/>
      <c r="E16" s="87"/>
    </row>
    <row r="17" spans="1:5" ht="30" customHeight="1" x14ac:dyDescent="0.3">
      <c r="A17" s="226">
        <v>2</v>
      </c>
      <c r="B17" s="229"/>
      <c r="C17" s="230"/>
      <c r="D17" s="88"/>
      <c r="E17" s="85"/>
    </row>
    <row r="18" spans="1:5" ht="30" customHeight="1" x14ac:dyDescent="0.3">
      <c r="A18" s="227"/>
      <c r="B18" s="231"/>
      <c r="C18" s="232"/>
      <c r="D18" s="89"/>
      <c r="E18" s="86"/>
    </row>
    <row r="19" spans="1:5" ht="30" customHeight="1" x14ac:dyDescent="0.3">
      <c r="A19" s="227"/>
      <c r="B19" s="231"/>
      <c r="C19" s="232"/>
      <c r="D19" s="89"/>
      <c r="E19" s="86"/>
    </row>
    <row r="20" spans="1:5" ht="30" customHeight="1" x14ac:dyDescent="0.3">
      <c r="A20" s="227"/>
      <c r="B20" s="231"/>
      <c r="C20" s="232"/>
      <c r="D20" s="89"/>
      <c r="E20" s="86"/>
    </row>
    <row r="21" spans="1:5" s="72" customFormat="1" ht="30" customHeight="1" x14ac:dyDescent="0.3">
      <c r="A21" s="227"/>
      <c r="B21" s="231"/>
      <c r="C21" s="232"/>
      <c r="D21" s="89"/>
      <c r="E21" s="86"/>
    </row>
    <row r="22" spans="1:5" ht="30" customHeight="1" x14ac:dyDescent="0.3">
      <c r="A22" s="227"/>
      <c r="B22" s="231"/>
      <c r="C22" s="232"/>
      <c r="D22" s="89"/>
      <c r="E22" s="86"/>
    </row>
    <row r="23" spans="1:5" ht="30" customHeight="1" x14ac:dyDescent="0.3">
      <c r="A23" s="228"/>
      <c r="B23" s="233"/>
      <c r="C23" s="234"/>
      <c r="D23" s="90"/>
      <c r="E23" s="87"/>
    </row>
    <row r="24" spans="1:5" ht="30" customHeight="1" x14ac:dyDescent="0.3">
      <c r="A24" s="226">
        <v>3</v>
      </c>
      <c r="B24" s="229"/>
      <c r="C24" s="230"/>
      <c r="D24" s="88"/>
      <c r="E24" s="85"/>
    </row>
    <row r="25" spans="1:5" s="72" customFormat="1" ht="30" customHeight="1" x14ac:dyDescent="0.3">
      <c r="A25" s="227"/>
      <c r="B25" s="231"/>
      <c r="C25" s="232"/>
      <c r="D25" s="89"/>
      <c r="E25" s="86"/>
    </row>
    <row r="26" spans="1:5" s="72" customFormat="1" ht="30" customHeight="1" x14ac:dyDescent="0.3">
      <c r="A26" s="227"/>
      <c r="B26" s="231"/>
      <c r="C26" s="232"/>
      <c r="D26" s="89"/>
      <c r="E26" s="86"/>
    </row>
    <row r="27" spans="1:5" s="72" customFormat="1" ht="30" customHeight="1" x14ac:dyDescent="0.3">
      <c r="A27" s="227"/>
      <c r="B27" s="231"/>
      <c r="C27" s="232"/>
      <c r="D27" s="89"/>
      <c r="E27" s="86"/>
    </row>
    <row r="28" spans="1:5" s="72" customFormat="1" ht="30" customHeight="1" x14ac:dyDescent="0.3">
      <c r="A28" s="227"/>
      <c r="B28" s="231"/>
      <c r="C28" s="232"/>
      <c r="D28" s="89"/>
      <c r="E28" s="86"/>
    </row>
    <row r="29" spans="1:5" ht="30" customHeight="1" x14ac:dyDescent="0.3">
      <c r="A29" s="227"/>
      <c r="B29" s="231"/>
      <c r="C29" s="232"/>
      <c r="D29" s="89"/>
      <c r="E29" s="86"/>
    </row>
    <row r="30" spans="1:5" ht="30" customHeight="1" x14ac:dyDescent="0.3">
      <c r="A30" s="228"/>
      <c r="B30" s="233"/>
      <c r="C30" s="234"/>
      <c r="D30" s="90"/>
      <c r="E30" s="87"/>
    </row>
    <row r="31" spans="1:5" ht="30" customHeight="1" x14ac:dyDescent="0.3">
      <c r="A31" s="226">
        <v>4</v>
      </c>
      <c r="B31" s="229"/>
      <c r="C31" s="230"/>
      <c r="D31" s="88"/>
      <c r="E31" s="85"/>
    </row>
    <row r="32" spans="1:5" ht="30" customHeight="1" x14ac:dyDescent="0.3">
      <c r="A32" s="227"/>
      <c r="B32" s="231"/>
      <c r="C32" s="232"/>
      <c r="D32" s="89"/>
      <c r="E32" s="86"/>
    </row>
    <row r="33" spans="1:5" ht="30" customHeight="1" x14ac:dyDescent="0.3">
      <c r="A33" s="227"/>
      <c r="B33" s="231"/>
      <c r="C33" s="232"/>
      <c r="D33" s="89"/>
      <c r="E33" s="86"/>
    </row>
    <row r="34" spans="1:5" ht="30" customHeight="1" x14ac:dyDescent="0.3">
      <c r="A34" s="227"/>
      <c r="B34" s="231"/>
      <c r="C34" s="232"/>
      <c r="D34" s="89"/>
      <c r="E34" s="86"/>
    </row>
    <row r="35" spans="1:5" s="72" customFormat="1" ht="30" customHeight="1" x14ac:dyDescent="0.3">
      <c r="A35" s="227"/>
      <c r="B35" s="231"/>
      <c r="C35" s="232"/>
      <c r="D35" s="89"/>
      <c r="E35" s="86"/>
    </row>
    <row r="36" spans="1:5" ht="30" customHeight="1" x14ac:dyDescent="0.3">
      <c r="A36" s="227"/>
      <c r="B36" s="231"/>
      <c r="C36" s="232"/>
      <c r="D36" s="89"/>
      <c r="E36" s="86"/>
    </row>
    <row r="37" spans="1:5" ht="30" customHeight="1" x14ac:dyDescent="0.3">
      <c r="A37" s="228"/>
      <c r="B37" s="233"/>
      <c r="C37" s="234"/>
      <c r="D37" s="90"/>
      <c r="E37" s="87"/>
    </row>
    <row r="38" spans="1:5" ht="15" customHeight="1" x14ac:dyDescent="0.3"/>
    <row r="39" spans="1:5" ht="15" customHeight="1" x14ac:dyDescent="0.3"/>
    <row r="40" spans="1:5" ht="15" customHeight="1" x14ac:dyDescent="0.3">
      <c r="B40" s="1" t="e">
        <f>#REF!</f>
        <v>#REF!</v>
      </c>
      <c r="D40" s="83" t="e">
        <f>"Bandung Barat,      Juli "&amp;MID(#REF!,1,4)</f>
        <v>#REF!</v>
      </c>
    </row>
    <row r="41" spans="1:5" ht="15" customHeight="1" x14ac:dyDescent="0.3">
      <c r="B41" s="1" t="e">
        <f>#REF!</f>
        <v>#REF!</v>
      </c>
      <c r="D41" s="83" t="e">
        <f>#REF!</f>
        <v>#REF!</v>
      </c>
    </row>
    <row r="42" spans="1:5" ht="15" customHeight="1" x14ac:dyDescent="0.3">
      <c r="D42" s="83"/>
    </row>
    <row r="43" spans="1:5" ht="15" customHeight="1" x14ac:dyDescent="0.3">
      <c r="D43" s="83"/>
    </row>
    <row r="44" spans="1:5" ht="15" customHeight="1" x14ac:dyDescent="0.3">
      <c r="D44" s="83"/>
    </row>
    <row r="45" spans="1:5" ht="15" customHeight="1" x14ac:dyDescent="0.3">
      <c r="B45" s="64" t="e">
        <f>#REF!</f>
        <v>#REF!</v>
      </c>
      <c r="C45" s="64"/>
      <c r="D45" s="84" t="e">
        <f>#REF!</f>
        <v>#REF!</v>
      </c>
    </row>
    <row r="46" spans="1:5" ht="15" customHeight="1" x14ac:dyDescent="0.3">
      <c r="B46" s="1" t="e">
        <f>#REF!</f>
        <v>#REF!</v>
      </c>
      <c r="D46" s="83" t="e">
        <f>#REF!</f>
        <v>#REF!</v>
      </c>
    </row>
    <row r="47" spans="1:5" ht="14.4" x14ac:dyDescent="0.3"/>
    <row r="48" spans="1:5" ht="21" hidden="1" customHeight="1" x14ac:dyDescent="0.3"/>
    <row r="49" ht="14.4" hidden="1" x14ac:dyDescent="0.3"/>
    <row r="50" ht="14.4" hidden="1" x14ac:dyDescent="0.3"/>
    <row r="51" ht="14.4" hidden="1" x14ac:dyDescent="0.3"/>
    <row r="52" ht="14.4" hidden="1" x14ac:dyDescent="0.3"/>
    <row r="53" ht="14.4" hidden="1" x14ac:dyDescent="0.3"/>
    <row r="54" ht="14.4" hidden="1" x14ac:dyDescent="0.3"/>
    <row r="55" ht="14.4" hidden="1" x14ac:dyDescent="0.3"/>
    <row r="56" ht="14.4" hidden="1" x14ac:dyDescent="0.3"/>
    <row r="57" ht="14.4" hidden="1" x14ac:dyDescent="0.3"/>
    <row r="58" ht="15" hidden="1" customHeight="1" x14ac:dyDescent="0.3"/>
    <row r="59" ht="14.4" hidden="1" x14ac:dyDescent="0.3"/>
    <row r="60" ht="14.4" hidden="1" x14ac:dyDescent="0.3"/>
    <row r="61" ht="14.4" hidden="1" x14ac:dyDescent="0.3"/>
    <row r="62" ht="14.4" hidden="1" x14ac:dyDescent="0.3"/>
    <row r="63" ht="14.4" hidden="1" x14ac:dyDescent="0.3"/>
    <row r="64" ht="14.4" hidden="1" x14ac:dyDescent="0.3"/>
    <row r="65" ht="14.4" hidden="1" x14ac:dyDescent="0.3"/>
    <row r="66" ht="14.4" hidden="1" x14ac:dyDescent="0.3"/>
    <row r="67" ht="14.4" hidden="1" x14ac:dyDescent="0.3"/>
    <row r="68" ht="14.4" hidden="1" x14ac:dyDescent="0.3"/>
    <row r="69" ht="14.4" hidden="1" x14ac:dyDescent="0.3"/>
    <row r="70" ht="14.4" hidden="1" x14ac:dyDescent="0.3"/>
    <row r="71" ht="14.4" hidden="1" x14ac:dyDescent="0.3"/>
    <row r="72" ht="14.4" hidden="1" x14ac:dyDescent="0.3"/>
    <row r="73" ht="14.4" hidden="1" x14ac:dyDescent="0.3"/>
    <row r="74" ht="14.4" hidden="1" x14ac:dyDescent="0.3"/>
    <row r="75" ht="14.4" hidden="1" x14ac:dyDescent="0.3"/>
    <row r="76" ht="14.4" hidden="1" x14ac:dyDescent="0.3"/>
    <row r="77" ht="14.4" hidden="1" x14ac:dyDescent="0.3"/>
    <row r="78" ht="14.4" hidden="1" x14ac:dyDescent="0.3"/>
    <row r="79" ht="14.4" hidden="1" x14ac:dyDescent="0.3"/>
    <row r="80" ht="14.4" hidden="1" x14ac:dyDescent="0.3"/>
    <row r="81" ht="14.4" hidden="1" x14ac:dyDescent="0.3"/>
    <row r="82" ht="14.4" hidden="1" x14ac:dyDescent="0.3"/>
    <row r="83" ht="14.4" hidden="1" x14ac:dyDescent="0.3"/>
    <row r="84" ht="14.4" hidden="1" x14ac:dyDescent="0.3"/>
    <row r="85" ht="14.4" hidden="1" x14ac:dyDescent="0.3"/>
    <row r="86" ht="14.4" hidden="1" x14ac:dyDescent="0.3"/>
    <row r="87" ht="14.4" hidden="1" x14ac:dyDescent="0.3"/>
    <row r="88" ht="14.4" hidden="1" x14ac:dyDescent="0.3"/>
    <row r="89" ht="14.4" hidden="1" x14ac:dyDescent="0.3"/>
    <row r="90" ht="14.4" hidden="1" x14ac:dyDescent="0.3"/>
    <row r="91" ht="14.4" hidden="1" x14ac:dyDescent="0.3"/>
    <row r="92" ht="14.4" hidden="1" x14ac:dyDescent="0.3"/>
    <row r="93" ht="14.4" hidden="1" x14ac:dyDescent="0.3"/>
    <row r="94" ht="14.4" hidden="1" x14ac:dyDescent="0.3"/>
    <row r="95" ht="14.4" hidden="1" x14ac:dyDescent="0.3"/>
    <row r="96" ht="14.4" hidden="1" x14ac:dyDescent="0.3"/>
    <row r="97" ht="14.4" hidden="1" x14ac:dyDescent="0.3"/>
    <row r="98" ht="14.4" hidden="1" x14ac:dyDescent="0.3"/>
    <row r="99" ht="14.4" hidden="1" x14ac:dyDescent="0.3"/>
    <row r="100" ht="14.4" hidden="1" x14ac:dyDescent="0.3"/>
    <row r="101" ht="14.4" hidden="1" x14ac:dyDescent="0.3"/>
    <row r="102" ht="21" hidden="1" customHeight="1" x14ac:dyDescent="0.3"/>
    <row r="103" ht="14.4" hidden="1" x14ac:dyDescent="0.3"/>
    <row r="104" ht="14.4" hidden="1" x14ac:dyDescent="0.3"/>
    <row r="105" ht="14.4" hidden="1" x14ac:dyDescent="0.3"/>
    <row r="106" ht="14.4" hidden="1" x14ac:dyDescent="0.3"/>
    <row r="107" ht="14.4" hidden="1" x14ac:dyDescent="0.3"/>
    <row r="108" ht="14.4" hidden="1" x14ac:dyDescent="0.3"/>
    <row r="109" ht="14.4" hidden="1" x14ac:dyDescent="0.3"/>
    <row r="110" ht="14.4" hidden="1" x14ac:dyDescent="0.3"/>
    <row r="111" ht="14.4" hidden="1" x14ac:dyDescent="0.3"/>
    <row r="112" ht="15" hidden="1" customHeight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14.4" hidden="1" x14ac:dyDescent="0.3"/>
    <row r="156" ht="21" hidden="1" customHeight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4.4" hidden="1" x14ac:dyDescent="0.3"/>
    <row r="166" ht="15" hidden="1" customHeight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14.4" hidden="1" x14ac:dyDescent="0.3"/>
    <row r="210" ht="21" hidden="1" customHeight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4.4" hidden="1" x14ac:dyDescent="0.3"/>
    <row r="220" ht="15" hidden="1" customHeight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14.4" hidden="1" x14ac:dyDescent="0.3"/>
    <row r="264" ht="21" hidden="1" customHeight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4.4" hidden="1" x14ac:dyDescent="0.3"/>
    <row r="274" ht="15" hidden="1" customHeight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14.4" hidden="1" x14ac:dyDescent="0.3"/>
    <row r="318" ht="21" hidden="1" customHeight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4.4" hidden="1" x14ac:dyDescent="0.3"/>
    <row r="328" ht="15" hidden="1" customHeight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14.4" hidden="1" x14ac:dyDescent="0.3"/>
    <row r="372" ht="21" hidden="1" customHeight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4.4" hidden="1" x14ac:dyDescent="0.3"/>
    <row r="382" ht="15" hidden="1" customHeight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14.4" hidden="1" x14ac:dyDescent="0.3"/>
    <row r="426" ht="21" hidden="1" customHeight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4.4" hidden="1" x14ac:dyDescent="0.3"/>
    <row r="436" ht="15" hidden="1" customHeight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14.4" hidden="1" x14ac:dyDescent="0.3"/>
    <row r="480" ht="21" hidden="1" customHeight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4.4" hidden="1" x14ac:dyDescent="0.3"/>
    <row r="490" ht="15" hidden="1" customHeight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14.4" hidden="1" x14ac:dyDescent="0.3"/>
    <row r="534" ht="21" hidden="1" customHeight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4.4" hidden="1" x14ac:dyDescent="0.3"/>
    <row r="544" ht="15" hidden="1" customHeight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14.4" hidden="1" x14ac:dyDescent="0.3"/>
    <row r="588" ht="21" hidden="1" customHeight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4.4" hidden="1" x14ac:dyDescent="0.3"/>
    <row r="598" ht="15" hidden="1" customHeight="1" x14ac:dyDescent="0.3"/>
    <row r="599" ht="15" hidden="1" customHeight="1" x14ac:dyDescent="0.3"/>
    <row r="600" ht="14.4" hidden="1" x14ac:dyDescent="0.3"/>
    <row r="601" ht="15" hidden="1" customHeight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14.4" hidden="1" x14ac:dyDescent="0.3"/>
    <row r="642" ht="21" hidden="1" customHeight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4.4" hidden="1" x14ac:dyDescent="0.3"/>
    <row r="652" ht="15" hidden="1" customHeight="1" x14ac:dyDescent="0.3"/>
    <row r="653" ht="14.4" hidden="1" x14ac:dyDescent="0.3"/>
    <row r="654" ht="14.4" hidden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14.4" hidden="1" x14ac:dyDescent="0.3"/>
    <row r="696" ht="21" hidden="1" customHeight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4.4" hidden="1" x14ac:dyDescent="0.3"/>
    <row r="706" ht="15" hidden="1" customHeight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15" hidden="1" customHeight="1" x14ac:dyDescent="0.3"/>
    <row r="750" ht="15" hidden="1" customHeight="1" x14ac:dyDescent="0.3"/>
    <row r="751" ht="15" hidden="1" customHeight="1" x14ac:dyDescent="0.3"/>
    <row r="752" ht="15" hidden="1" customHeight="1" x14ac:dyDescent="0.3"/>
    <row r="753" ht="15" hidden="1" customHeight="1" x14ac:dyDescent="0.3"/>
    <row r="754" ht="15" hidden="1" customHeight="1" x14ac:dyDescent="0.3"/>
    <row r="755" ht="15" hidden="1" customHeight="1" x14ac:dyDescent="0.3"/>
    <row r="756" ht="15" hidden="1" customHeight="1" x14ac:dyDescent="0.3"/>
  </sheetData>
  <sheetProtection sheet="1" objects="1" scenarios="1"/>
  <mergeCells count="15">
    <mergeCell ref="A2:E2"/>
    <mergeCell ref="B9:C9"/>
    <mergeCell ref="D9:E9"/>
    <mergeCell ref="A4:B4"/>
    <mergeCell ref="A5:B5"/>
    <mergeCell ref="A6:B6"/>
    <mergeCell ref="A7:B7"/>
    <mergeCell ref="A10:A16"/>
    <mergeCell ref="A17:A23"/>
    <mergeCell ref="A24:A30"/>
    <mergeCell ref="A31:A37"/>
    <mergeCell ref="B10:C16"/>
    <mergeCell ref="B17:C23"/>
    <mergeCell ref="B24:C30"/>
    <mergeCell ref="B31:C37"/>
  </mergeCells>
  <printOptions horizontalCentered="1"/>
  <pageMargins left="0.55118110236220474" right="0.19685039370078741" top="0.31496062992125984" bottom="0.31496062992125984" header="0.55118110236220474" footer="0.31496062992125984"/>
  <pageSetup paperSize="9" scale="92" orientation="portrait" horizontalDpi="4294967293" verticalDpi="0" r:id="rId1"/>
  <colBreaks count="1" manualBreakCount="1">
    <brk id="6" max="5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tabColor theme="3" tint="-0.249977111117893"/>
  </sheetPr>
  <dimension ref="A1:AA694"/>
  <sheetViews>
    <sheetView showGridLines="0" zoomScale="80" zoomScaleNormal="80" zoomScaleSheetLayoutView="85" workbookViewId="0">
      <pane ySplit="1" topLeftCell="A11" activePane="bottomLeft" state="frozen"/>
      <selection sqref="A1:XFD1"/>
      <selection pane="bottomLeft" sqref="A1:XFD1"/>
    </sheetView>
  </sheetViews>
  <sheetFormatPr defaultColWidth="0" defaultRowHeight="14.4" zeroHeight="1" x14ac:dyDescent="0.3"/>
  <cols>
    <col min="1" max="1" width="4.88671875" style="33" customWidth="1"/>
    <col min="2" max="2" width="25.6640625" style="33" customWidth="1"/>
    <col min="3" max="4" width="43.6640625" style="33" customWidth="1"/>
    <col min="5" max="5" width="15.5546875" style="33" customWidth="1"/>
    <col min="6" max="6" width="70.6640625" style="33" customWidth="1"/>
    <col min="7" max="9" width="60.44140625" style="33" hidden="1" customWidth="1"/>
    <col min="10" max="11" width="12.6640625" style="33" customWidth="1"/>
    <col min="12" max="12" width="0.33203125" style="33" customWidth="1"/>
    <col min="13" max="16384" width="9.109375" style="33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1" x14ac:dyDescent="0.3">
      <c r="A2" s="188" t="s">
        <v>91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7" x14ac:dyDescent="0.3"/>
    <row r="4" spans="1:27" s="1" customFormat="1" x14ac:dyDescent="0.3">
      <c r="B4" s="75" t="s">
        <v>90</v>
      </c>
      <c r="C4" s="1" t="s">
        <v>92</v>
      </c>
    </row>
    <row r="5" spans="1:27" s="1" customFormat="1" x14ac:dyDescent="0.3">
      <c r="B5" s="75" t="s">
        <v>42</v>
      </c>
      <c r="C5" s="1" t="e">
        <f>PROPER(#REF!)</f>
        <v>#REF!</v>
      </c>
    </row>
    <row r="6" spans="1:27" s="1" customFormat="1" x14ac:dyDescent="0.3">
      <c r="B6" s="75" t="s">
        <v>89</v>
      </c>
      <c r="C6" s="1" t="e">
        <f>#REF!&amp;" / 1 (Ganjil)"</f>
        <v>#REF!</v>
      </c>
    </row>
    <row r="7" spans="1:27" x14ac:dyDescent="0.3"/>
    <row r="8" spans="1:27" s="1" customFormat="1" x14ac:dyDescent="0.3">
      <c r="A8" s="189" t="s">
        <v>88</v>
      </c>
      <c r="B8" s="190"/>
      <c r="C8" s="190"/>
      <c r="D8" s="190"/>
      <c r="E8" s="190"/>
      <c r="F8" s="190"/>
      <c r="G8" s="190"/>
      <c r="H8" s="190"/>
      <c r="I8" s="190"/>
      <c r="J8" s="190"/>
      <c r="K8" s="191"/>
    </row>
    <row r="9" spans="1:27" s="1" customFormat="1" ht="30" customHeight="1" x14ac:dyDescent="0.3">
      <c r="A9" s="71">
        <v>1</v>
      </c>
      <c r="B9" s="192"/>
      <c r="C9" s="193"/>
      <c r="D9" s="193"/>
      <c r="E9" s="193"/>
      <c r="F9" s="193"/>
      <c r="G9" s="193"/>
      <c r="H9" s="193"/>
      <c r="I9" s="193"/>
      <c r="J9" s="193"/>
      <c r="K9" s="194"/>
    </row>
    <row r="10" spans="1:27" s="72" customFormat="1" ht="45" customHeight="1" x14ac:dyDescent="0.3">
      <c r="A10" s="73">
        <v>2</v>
      </c>
      <c r="B10" s="195"/>
      <c r="C10" s="196"/>
      <c r="D10" s="196"/>
      <c r="E10" s="196"/>
      <c r="F10" s="196"/>
      <c r="G10" s="196"/>
      <c r="H10" s="196"/>
      <c r="I10" s="196"/>
      <c r="J10" s="196"/>
      <c r="K10" s="197"/>
    </row>
    <row r="11" spans="1:27" s="1" customFormat="1" ht="45" customHeight="1" x14ac:dyDescent="0.3">
      <c r="A11" s="71">
        <v>3</v>
      </c>
      <c r="B11" s="195"/>
      <c r="C11" s="196"/>
      <c r="D11" s="196"/>
      <c r="E11" s="196"/>
      <c r="F11" s="196"/>
      <c r="G11" s="196"/>
      <c r="H11" s="196"/>
      <c r="I11" s="196"/>
      <c r="J11" s="196"/>
      <c r="K11" s="197"/>
    </row>
    <row r="12" spans="1:27" s="1" customFormat="1" ht="45" customHeight="1" x14ac:dyDescent="0.3">
      <c r="A12" s="71">
        <v>4</v>
      </c>
      <c r="B12" s="195"/>
      <c r="C12" s="196"/>
      <c r="D12" s="196"/>
      <c r="E12" s="196"/>
      <c r="F12" s="196"/>
      <c r="G12" s="196"/>
      <c r="H12" s="196"/>
      <c r="I12" s="196"/>
      <c r="J12" s="196"/>
      <c r="K12" s="197"/>
    </row>
    <row r="13" spans="1:27" x14ac:dyDescent="0.3"/>
    <row r="14" spans="1:27" s="1" customFormat="1" ht="30" customHeight="1" x14ac:dyDescent="0.3">
      <c r="A14" s="184" t="s">
        <v>14</v>
      </c>
      <c r="B14" s="185"/>
      <c r="C14" s="8" t="s">
        <v>87</v>
      </c>
      <c r="D14" s="8" t="s">
        <v>86</v>
      </c>
      <c r="E14" s="8" t="s">
        <v>85</v>
      </c>
      <c r="F14" s="8" t="s">
        <v>84</v>
      </c>
      <c r="G14" s="8"/>
      <c r="H14" s="8"/>
      <c r="I14" s="8"/>
      <c r="J14" s="8" t="s">
        <v>3</v>
      </c>
      <c r="K14" s="8" t="s">
        <v>83</v>
      </c>
    </row>
    <row r="15" spans="1:27" ht="45" customHeight="1" x14ac:dyDescent="0.3">
      <c r="A15" s="70"/>
      <c r="B15" s="69"/>
      <c r="C15" s="186" t="str">
        <f t="shared" ref="C15:K15" si="0">IF($B15="","","-")</f>
        <v/>
      </c>
      <c r="D15" s="186" t="str">
        <f t="shared" si="0"/>
        <v/>
      </c>
      <c r="E15" s="186" t="str">
        <f t="shared" si="0"/>
        <v/>
      </c>
      <c r="F15" s="186" t="str">
        <f t="shared" si="0"/>
        <v/>
      </c>
      <c r="G15" s="186" t="str">
        <f t="shared" si="0"/>
        <v/>
      </c>
      <c r="H15" s="186" t="str">
        <f t="shared" si="0"/>
        <v/>
      </c>
      <c r="I15" s="186" t="str">
        <f t="shared" si="0"/>
        <v/>
      </c>
      <c r="J15" s="186" t="str">
        <f t="shared" si="0"/>
        <v/>
      </c>
      <c r="K15" s="186" t="str">
        <f t="shared" si="0"/>
        <v/>
      </c>
    </row>
    <row r="16" spans="1:27" ht="60" customHeight="1" x14ac:dyDescent="0.3">
      <c r="A16" s="68"/>
      <c r="B16" s="67"/>
      <c r="C16" s="187"/>
      <c r="D16" s="187"/>
      <c r="E16" s="187"/>
      <c r="F16" s="187"/>
      <c r="G16" s="187"/>
      <c r="H16" s="187"/>
      <c r="I16" s="187"/>
      <c r="J16" s="187"/>
      <c r="K16" s="187"/>
    </row>
    <row r="17" spans="1:11" ht="45" customHeight="1" x14ac:dyDescent="0.3">
      <c r="A17" s="70"/>
      <c r="B17" s="69"/>
      <c r="C17" s="186" t="str">
        <f t="shared" ref="C17:K17" si="1">IF($B17="","","-")</f>
        <v/>
      </c>
      <c r="D17" s="186" t="str">
        <f t="shared" si="1"/>
        <v/>
      </c>
      <c r="E17" s="186" t="str">
        <f t="shared" si="1"/>
        <v/>
      </c>
      <c r="F17" s="186" t="str">
        <f t="shared" si="1"/>
        <v/>
      </c>
      <c r="G17" s="186" t="str">
        <f t="shared" si="1"/>
        <v/>
      </c>
      <c r="H17" s="186" t="str">
        <f t="shared" si="1"/>
        <v/>
      </c>
      <c r="I17" s="186" t="str">
        <f t="shared" si="1"/>
        <v/>
      </c>
      <c r="J17" s="186" t="str">
        <f t="shared" si="1"/>
        <v/>
      </c>
      <c r="K17" s="186" t="str">
        <f t="shared" si="1"/>
        <v/>
      </c>
    </row>
    <row r="18" spans="1:11" ht="60" customHeight="1" x14ac:dyDescent="0.3">
      <c r="A18" s="68"/>
      <c r="B18" s="67"/>
      <c r="C18" s="187"/>
      <c r="D18" s="187"/>
      <c r="E18" s="187"/>
      <c r="F18" s="187"/>
      <c r="G18" s="187"/>
      <c r="H18" s="187"/>
      <c r="I18" s="187"/>
      <c r="J18" s="187"/>
      <c r="K18" s="187"/>
    </row>
    <row r="19" spans="1:11" ht="45" customHeight="1" x14ac:dyDescent="0.3">
      <c r="A19" s="70"/>
      <c r="B19" s="69"/>
      <c r="C19" s="186" t="str">
        <f t="shared" ref="C19:K19" si="2">IF($B19="","","-")</f>
        <v/>
      </c>
      <c r="D19" s="186" t="str">
        <f t="shared" si="2"/>
        <v/>
      </c>
      <c r="E19" s="186" t="str">
        <f t="shared" si="2"/>
        <v/>
      </c>
      <c r="F19" s="186" t="str">
        <f t="shared" si="2"/>
        <v/>
      </c>
      <c r="G19" s="186" t="str">
        <f t="shared" si="2"/>
        <v/>
      </c>
      <c r="H19" s="186" t="str">
        <f t="shared" si="2"/>
        <v/>
      </c>
      <c r="I19" s="186" t="str">
        <f t="shared" si="2"/>
        <v/>
      </c>
      <c r="J19" s="186" t="str">
        <f t="shared" si="2"/>
        <v/>
      </c>
      <c r="K19" s="186" t="str">
        <f t="shared" si="2"/>
        <v/>
      </c>
    </row>
    <row r="20" spans="1:11" ht="60" customHeight="1" x14ac:dyDescent="0.3">
      <c r="A20" s="68"/>
      <c r="B20" s="67"/>
      <c r="C20" s="187"/>
      <c r="D20" s="187"/>
      <c r="E20" s="187"/>
      <c r="F20" s="187"/>
      <c r="G20" s="187"/>
      <c r="H20" s="187"/>
      <c r="I20" s="187"/>
      <c r="J20" s="187"/>
      <c r="K20" s="187"/>
    </row>
    <row r="21" spans="1:11" ht="45" customHeight="1" x14ac:dyDescent="0.3">
      <c r="A21" s="70"/>
      <c r="B21" s="69"/>
      <c r="C21" s="186" t="str">
        <f t="shared" ref="C21:K21" si="3">IF($B21="","","-")</f>
        <v/>
      </c>
      <c r="D21" s="186" t="str">
        <f t="shared" si="3"/>
        <v/>
      </c>
      <c r="E21" s="186" t="str">
        <f t="shared" si="3"/>
        <v/>
      </c>
      <c r="F21" s="186" t="str">
        <f t="shared" si="3"/>
        <v/>
      </c>
      <c r="G21" s="186" t="str">
        <f t="shared" si="3"/>
        <v/>
      </c>
      <c r="H21" s="186" t="str">
        <f t="shared" si="3"/>
        <v/>
      </c>
      <c r="I21" s="186" t="str">
        <f t="shared" si="3"/>
        <v/>
      </c>
      <c r="J21" s="186" t="str">
        <f t="shared" si="3"/>
        <v/>
      </c>
      <c r="K21" s="186" t="str">
        <f t="shared" si="3"/>
        <v/>
      </c>
    </row>
    <row r="22" spans="1:11" ht="60" customHeight="1" x14ac:dyDescent="0.3">
      <c r="A22" s="68"/>
      <c r="B22" s="67"/>
      <c r="C22" s="187"/>
      <c r="D22" s="187"/>
      <c r="E22" s="187"/>
      <c r="F22" s="187"/>
      <c r="G22" s="187"/>
      <c r="H22" s="187"/>
      <c r="I22" s="187"/>
      <c r="J22" s="187"/>
      <c r="K22" s="187"/>
    </row>
    <row r="23" spans="1:11" s="1" customFormat="1" ht="30" customHeight="1" x14ac:dyDescent="0.3">
      <c r="A23" s="184" t="s">
        <v>14</v>
      </c>
      <c r="B23" s="185"/>
      <c r="C23" s="8" t="s">
        <v>87</v>
      </c>
      <c r="D23" s="8" t="s">
        <v>86</v>
      </c>
      <c r="E23" s="8" t="s">
        <v>85</v>
      </c>
      <c r="F23" s="8" t="s">
        <v>84</v>
      </c>
      <c r="G23" s="8"/>
      <c r="H23" s="8"/>
      <c r="I23" s="8"/>
      <c r="J23" s="8" t="s">
        <v>3</v>
      </c>
      <c r="K23" s="8" t="s">
        <v>83</v>
      </c>
    </row>
    <row r="24" spans="1:11" ht="45" customHeight="1" x14ac:dyDescent="0.3">
      <c r="A24" s="70"/>
      <c r="B24" s="69"/>
      <c r="C24" s="186" t="str">
        <f t="shared" ref="C24:I24" si="4">IF($B24="","","-")</f>
        <v/>
      </c>
      <c r="D24" s="186" t="str">
        <f t="shared" si="4"/>
        <v/>
      </c>
      <c r="E24" s="186" t="str">
        <f t="shared" si="4"/>
        <v/>
      </c>
      <c r="F24" s="186" t="str">
        <f t="shared" si="4"/>
        <v/>
      </c>
      <c r="G24" s="186" t="str">
        <f t="shared" si="4"/>
        <v/>
      </c>
      <c r="H24" s="186" t="str">
        <f t="shared" si="4"/>
        <v/>
      </c>
      <c r="I24" s="186" t="str">
        <f t="shared" si="4"/>
        <v/>
      </c>
      <c r="J24" s="186"/>
      <c r="K24" s="186" t="str">
        <f>IF($B24="","","-")</f>
        <v/>
      </c>
    </row>
    <row r="25" spans="1:11" ht="60" customHeight="1" x14ac:dyDescent="0.3">
      <c r="A25" s="68"/>
      <c r="B25" s="67"/>
      <c r="C25" s="187"/>
      <c r="D25" s="187"/>
      <c r="E25" s="187"/>
      <c r="F25" s="187"/>
      <c r="G25" s="187"/>
      <c r="H25" s="187"/>
      <c r="I25" s="187"/>
      <c r="J25" s="187"/>
      <c r="K25" s="187"/>
    </row>
    <row r="26" spans="1:11" ht="45" customHeight="1" x14ac:dyDescent="0.3">
      <c r="A26" s="70"/>
      <c r="B26" s="69"/>
      <c r="C26" s="186" t="str">
        <f t="shared" ref="C26:I26" si="5">IF($B26="","","-")</f>
        <v/>
      </c>
      <c r="D26" s="186" t="str">
        <f t="shared" si="5"/>
        <v/>
      </c>
      <c r="E26" s="186" t="str">
        <f t="shared" si="5"/>
        <v/>
      </c>
      <c r="F26" s="186" t="str">
        <f t="shared" si="5"/>
        <v/>
      </c>
      <c r="G26" s="186" t="str">
        <f t="shared" si="5"/>
        <v/>
      </c>
      <c r="H26" s="186" t="str">
        <f t="shared" si="5"/>
        <v/>
      </c>
      <c r="I26" s="186" t="str">
        <f t="shared" si="5"/>
        <v/>
      </c>
      <c r="J26" s="186"/>
      <c r="K26" s="186" t="str">
        <f>IF($B26="","","-")</f>
        <v/>
      </c>
    </row>
    <row r="27" spans="1:11" ht="60" customHeight="1" x14ac:dyDescent="0.3">
      <c r="A27" s="68"/>
      <c r="B27" s="67"/>
      <c r="C27" s="187"/>
      <c r="D27" s="187"/>
      <c r="E27" s="187"/>
      <c r="F27" s="187"/>
      <c r="G27" s="187"/>
      <c r="H27" s="187"/>
      <c r="I27" s="187"/>
      <c r="J27" s="187"/>
      <c r="K27" s="187"/>
    </row>
    <row r="28" spans="1:11" ht="45" customHeight="1" x14ac:dyDescent="0.3">
      <c r="A28" s="70"/>
      <c r="B28" s="69"/>
      <c r="C28" s="186" t="str">
        <f t="shared" ref="C28:I28" si="6">IF($B28="","","-")</f>
        <v/>
      </c>
      <c r="D28" s="186" t="str">
        <f t="shared" si="6"/>
        <v/>
      </c>
      <c r="E28" s="186" t="str">
        <f t="shared" si="6"/>
        <v/>
      </c>
      <c r="F28" s="186" t="str">
        <f t="shared" si="6"/>
        <v/>
      </c>
      <c r="G28" s="186" t="str">
        <f t="shared" si="6"/>
        <v/>
      </c>
      <c r="H28" s="186" t="str">
        <f t="shared" si="6"/>
        <v/>
      </c>
      <c r="I28" s="186" t="str">
        <f t="shared" si="6"/>
        <v/>
      </c>
      <c r="J28" s="186"/>
      <c r="K28" s="186" t="str">
        <f>IF($B28="","","-")</f>
        <v/>
      </c>
    </row>
    <row r="29" spans="1:11" ht="60" customHeight="1" x14ac:dyDescent="0.3">
      <c r="A29" s="68"/>
      <c r="B29" s="67"/>
      <c r="C29" s="187"/>
      <c r="D29" s="187"/>
      <c r="E29" s="187"/>
      <c r="F29" s="187"/>
      <c r="G29" s="187"/>
      <c r="H29" s="187"/>
      <c r="I29" s="187"/>
      <c r="J29" s="187"/>
      <c r="K29" s="187"/>
    </row>
    <row r="30" spans="1:11" s="1" customFormat="1" ht="15" customHeight="1" x14ac:dyDescent="0.3">
      <c r="A30" s="198"/>
      <c r="B30" s="200"/>
      <c r="C30" s="202"/>
      <c r="D30" s="202"/>
      <c r="E30" s="204"/>
      <c r="F30" s="66"/>
      <c r="G30" s="66"/>
      <c r="H30" s="66"/>
      <c r="I30" s="74"/>
      <c r="J30" s="206"/>
      <c r="K30" s="209" t="str">
        <f>IF(B30="","","Buku Paket Siswa Mata Pelajaran "&amp;PROPER(MID($C$5,3,50))&amp;" Kelas "&amp;UPPER(MID($C$6,3,6)))</f>
        <v/>
      </c>
    </row>
    <row r="31" spans="1:11" s="1" customFormat="1" ht="15" customHeight="1" x14ac:dyDescent="0.3">
      <c r="A31" s="199"/>
      <c r="B31" s="201"/>
      <c r="C31" s="203"/>
      <c r="D31" s="203"/>
      <c r="E31" s="205"/>
      <c r="F31" s="66"/>
      <c r="G31" s="66"/>
      <c r="H31" s="66"/>
      <c r="I31" s="74"/>
      <c r="J31" s="207"/>
      <c r="K31" s="210"/>
    </row>
    <row r="32" spans="1:11" s="1" customFormat="1" ht="15" customHeight="1" x14ac:dyDescent="0.3">
      <c r="A32" s="199"/>
      <c r="B32" s="201"/>
      <c r="C32" s="202"/>
      <c r="D32" s="202"/>
      <c r="E32" s="205"/>
      <c r="F32" s="66"/>
      <c r="G32" s="66"/>
      <c r="H32" s="66"/>
      <c r="I32" s="74"/>
      <c r="J32" s="207"/>
      <c r="K32" s="210"/>
    </row>
    <row r="33" spans="1:11" s="1" customFormat="1" ht="15" customHeight="1" x14ac:dyDescent="0.3">
      <c r="A33" s="199"/>
      <c r="B33" s="201"/>
      <c r="C33" s="203"/>
      <c r="D33" s="203"/>
      <c r="E33" s="205"/>
      <c r="F33" s="66"/>
      <c r="G33" s="66"/>
      <c r="H33" s="66"/>
      <c r="I33" s="74"/>
      <c r="J33" s="207"/>
      <c r="K33" s="210"/>
    </row>
    <row r="34" spans="1:11" s="1" customFormat="1" ht="15" customHeight="1" x14ac:dyDescent="0.3">
      <c r="A34" s="199"/>
      <c r="B34" s="201"/>
      <c r="C34" s="202"/>
      <c r="D34" s="202"/>
      <c r="E34" s="205"/>
      <c r="F34" s="66"/>
      <c r="G34" s="66"/>
      <c r="H34" s="66"/>
      <c r="I34" s="66"/>
      <c r="J34" s="207"/>
      <c r="K34" s="210"/>
    </row>
    <row r="35" spans="1:11" s="1" customFormat="1" ht="15" customHeight="1" x14ac:dyDescent="0.3">
      <c r="A35" s="199"/>
      <c r="B35" s="201"/>
      <c r="C35" s="203"/>
      <c r="D35" s="203"/>
      <c r="E35" s="205"/>
      <c r="F35" s="66"/>
      <c r="G35" s="66"/>
      <c r="H35" s="66"/>
      <c r="I35" s="66"/>
      <c r="J35" s="207"/>
      <c r="K35" s="210"/>
    </row>
    <row r="36" spans="1:11" s="1" customFormat="1" ht="15" customHeight="1" x14ac:dyDescent="0.3">
      <c r="A36" s="199"/>
      <c r="B36" s="201"/>
      <c r="C36" s="202"/>
      <c r="D36" s="202"/>
      <c r="E36" s="205"/>
      <c r="F36" s="66"/>
      <c r="G36" s="66"/>
      <c r="H36" s="66"/>
      <c r="I36" s="66"/>
      <c r="J36" s="207"/>
      <c r="K36" s="210"/>
    </row>
    <row r="37" spans="1:11" s="1" customFormat="1" ht="15" customHeight="1" x14ac:dyDescent="0.3">
      <c r="A37" s="212"/>
      <c r="B37" s="213"/>
      <c r="C37" s="203"/>
      <c r="D37" s="203"/>
      <c r="E37" s="205"/>
      <c r="F37" s="66"/>
      <c r="G37" s="66"/>
      <c r="H37" s="66"/>
      <c r="I37" s="66"/>
      <c r="J37" s="208"/>
      <c r="K37" s="211"/>
    </row>
    <row r="38" spans="1:11" s="1" customFormat="1" ht="15" customHeight="1" x14ac:dyDescent="0.3">
      <c r="A38" s="198"/>
      <c r="B38" s="200"/>
      <c r="C38" s="202"/>
      <c r="D38" s="202"/>
      <c r="E38" s="204"/>
      <c r="F38" s="66"/>
      <c r="G38" s="66"/>
      <c r="H38" s="66"/>
      <c r="I38" s="66"/>
      <c r="J38" s="214"/>
      <c r="K38" s="209" t="str">
        <f>IF(B38="","","Buku Paket Siswa Mata Pelajaran "&amp;PROPER(MID($C$5,3,50))&amp;" Kelas "&amp;UPPER(MID($C$6,3,6)))</f>
        <v/>
      </c>
    </row>
    <row r="39" spans="1:11" s="1" customFormat="1" ht="15" customHeight="1" x14ac:dyDescent="0.3">
      <c r="A39" s="199"/>
      <c r="B39" s="201"/>
      <c r="C39" s="203"/>
      <c r="D39" s="203"/>
      <c r="E39" s="205"/>
      <c r="F39" s="66"/>
      <c r="G39" s="66"/>
      <c r="H39" s="66"/>
      <c r="I39" s="66"/>
      <c r="J39" s="215"/>
      <c r="K39" s="210"/>
    </row>
    <row r="40" spans="1:11" s="1" customFormat="1" ht="15" customHeight="1" x14ac:dyDescent="0.3">
      <c r="A40" s="199"/>
      <c r="B40" s="201"/>
      <c r="C40" s="202"/>
      <c r="D40" s="202"/>
      <c r="E40" s="205"/>
      <c r="F40" s="66"/>
      <c r="G40" s="66"/>
      <c r="H40" s="66"/>
      <c r="I40" s="66"/>
      <c r="J40" s="215"/>
      <c r="K40" s="210"/>
    </row>
    <row r="41" spans="1:11" s="1" customFormat="1" ht="15" customHeight="1" x14ac:dyDescent="0.3">
      <c r="A41" s="199"/>
      <c r="B41" s="201"/>
      <c r="C41" s="203"/>
      <c r="D41" s="203"/>
      <c r="E41" s="205"/>
      <c r="F41" s="66"/>
      <c r="G41" s="66"/>
      <c r="H41" s="66"/>
      <c r="I41" s="66"/>
      <c r="J41" s="215"/>
      <c r="K41" s="210"/>
    </row>
    <row r="42" spans="1:11" s="1" customFormat="1" ht="15" customHeight="1" x14ac:dyDescent="0.3">
      <c r="A42" s="199"/>
      <c r="B42" s="201"/>
      <c r="C42" s="202"/>
      <c r="D42" s="202"/>
      <c r="E42" s="205"/>
      <c r="F42" s="66"/>
      <c r="G42" s="66"/>
      <c r="H42" s="66"/>
      <c r="I42" s="66"/>
      <c r="J42" s="215"/>
      <c r="K42" s="210"/>
    </row>
    <row r="43" spans="1:11" s="1" customFormat="1" ht="15" customHeight="1" x14ac:dyDescent="0.3">
      <c r="A43" s="199"/>
      <c r="B43" s="201"/>
      <c r="C43" s="203"/>
      <c r="D43" s="203"/>
      <c r="E43" s="205"/>
      <c r="F43" s="66"/>
      <c r="G43" s="66"/>
      <c r="H43" s="66"/>
      <c r="I43" s="66"/>
      <c r="J43" s="215"/>
      <c r="K43" s="210"/>
    </row>
    <row r="44" spans="1:11" s="1" customFormat="1" ht="15" customHeight="1" x14ac:dyDescent="0.3">
      <c r="A44" s="199"/>
      <c r="B44" s="201"/>
      <c r="C44" s="202"/>
      <c r="D44" s="202"/>
      <c r="E44" s="205"/>
      <c r="F44" s="66"/>
      <c r="G44" s="66"/>
      <c r="H44" s="66"/>
      <c r="I44" s="66"/>
      <c r="J44" s="215"/>
      <c r="K44" s="210"/>
    </row>
    <row r="45" spans="1:11" s="1" customFormat="1" ht="15" customHeight="1" x14ac:dyDescent="0.3">
      <c r="A45" s="212"/>
      <c r="B45" s="213"/>
      <c r="C45" s="203"/>
      <c r="D45" s="203"/>
      <c r="E45" s="205"/>
      <c r="F45" s="66"/>
      <c r="G45" s="66"/>
      <c r="H45" s="66"/>
      <c r="I45" s="66"/>
      <c r="J45" s="216"/>
      <c r="K45" s="211"/>
    </row>
    <row r="46" spans="1:11" s="1" customFormat="1" ht="15" customHeight="1" x14ac:dyDescent="0.3">
      <c r="A46" s="198"/>
      <c r="B46" s="200"/>
      <c r="C46" s="202"/>
      <c r="D46" s="202"/>
      <c r="E46" s="204"/>
      <c r="F46" s="220"/>
      <c r="G46" s="221"/>
      <c r="H46" s="221"/>
      <c r="I46" s="222"/>
      <c r="J46" s="214"/>
      <c r="K46" s="209" t="str">
        <f>IF(B46="","","Buku Paket Siswa Mata Pelajaran "&amp;PROPER(MID($C$5,3,50))&amp;" Kelas "&amp;UPPER(MID($C$6,3,6)))</f>
        <v/>
      </c>
    </row>
    <row r="47" spans="1:11" s="1" customFormat="1" ht="15" customHeight="1" x14ac:dyDescent="0.3">
      <c r="A47" s="199"/>
      <c r="B47" s="201"/>
      <c r="C47" s="203"/>
      <c r="D47" s="203"/>
      <c r="E47" s="205"/>
      <c r="F47" s="217"/>
      <c r="G47" s="218"/>
      <c r="H47" s="218"/>
      <c r="I47" s="219"/>
      <c r="J47" s="215"/>
      <c r="K47" s="210"/>
    </row>
    <row r="48" spans="1:11" s="1" customFormat="1" ht="15" customHeight="1" x14ac:dyDescent="0.3">
      <c r="A48" s="199"/>
      <c r="B48" s="201"/>
      <c r="C48" s="202"/>
      <c r="D48" s="202"/>
      <c r="E48" s="205"/>
      <c r="F48" s="217"/>
      <c r="G48" s="218"/>
      <c r="H48" s="218"/>
      <c r="I48" s="219"/>
      <c r="J48" s="215"/>
      <c r="K48" s="210"/>
    </row>
    <row r="49" spans="1:11" s="1" customFormat="1" ht="15" customHeight="1" x14ac:dyDescent="0.3">
      <c r="A49" s="199"/>
      <c r="B49" s="201"/>
      <c r="C49" s="203"/>
      <c r="D49" s="203"/>
      <c r="E49" s="205"/>
      <c r="F49" s="66"/>
      <c r="G49" s="66"/>
      <c r="H49" s="66"/>
      <c r="I49" s="66"/>
      <c r="J49" s="215"/>
      <c r="K49" s="210"/>
    </row>
    <row r="50" spans="1:11" s="1" customFormat="1" ht="15" customHeight="1" x14ac:dyDescent="0.3">
      <c r="A50" s="199"/>
      <c r="B50" s="201"/>
      <c r="C50" s="202"/>
      <c r="D50" s="202"/>
      <c r="E50" s="205"/>
      <c r="F50" s="66"/>
      <c r="G50" s="66"/>
      <c r="H50" s="66"/>
      <c r="I50" s="66"/>
      <c r="J50" s="215"/>
      <c r="K50" s="210"/>
    </row>
    <row r="51" spans="1:11" s="1" customFormat="1" ht="15" customHeight="1" x14ac:dyDescent="0.3">
      <c r="A51" s="199"/>
      <c r="B51" s="201"/>
      <c r="C51" s="203"/>
      <c r="D51" s="203"/>
      <c r="E51" s="205"/>
      <c r="F51" s="66"/>
      <c r="G51" s="66"/>
      <c r="H51" s="66"/>
      <c r="I51" s="66"/>
      <c r="J51" s="215"/>
      <c r="K51" s="210"/>
    </row>
    <row r="52" spans="1:11" s="1" customFormat="1" ht="15" customHeight="1" x14ac:dyDescent="0.3">
      <c r="A52" s="199"/>
      <c r="B52" s="201"/>
      <c r="C52" s="202"/>
      <c r="D52" s="202"/>
      <c r="E52" s="205"/>
      <c r="F52" s="66"/>
      <c r="G52" s="66"/>
      <c r="H52" s="66"/>
      <c r="I52" s="66"/>
      <c r="J52" s="215"/>
      <c r="K52" s="210"/>
    </row>
    <row r="53" spans="1:11" s="1" customFormat="1" ht="15" customHeight="1" x14ac:dyDescent="0.3">
      <c r="A53" s="212"/>
      <c r="B53" s="213"/>
      <c r="C53" s="203"/>
      <c r="D53" s="203"/>
      <c r="E53" s="205"/>
      <c r="F53" s="66"/>
      <c r="G53" s="66"/>
      <c r="H53" s="66"/>
      <c r="I53" s="66"/>
      <c r="J53" s="216"/>
      <c r="K53" s="211"/>
    </row>
    <row r="54" spans="1:11" s="1" customFormat="1" ht="30" customHeight="1" x14ac:dyDescent="0.3">
      <c r="A54" s="184" t="s">
        <v>14</v>
      </c>
      <c r="B54" s="185"/>
      <c r="C54" s="8" t="s">
        <v>87</v>
      </c>
      <c r="D54" s="8" t="s">
        <v>86</v>
      </c>
      <c r="E54" s="8" t="s">
        <v>85</v>
      </c>
      <c r="F54" s="8" t="s">
        <v>84</v>
      </c>
      <c r="G54" s="8"/>
      <c r="H54" s="8"/>
      <c r="I54" s="8"/>
      <c r="J54" s="8" t="s">
        <v>3</v>
      </c>
      <c r="K54" s="8" t="s">
        <v>83</v>
      </c>
    </row>
    <row r="55" spans="1:11" s="1" customFormat="1" ht="15" customHeight="1" x14ac:dyDescent="0.3">
      <c r="A55" s="198"/>
      <c r="B55" s="200"/>
      <c r="C55" s="202"/>
      <c r="D55" s="202"/>
      <c r="E55" s="204"/>
      <c r="F55" s="66"/>
      <c r="G55" s="66"/>
      <c r="H55" s="66"/>
      <c r="I55" s="66"/>
      <c r="J55" s="214"/>
      <c r="K55" s="209" t="str">
        <f>IF(B55="","","Buku Paket Siswa Mata Pelajaran "&amp;PROPER(MID($C$5,3,50))&amp;" Kelas "&amp;UPPER(MID($C$6,3,6)))</f>
        <v/>
      </c>
    </row>
    <row r="56" spans="1:11" s="1" customFormat="1" ht="15" customHeight="1" x14ac:dyDescent="0.3">
      <c r="A56" s="199"/>
      <c r="B56" s="201"/>
      <c r="C56" s="203"/>
      <c r="D56" s="203"/>
      <c r="E56" s="205"/>
      <c r="F56" s="66"/>
      <c r="G56" s="66"/>
      <c r="H56" s="66"/>
      <c r="I56" s="66"/>
      <c r="J56" s="215"/>
      <c r="K56" s="210"/>
    </row>
    <row r="57" spans="1:11" s="1" customFormat="1" ht="15" customHeight="1" x14ac:dyDescent="0.3">
      <c r="A57" s="199"/>
      <c r="B57" s="201"/>
      <c r="C57" s="202"/>
      <c r="D57" s="202"/>
      <c r="E57" s="205"/>
      <c r="F57" s="66"/>
      <c r="G57" s="66"/>
      <c r="H57" s="66"/>
      <c r="I57" s="66"/>
      <c r="J57" s="215"/>
      <c r="K57" s="210"/>
    </row>
    <row r="58" spans="1:11" s="1" customFormat="1" ht="15" customHeight="1" x14ac:dyDescent="0.3">
      <c r="A58" s="199"/>
      <c r="B58" s="201"/>
      <c r="C58" s="203"/>
      <c r="D58" s="203"/>
      <c r="E58" s="205"/>
      <c r="F58" s="66"/>
      <c r="G58" s="66"/>
      <c r="H58" s="66"/>
      <c r="I58" s="66"/>
      <c r="J58" s="215"/>
      <c r="K58" s="210"/>
    </row>
    <row r="59" spans="1:11" s="1" customFormat="1" ht="15" customHeight="1" x14ac:dyDescent="0.3">
      <c r="A59" s="199"/>
      <c r="B59" s="201"/>
      <c r="C59" s="202"/>
      <c r="D59" s="202"/>
      <c r="E59" s="205"/>
      <c r="F59" s="66"/>
      <c r="G59" s="66"/>
      <c r="H59" s="66"/>
      <c r="I59" s="66"/>
      <c r="J59" s="215"/>
      <c r="K59" s="210"/>
    </row>
    <row r="60" spans="1:11" s="1" customFormat="1" ht="15" customHeight="1" x14ac:dyDescent="0.3">
      <c r="A60" s="199"/>
      <c r="B60" s="201"/>
      <c r="C60" s="203"/>
      <c r="D60" s="203"/>
      <c r="E60" s="205"/>
      <c r="F60" s="66"/>
      <c r="G60" s="66"/>
      <c r="H60" s="66"/>
      <c r="I60" s="66"/>
      <c r="J60" s="215"/>
      <c r="K60" s="210"/>
    </row>
    <row r="61" spans="1:11" s="1" customFormat="1" ht="15" customHeight="1" x14ac:dyDescent="0.3">
      <c r="A61" s="199"/>
      <c r="B61" s="201"/>
      <c r="C61" s="202"/>
      <c r="D61" s="202"/>
      <c r="E61" s="205"/>
      <c r="F61" s="66"/>
      <c r="G61" s="66"/>
      <c r="H61" s="66"/>
      <c r="I61" s="66"/>
      <c r="J61" s="215"/>
      <c r="K61" s="210"/>
    </row>
    <row r="62" spans="1:11" s="1" customFormat="1" ht="15" customHeight="1" x14ac:dyDescent="0.3">
      <c r="A62" s="212"/>
      <c r="B62" s="213"/>
      <c r="C62" s="203"/>
      <c r="D62" s="203"/>
      <c r="E62" s="205"/>
      <c r="F62" s="66"/>
      <c r="G62" s="66"/>
      <c r="H62" s="66"/>
      <c r="I62" s="66"/>
      <c r="J62" s="216"/>
      <c r="K62" s="211"/>
    </row>
    <row r="63" spans="1:11" s="1" customFormat="1" ht="15" customHeight="1" x14ac:dyDescent="0.3">
      <c r="A63" s="198"/>
      <c r="B63" s="200"/>
      <c r="C63" s="202"/>
      <c r="D63" s="202"/>
      <c r="E63" s="204"/>
      <c r="F63" s="66"/>
      <c r="G63" s="66"/>
      <c r="H63" s="66"/>
      <c r="I63" s="66"/>
      <c r="J63" s="214"/>
      <c r="K63" s="209" t="str">
        <f>IF(B63="","","Buku Paket Siswa Mata Pelajaran "&amp;PROPER(MID($C$5,3,50))&amp;" Kelas "&amp;UPPER(MID($C$6,3,6)))</f>
        <v/>
      </c>
    </row>
    <row r="64" spans="1:11" s="1" customFormat="1" ht="15" customHeight="1" x14ac:dyDescent="0.3">
      <c r="A64" s="199"/>
      <c r="B64" s="201"/>
      <c r="C64" s="203"/>
      <c r="D64" s="203"/>
      <c r="E64" s="205"/>
      <c r="F64" s="66"/>
      <c r="G64" s="66"/>
      <c r="H64" s="66"/>
      <c r="I64" s="66"/>
      <c r="J64" s="215"/>
      <c r="K64" s="210"/>
    </row>
    <row r="65" spans="1:11" s="1" customFormat="1" ht="15" customHeight="1" x14ac:dyDescent="0.3">
      <c r="A65" s="199"/>
      <c r="B65" s="201"/>
      <c r="C65" s="202"/>
      <c r="D65" s="202"/>
      <c r="E65" s="205"/>
      <c r="F65" s="66"/>
      <c r="G65" s="66"/>
      <c r="H65" s="66"/>
      <c r="I65" s="66"/>
      <c r="J65" s="215"/>
      <c r="K65" s="210"/>
    </row>
    <row r="66" spans="1:11" s="1" customFormat="1" ht="15" customHeight="1" x14ac:dyDescent="0.3">
      <c r="A66" s="199"/>
      <c r="B66" s="201"/>
      <c r="C66" s="203"/>
      <c r="D66" s="203"/>
      <c r="E66" s="205"/>
      <c r="F66" s="66"/>
      <c r="G66" s="66"/>
      <c r="H66" s="66"/>
      <c r="I66" s="66"/>
      <c r="J66" s="215"/>
      <c r="K66" s="210"/>
    </row>
    <row r="67" spans="1:11" s="1" customFormat="1" ht="15" customHeight="1" x14ac:dyDescent="0.3">
      <c r="A67" s="199"/>
      <c r="B67" s="201"/>
      <c r="C67" s="202"/>
      <c r="D67" s="202"/>
      <c r="E67" s="205"/>
      <c r="F67" s="66"/>
      <c r="G67" s="66"/>
      <c r="H67" s="66"/>
      <c r="I67" s="66"/>
      <c r="J67" s="215"/>
      <c r="K67" s="210"/>
    </row>
    <row r="68" spans="1:11" s="1" customFormat="1" ht="15" customHeight="1" x14ac:dyDescent="0.3">
      <c r="A68" s="199"/>
      <c r="B68" s="201"/>
      <c r="C68" s="203"/>
      <c r="D68" s="203"/>
      <c r="E68" s="205"/>
      <c r="F68" s="66"/>
      <c r="G68" s="66"/>
      <c r="H68" s="66"/>
      <c r="I68" s="66"/>
      <c r="J68" s="215"/>
      <c r="K68" s="210"/>
    </row>
    <row r="69" spans="1:11" s="1" customFormat="1" ht="15" customHeight="1" x14ac:dyDescent="0.3">
      <c r="A69" s="199"/>
      <c r="B69" s="201"/>
      <c r="C69" s="202"/>
      <c r="D69" s="202"/>
      <c r="E69" s="205"/>
      <c r="F69" s="66"/>
      <c r="G69" s="66"/>
      <c r="H69" s="66"/>
      <c r="I69" s="66"/>
      <c r="J69" s="215"/>
      <c r="K69" s="210"/>
    </row>
    <row r="70" spans="1:11" s="1" customFormat="1" ht="15" customHeight="1" x14ac:dyDescent="0.3">
      <c r="A70" s="212"/>
      <c r="B70" s="213"/>
      <c r="C70" s="203"/>
      <c r="D70" s="203"/>
      <c r="E70" s="205"/>
      <c r="F70" s="66"/>
      <c r="G70" s="66"/>
      <c r="H70" s="66"/>
      <c r="I70" s="66"/>
      <c r="J70" s="216"/>
      <c r="K70" s="211"/>
    </row>
    <row r="71" spans="1:11" s="1" customFormat="1" ht="15" customHeight="1" x14ac:dyDescent="0.3">
      <c r="A71" s="198"/>
      <c r="B71" s="200"/>
      <c r="C71" s="202"/>
      <c r="D71" s="202"/>
      <c r="E71" s="204"/>
      <c r="F71" s="66"/>
      <c r="G71" s="66"/>
      <c r="H71" s="66"/>
      <c r="I71" s="66"/>
      <c r="J71" s="214"/>
      <c r="K71" s="209" t="str">
        <f>IF(B71="","","Buku Paket Siswa Mata Pelajaran "&amp;PROPER(MID($C$5,3,50))&amp;" Kelas "&amp;UPPER(MID($C$6,3,6)))</f>
        <v/>
      </c>
    </row>
    <row r="72" spans="1:11" s="1" customFormat="1" ht="15" customHeight="1" x14ac:dyDescent="0.3">
      <c r="A72" s="199"/>
      <c r="B72" s="201"/>
      <c r="C72" s="203"/>
      <c r="D72" s="203"/>
      <c r="E72" s="205"/>
      <c r="F72" s="66"/>
      <c r="G72" s="66"/>
      <c r="H72" s="66"/>
      <c r="I72" s="66"/>
      <c r="J72" s="215"/>
      <c r="K72" s="210"/>
    </row>
    <row r="73" spans="1:11" s="1" customFormat="1" ht="15" customHeight="1" x14ac:dyDescent="0.3">
      <c r="A73" s="199"/>
      <c r="B73" s="201"/>
      <c r="C73" s="202"/>
      <c r="D73" s="202"/>
      <c r="E73" s="205"/>
      <c r="F73" s="66"/>
      <c r="G73" s="66"/>
      <c r="H73" s="66"/>
      <c r="I73" s="66"/>
      <c r="J73" s="215"/>
      <c r="K73" s="210"/>
    </row>
    <row r="74" spans="1:11" s="1" customFormat="1" ht="15" customHeight="1" x14ac:dyDescent="0.3">
      <c r="A74" s="199"/>
      <c r="B74" s="201"/>
      <c r="C74" s="203"/>
      <c r="D74" s="203"/>
      <c r="E74" s="205"/>
      <c r="F74" s="66"/>
      <c r="G74" s="66"/>
      <c r="H74" s="66"/>
      <c r="I74" s="66"/>
      <c r="J74" s="215"/>
      <c r="K74" s="210"/>
    </row>
    <row r="75" spans="1:11" s="1" customFormat="1" ht="15" customHeight="1" x14ac:dyDescent="0.3">
      <c r="A75" s="199"/>
      <c r="B75" s="201"/>
      <c r="C75" s="202"/>
      <c r="D75" s="202"/>
      <c r="E75" s="205"/>
      <c r="F75" s="66"/>
      <c r="G75" s="66"/>
      <c r="H75" s="66"/>
      <c r="I75" s="66"/>
      <c r="J75" s="215"/>
      <c r="K75" s="210"/>
    </row>
    <row r="76" spans="1:11" s="1" customFormat="1" ht="15" customHeight="1" x14ac:dyDescent="0.3">
      <c r="A76" s="199"/>
      <c r="B76" s="201"/>
      <c r="C76" s="203"/>
      <c r="D76" s="203"/>
      <c r="E76" s="205"/>
      <c r="F76" s="66"/>
      <c r="G76" s="66"/>
      <c r="H76" s="66"/>
      <c r="I76" s="66"/>
      <c r="J76" s="215"/>
      <c r="K76" s="210"/>
    </row>
    <row r="77" spans="1:11" s="1" customFormat="1" ht="15" customHeight="1" x14ac:dyDescent="0.3">
      <c r="A77" s="199"/>
      <c r="B77" s="201"/>
      <c r="C77" s="202"/>
      <c r="D77" s="223"/>
      <c r="E77" s="205"/>
      <c r="F77" s="66"/>
      <c r="G77" s="66"/>
      <c r="H77" s="66"/>
      <c r="I77" s="66"/>
      <c r="J77" s="215"/>
      <c r="K77" s="210"/>
    </row>
    <row r="78" spans="1:11" s="1" customFormat="1" ht="15" customHeight="1" x14ac:dyDescent="0.3">
      <c r="A78" s="212"/>
      <c r="B78" s="213"/>
      <c r="C78" s="203"/>
      <c r="D78" s="224"/>
      <c r="E78" s="205"/>
      <c r="F78" s="66"/>
      <c r="G78" s="66"/>
      <c r="H78" s="66"/>
      <c r="I78" s="66"/>
      <c r="J78" s="216"/>
      <c r="K78" s="211"/>
    </row>
    <row r="79" spans="1:11" s="1" customFormat="1" ht="15" customHeight="1" x14ac:dyDescent="0.3">
      <c r="A79" s="198"/>
      <c r="B79" s="200"/>
      <c r="C79" s="202"/>
      <c r="D79" s="202"/>
      <c r="E79" s="204"/>
      <c r="F79" s="66"/>
      <c r="G79" s="66"/>
      <c r="H79" s="66"/>
      <c r="I79" s="66"/>
      <c r="J79" s="214"/>
      <c r="K79" s="209" t="str">
        <f>IF(B79="","","Buku Paket Siswa Mata Pelajaran "&amp;PROPER(MID($C$5,3,50))&amp;" Kelas "&amp;UPPER(MID($C$6,3,6)))</f>
        <v/>
      </c>
    </row>
    <row r="80" spans="1:11" s="1" customFormat="1" ht="15" customHeight="1" x14ac:dyDescent="0.3">
      <c r="A80" s="199"/>
      <c r="B80" s="201"/>
      <c r="C80" s="203"/>
      <c r="D80" s="203"/>
      <c r="E80" s="205"/>
      <c r="F80" s="66"/>
      <c r="G80" s="66"/>
      <c r="H80" s="66"/>
      <c r="I80" s="66"/>
      <c r="J80" s="215"/>
      <c r="K80" s="210"/>
    </row>
    <row r="81" spans="1:11" s="1" customFormat="1" ht="15" customHeight="1" x14ac:dyDescent="0.3">
      <c r="A81" s="199"/>
      <c r="B81" s="201"/>
      <c r="C81" s="202"/>
      <c r="D81" s="202"/>
      <c r="E81" s="205"/>
      <c r="F81" s="66"/>
      <c r="G81" s="66"/>
      <c r="H81" s="66"/>
      <c r="I81" s="66"/>
      <c r="J81" s="215"/>
      <c r="K81" s="210"/>
    </row>
    <row r="82" spans="1:11" s="1" customFormat="1" ht="15" customHeight="1" x14ac:dyDescent="0.3">
      <c r="A82" s="199"/>
      <c r="B82" s="201"/>
      <c r="C82" s="203"/>
      <c r="D82" s="203"/>
      <c r="E82" s="205"/>
      <c r="F82" s="66"/>
      <c r="G82" s="66"/>
      <c r="H82" s="66"/>
      <c r="I82" s="66"/>
      <c r="J82" s="215"/>
      <c r="K82" s="210"/>
    </row>
    <row r="83" spans="1:11" s="1" customFormat="1" ht="15" customHeight="1" x14ac:dyDescent="0.3">
      <c r="A83" s="199"/>
      <c r="B83" s="201"/>
      <c r="C83" s="202"/>
      <c r="D83" s="202"/>
      <c r="E83" s="205"/>
      <c r="F83" s="66"/>
      <c r="G83" s="66"/>
      <c r="H83" s="66"/>
      <c r="I83" s="66"/>
      <c r="J83" s="215"/>
      <c r="K83" s="210"/>
    </row>
    <row r="84" spans="1:11" s="1" customFormat="1" ht="15" customHeight="1" x14ac:dyDescent="0.3">
      <c r="A84" s="199"/>
      <c r="B84" s="201"/>
      <c r="C84" s="203"/>
      <c r="D84" s="203"/>
      <c r="E84" s="205"/>
      <c r="F84" s="66"/>
      <c r="G84" s="66"/>
      <c r="H84" s="66"/>
      <c r="I84" s="66"/>
      <c r="J84" s="215"/>
      <c r="K84" s="210"/>
    </row>
    <row r="85" spans="1:11" s="1" customFormat="1" ht="15" customHeight="1" x14ac:dyDescent="0.3">
      <c r="A85" s="199"/>
      <c r="B85" s="201"/>
      <c r="C85" s="202"/>
      <c r="D85" s="202"/>
      <c r="E85" s="205"/>
      <c r="F85" s="66"/>
      <c r="G85" s="66"/>
      <c r="H85" s="66"/>
      <c r="I85" s="66"/>
      <c r="J85" s="215"/>
      <c r="K85" s="210"/>
    </row>
    <row r="86" spans="1:11" s="1" customFormat="1" ht="15" customHeight="1" x14ac:dyDescent="0.3">
      <c r="A86" s="212"/>
      <c r="B86" s="213"/>
      <c r="C86" s="203"/>
      <c r="D86" s="203"/>
      <c r="E86" s="225"/>
      <c r="F86" s="66"/>
      <c r="G86" s="66"/>
      <c r="H86" s="66"/>
      <c r="I86" s="66"/>
      <c r="J86" s="216"/>
      <c r="K86" s="211"/>
    </row>
    <row r="87" spans="1:11" x14ac:dyDescent="0.3"/>
    <row r="88" spans="1:11" s="5" customFormat="1" x14ac:dyDescent="0.3">
      <c r="F88" s="61"/>
      <c r="G88" s="6"/>
      <c r="H88" s="6"/>
      <c r="I88" s="6"/>
    </row>
    <row r="89" spans="1:11" s="5" customFormat="1" x14ac:dyDescent="0.3">
      <c r="B89" s="53" t="e">
        <f>#REF!</f>
        <v>#REF!</v>
      </c>
      <c r="D89" s="1"/>
      <c r="E89" s="1"/>
      <c r="F89" s="61" t="e">
        <f>"Bandung Barat,      Juli "&amp;MID(#REF!,1,4)</f>
        <v>#REF!</v>
      </c>
      <c r="G89" s="6"/>
      <c r="H89" s="6"/>
      <c r="I89" s="6"/>
    </row>
    <row r="90" spans="1:11" s="5" customFormat="1" x14ac:dyDescent="0.3">
      <c r="B90" s="53" t="e">
        <f>#REF!</f>
        <v>#REF!</v>
      </c>
      <c r="F90" s="61" t="e">
        <f>#REF!</f>
        <v>#REF!</v>
      </c>
      <c r="G90" s="6"/>
      <c r="H90" s="6"/>
      <c r="I90" s="6"/>
    </row>
    <row r="91" spans="1:11" s="5" customFormat="1" x14ac:dyDescent="0.3">
      <c r="B91" s="2"/>
      <c r="F91" s="61"/>
      <c r="G91" s="6"/>
      <c r="H91" s="6"/>
      <c r="I91" s="6"/>
    </row>
    <row r="92" spans="1:11" s="5" customFormat="1" x14ac:dyDescent="0.3">
      <c r="B92" s="2"/>
      <c r="F92" s="61"/>
      <c r="G92" s="6"/>
      <c r="H92" s="6"/>
      <c r="I92" s="6"/>
    </row>
    <row r="93" spans="1:11" s="5" customFormat="1" x14ac:dyDescent="0.3">
      <c r="B93" s="2"/>
      <c r="F93" s="61"/>
      <c r="G93" s="6"/>
      <c r="H93" s="6"/>
      <c r="I93" s="6"/>
    </row>
    <row r="94" spans="1:11" s="5" customFormat="1" x14ac:dyDescent="0.3">
      <c r="B94" s="54" t="e">
        <f>#REF!</f>
        <v>#REF!</v>
      </c>
      <c r="F94" s="63" t="e">
        <f>#REF!</f>
        <v>#REF!</v>
      </c>
      <c r="G94" s="7"/>
      <c r="H94" s="7"/>
      <c r="I94" s="7"/>
    </row>
    <row r="95" spans="1:11" s="5" customFormat="1" x14ac:dyDescent="0.3">
      <c r="B95" s="53" t="e">
        <f>#REF!</f>
        <v>#REF!</v>
      </c>
      <c r="F95" s="61" t="e">
        <f>#REF!</f>
        <v>#REF!</v>
      </c>
      <c r="G95" s="6"/>
      <c r="H95" s="6"/>
      <c r="I95" s="6"/>
    </row>
    <row r="96" spans="1:11" x14ac:dyDescent="0.3"/>
    <row r="97" spans="1:11" ht="21" x14ac:dyDescent="0.3">
      <c r="A97" s="188" t="s">
        <v>91</v>
      </c>
      <c r="B97" s="188"/>
      <c r="C97" s="188"/>
      <c r="D97" s="188"/>
      <c r="E97" s="188"/>
      <c r="F97" s="188"/>
      <c r="G97" s="188"/>
      <c r="H97" s="188"/>
      <c r="I97" s="188"/>
      <c r="J97" s="188"/>
      <c r="K97" s="188"/>
    </row>
    <row r="98" spans="1:11" x14ac:dyDescent="0.3"/>
    <row r="99" spans="1:11" s="1" customFormat="1" x14ac:dyDescent="0.3">
      <c r="A99" s="53"/>
      <c r="B99" s="75" t="s">
        <v>90</v>
      </c>
      <c r="C99" s="1" t="str">
        <f>C4</f>
        <v>MA Nurul Hidayah Padalarang</v>
      </c>
    </row>
    <row r="100" spans="1:11" s="1" customFormat="1" x14ac:dyDescent="0.3">
      <c r="A100" s="53"/>
      <c r="B100" s="75" t="s">
        <v>42</v>
      </c>
      <c r="C100" s="1" t="e">
        <f>C5</f>
        <v>#REF!</v>
      </c>
    </row>
    <row r="101" spans="1:11" s="1" customFormat="1" x14ac:dyDescent="0.3">
      <c r="A101" s="53"/>
      <c r="B101" s="75" t="s">
        <v>89</v>
      </c>
      <c r="C101" s="1" t="e">
        <f>#REF!&amp;" / 2 (Genap)"</f>
        <v>#REF!</v>
      </c>
    </row>
    <row r="102" spans="1:11" x14ac:dyDescent="0.3"/>
    <row r="103" spans="1:11" s="1" customFormat="1" x14ac:dyDescent="0.3">
      <c r="A103" s="189" t="s">
        <v>88</v>
      </c>
      <c r="B103" s="190"/>
      <c r="C103" s="190"/>
      <c r="D103" s="190"/>
      <c r="E103" s="190"/>
      <c r="F103" s="190"/>
      <c r="G103" s="190"/>
      <c r="H103" s="190"/>
      <c r="I103" s="190"/>
      <c r="J103" s="190"/>
      <c r="K103" s="191"/>
    </row>
    <row r="104" spans="1:11" s="1" customFormat="1" ht="30" customHeight="1" x14ac:dyDescent="0.3">
      <c r="A104" s="71">
        <v>1</v>
      </c>
      <c r="B104" s="192"/>
      <c r="C104" s="193"/>
      <c r="D104" s="193"/>
      <c r="E104" s="193"/>
      <c r="F104" s="193"/>
      <c r="G104" s="193"/>
      <c r="H104" s="193"/>
      <c r="I104" s="193"/>
      <c r="J104" s="193"/>
      <c r="K104" s="194"/>
    </row>
    <row r="105" spans="1:11" s="72" customFormat="1" ht="45" customHeight="1" x14ac:dyDescent="0.3">
      <c r="A105" s="73">
        <v>2</v>
      </c>
      <c r="B105" s="195"/>
      <c r="C105" s="196"/>
      <c r="D105" s="196"/>
      <c r="E105" s="196"/>
      <c r="F105" s="196"/>
      <c r="G105" s="196"/>
      <c r="H105" s="196"/>
      <c r="I105" s="196"/>
      <c r="J105" s="196"/>
      <c r="K105" s="197"/>
    </row>
    <row r="106" spans="1:11" s="1" customFormat="1" ht="45" customHeight="1" x14ac:dyDescent="0.3">
      <c r="A106" s="71">
        <v>3</v>
      </c>
      <c r="B106" s="195"/>
      <c r="C106" s="196"/>
      <c r="D106" s="196"/>
      <c r="E106" s="196"/>
      <c r="F106" s="196"/>
      <c r="G106" s="196"/>
      <c r="H106" s="196"/>
      <c r="I106" s="196"/>
      <c r="J106" s="196"/>
      <c r="K106" s="197"/>
    </row>
    <row r="107" spans="1:11" s="1" customFormat="1" ht="45" customHeight="1" x14ac:dyDescent="0.3">
      <c r="A107" s="71">
        <v>4</v>
      </c>
      <c r="B107" s="195"/>
      <c r="C107" s="196"/>
      <c r="D107" s="196"/>
      <c r="E107" s="196"/>
      <c r="F107" s="196"/>
      <c r="G107" s="196"/>
      <c r="H107" s="196"/>
      <c r="I107" s="196"/>
      <c r="J107" s="196"/>
      <c r="K107" s="197"/>
    </row>
    <row r="108" spans="1:11" x14ac:dyDescent="0.3"/>
    <row r="109" spans="1:11" s="1" customFormat="1" ht="30" customHeight="1" x14ac:dyDescent="0.3">
      <c r="A109" s="184" t="s">
        <v>14</v>
      </c>
      <c r="B109" s="185"/>
      <c r="C109" s="8" t="s">
        <v>87</v>
      </c>
      <c r="D109" s="8" t="s">
        <v>86</v>
      </c>
      <c r="E109" s="8" t="s">
        <v>85</v>
      </c>
      <c r="F109" s="8" t="s">
        <v>84</v>
      </c>
      <c r="G109" s="8"/>
      <c r="H109" s="8"/>
      <c r="I109" s="8"/>
      <c r="J109" s="8" t="s">
        <v>3</v>
      </c>
      <c r="K109" s="8" t="s">
        <v>83</v>
      </c>
    </row>
    <row r="110" spans="1:11" ht="45" customHeight="1" x14ac:dyDescent="0.3">
      <c r="A110" s="70"/>
      <c r="B110" s="69"/>
      <c r="C110" s="186"/>
      <c r="D110" s="186" t="str">
        <f t="shared" ref="D110:K110" si="7">IF($B110="","","-")</f>
        <v/>
      </c>
      <c r="E110" s="186" t="str">
        <f t="shared" si="7"/>
        <v/>
      </c>
      <c r="F110" s="186" t="str">
        <f t="shared" si="7"/>
        <v/>
      </c>
      <c r="G110" s="186" t="str">
        <f t="shared" si="7"/>
        <v/>
      </c>
      <c r="H110" s="186" t="str">
        <f t="shared" si="7"/>
        <v/>
      </c>
      <c r="I110" s="186" t="str">
        <f t="shared" si="7"/>
        <v/>
      </c>
      <c r="J110" s="186" t="str">
        <f t="shared" si="7"/>
        <v/>
      </c>
      <c r="K110" s="186" t="str">
        <f t="shared" si="7"/>
        <v/>
      </c>
    </row>
    <row r="111" spans="1:11" ht="60" customHeight="1" x14ac:dyDescent="0.3">
      <c r="A111" s="68"/>
      <c r="B111" s="67"/>
      <c r="C111" s="187"/>
      <c r="D111" s="187"/>
      <c r="E111" s="187"/>
      <c r="F111" s="187"/>
      <c r="G111" s="187"/>
      <c r="H111" s="187"/>
      <c r="I111" s="187"/>
      <c r="J111" s="187"/>
      <c r="K111" s="187"/>
    </row>
    <row r="112" spans="1:11" ht="45" customHeight="1" x14ac:dyDescent="0.3">
      <c r="A112" s="70"/>
      <c r="B112" s="69"/>
      <c r="C112" s="186"/>
      <c r="D112" s="186" t="str">
        <f t="shared" ref="D112:K112" si="8">IF($B112="","","-")</f>
        <v/>
      </c>
      <c r="E112" s="186" t="str">
        <f t="shared" si="8"/>
        <v/>
      </c>
      <c r="F112" s="186" t="str">
        <f t="shared" si="8"/>
        <v/>
      </c>
      <c r="G112" s="186" t="str">
        <f t="shared" si="8"/>
        <v/>
      </c>
      <c r="H112" s="186" t="str">
        <f t="shared" si="8"/>
        <v/>
      </c>
      <c r="I112" s="186" t="str">
        <f t="shared" si="8"/>
        <v/>
      </c>
      <c r="J112" s="186" t="str">
        <f t="shared" si="8"/>
        <v/>
      </c>
      <c r="K112" s="186" t="str">
        <f t="shared" si="8"/>
        <v/>
      </c>
    </row>
    <row r="113" spans="1:11" ht="60" customHeight="1" x14ac:dyDescent="0.3">
      <c r="A113" s="68"/>
      <c r="B113" s="67"/>
      <c r="C113" s="187"/>
      <c r="D113" s="187"/>
      <c r="E113" s="187"/>
      <c r="F113" s="187"/>
      <c r="G113" s="187"/>
      <c r="H113" s="187"/>
      <c r="I113" s="187"/>
      <c r="J113" s="187"/>
      <c r="K113" s="187"/>
    </row>
    <row r="114" spans="1:11" ht="45" customHeight="1" x14ac:dyDescent="0.3">
      <c r="A114" s="70"/>
      <c r="B114" s="69"/>
      <c r="C114" s="186"/>
      <c r="D114" s="186" t="str">
        <f t="shared" ref="D114:K114" si="9">IF($B114="","","-")</f>
        <v/>
      </c>
      <c r="E114" s="186" t="str">
        <f t="shared" si="9"/>
        <v/>
      </c>
      <c r="F114" s="186" t="str">
        <f t="shared" si="9"/>
        <v/>
      </c>
      <c r="G114" s="186" t="str">
        <f t="shared" si="9"/>
        <v/>
      </c>
      <c r="H114" s="186" t="str">
        <f t="shared" si="9"/>
        <v/>
      </c>
      <c r="I114" s="186" t="str">
        <f t="shared" si="9"/>
        <v/>
      </c>
      <c r="J114" s="186" t="str">
        <f t="shared" si="9"/>
        <v/>
      </c>
      <c r="K114" s="186" t="str">
        <f t="shared" si="9"/>
        <v/>
      </c>
    </row>
    <row r="115" spans="1:11" ht="60" customHeight="1" x14ac:dyDescent="0.3">
      <c r="A115" s="68"/>
      <c r="B115" s="67"/>
      <c r="C115" s="187"/>
      <c r="D115" s="187"/>
      <c r="E115" s="187"/>
      <c r="F115" s="187"/>
      <c r="G115" s="187"/>
      <c r="H115" s="187"/>
      <c r="I115" s="187"/>
      <c r="J115" s="187"/>
      <c r="K115" s="187"/>
    </row>
    <row r="116" spans="1:11" ht="45" customHeight="1" x14ac:dyDescent="0.3">
      <c r="A116" s="70"/>
      <c r="B116" s="69"/>
      <c r="C116" s="186"/>
      <c r="D116" s="186" t="str">
        <f t="shared" ref="D116:K116" si="10">IF($B116="","","-")</f>
        <v/>
      </c>
      <c r="E116" s="186" t="str">
        <f t="shared" si="10"/>
        <v/>
      </c>
      <c r="F116" s="186" t="str">
        <f t="shared" si="10"/>
        <v/>
      </c>
      <c r="G116" s="186" t="str">
        <f t="shared" si="10"/>
        <v/>
      </c>
      <c r="H116" s="186" t="str">
        <f t="shared" si="10"/>
        <v/>
      </c>
      <c r="I116" s="186" t="str">
        <f t="shared" si="10"/>
        <v/>
      </c>
      <c r="J116" s="186" t="str">
        <f t="shared" si="10"/>
        <v/>
      </c>
      <c r="K116" s="186" t="str">
        <f t="shared" si="10"/>
        <v/>
      </c>
    </row>
    <row r="117" spans="1:11" ht="60" customHeight="1" x14ac:dyDescent="0.3">
      <c r="A117" s="68"/>
      <c r="B117" s="67"/>
      <c r="C117" s="187"/>
      <c r="D117" s="187"/>
      <c r="E117" s="187"/>
      <c r="F117" s="187"/>
      <c r="G117" s="187"/>
      <c r="H117" s="187"/>
      <c r="I117" s="187"/>
      <c r="J117" s="187"/>
      <c r="K117" s="187"/>
    </row>
    <row r="118" spans="1:11" s="1" customFormat="1" ht="30" customHeight="1" x14ac:dyDescent="0.3">
      <c r="A118" s="184" t="s">
        <v>14</v>
      </c>
      <c r="B118" s="185"/>
      <c r="C118" s="8" t="s">
        <v>87</v>
      </c>
      <c r="D118" s="8" t="s">
        <v>86</v>
      </c>
      <c r="E118" s="8" t="s">
        <v>85</v>
      </c>
      <c r="F118" s="8" t="s">
        <v>84</v>
      </c>
      <c r="G118" s="8"/>
      <c r="H118" s="8"/>
      <c r="I118" s="8"/>
      <c r="J118" s="8" t="s">
        <v>3</v>
      </c>
      <c r="K118" s="8" t="s">
        <v>83</v>
      </c>
    </row>
    <row r="119" spans="1:11" ht="45" customHeight="1" x14ac:dyDescent="0.3">
      <c r="A119" s="70"/>
      <c r="B119" s="69"/>
      <c r="C119" s="186"/>
      <c r="D119" s="186" t="str">
        <f t="shared" ref="D119:K119" si="11">IF($B119="","","-")</f>
        <v/>
      </c>
      <c r="E119" s="186" t="str">
        <f t="shared" si="11"/>
        <v/>
      </c>
      <c r="F119" s="186" t="str">
        <f t="shared" si="11"/>
        <v/>
      </c>
      <c r="G119" s="186" t="str">
        <f t="shared" si="11"/>
        <v/>
      </c>
      <c r="H119" s="186" t="str">
        <f t="shared" si="11"/>
        <v/>
      </c>
      <c r="I119" s="186" t="str">
        <f t="shared" si="11"/>
        <v/>
      </c>
      <c r="J119" s="186" t="str">
        <f t="shared" si="11"/>
        <v/>
      </c>
      <c r="K119" s="186" t="str">
        <f t="shared" si="11"/>
        <v/>
      </c>
    </row>
    <row r="120" spans="1:11" ht="60" customHeight="1" x14ac:dyDescent="0.3">
      <c r="A120" s="68"/>
      <c r="B120" s="67"/>
      <c r="C120" s="187"/>
      <c r="D120" s="187"/>
      <c r="E120" s="187"/>
      <c r="F120" s="187"/>
      <c r="G120" s="187"/>
      <c r="H120" s="187"/>
      <c r="I120" s="187"/>
      <c r="J120" s="187"/>
      <c r="K120" s="187"/>
    </row>
    <row r="121" spans="1:11" ht="45" customHeight="1" x14ac:dyDescent="0.3">
      <c r="A121" s="70"/>
      <c r="B121" s="69"/>
      <c r="C121" s="186"/>
      <c r="D121" s="186" t="str">
        <f t="shared" ref="D121:K121" si="12">IF($B121="","","-")</f>
        <v/>
      </c>
      <c r="E121" s="186" t="str">
        <f t="shared" si="12"/>
        <v/>
      </c>
      <c r="F121" s="186" t="str">
        <f t="shared" si="12"/>
        <v/>
      </c>
      <c r="G121" s="186" t="str">
        <f t="shared" si="12"/>
        <v/>
      </c>
      <c r="H121" s="186" t="str">
        <f t="shared" si="12"/>
        <v/>
      </c>
      <c r="I121" s="186" t="str">
        <f t="shared" si="12"/>
        <v/>
      </c>
      <c r="J121" s="186" t="str">
        <f t="shared" si="12"/>
        <v/>
      </c>
      <c r="K121" s="186" t="str">
        <f t="shared" si="12"/>
        <v/>
      </c>
    </row>
    <row r="122" spans="1:11" ht="60" customHeight="1" x14ac:dyDescent="0.3">
      <c r="A122" s="68"/>
      <c r="B122" s="67"/>
      <c r="C122" s="187"/>
      <c r="D122" s="187"/>
      <c r="E122" s="187"/>
      <c r="F122" s="187"/>
      <c r="G122" s="187"/>
      <c r="H122" s="187"/>
      <c r="I122" s="187"/>
      <c r="J122" s="187"/>
      <c r="K122" s="187"/>
    </row>
    <row r="123" spans="1:11" ht="45" customHeight="1" x14ac:dyDescent="0.3">
      <c r="A123" s="70"/>
      <c r="B123" s="69"/>
      <c r="C123" s="186"/>
      <c r="D123" s="186" t="str">
        <f t="shared" ref="D123:K123" si="13">IF($B123="","","-")</f>
        <v/>
      </c>
      <c r="E123" s="186" t="str">
        <f t="shared" si="13"/>
        <v/>
      </c>
      <c r="F123" s="186" t="str">
        <f t="shared" si="13"/>
        <v/>
      </c>
      <c r="G123" s="186" t="str">
        <f t="shared" si="13"/>
        <v/>
      </c>
      <c r="H123" s="186" t="str">
        <f t="shared" si="13"/>
        <v/>
      </c>
      <c r="I123" s="186" t="str">
        <f t="shared" si="13"/>
        <v/>
      </c>
      <c r="J123" s="186" t="str">
        <f t="shared" si="13"/>
        <v/>
      </c>
      <c r="K123" s="186" t="str">
        <f t="shared" si="13"/>
        <v/>
      </c>
    </row>
    <row r="124" spans="1:11" ht="60" customHeight="1" x14ac:dyDescent="0.3">
      <c r="A124" s="68"/>
      <c r="B124" s="67"/>
      <c r="C124" s="187"/>
      <c r="D124" s="187"/>
      <c r="E124" s="187"/>
      <c r="F124" s="187"/>
      <c r="G124" s="187"/>
      <c r="H124" s="187"/>
      <c r="I124" s="187"/>
      <c r="J124" s="187"/>
      <c r="K124" s="187"/>
    </row>
    <row r="125" spans="1:11" s="1" customFormat="1" ht="15" customHeight="1" x14ac:dyDescent="0.3">
      <c r="A125" s="198"/>
      <c r="B125" s="200"/>
      <c r="C125" s="202"/>
      <c r="D125" s="202"/>
      <c r="E125" s="204"/>
      <c r="F125" s="66"/>
      <c r="G125" s="66"/>
      <c r="H125" s="66"/>
      <c r="I125" s="66"/>
      <c r="J125" s="214"/>
      <c r="K125" s="209"/>
    </row>
    <row r="126" spans="1:11" s="1" customFormat="1" ht="15" customHeight="1" x14ac:dyDescent="0.3">
      <c r="A126" s="199"/>
      <c r="B126" s="201"/>
      <c r="C126" s="203"/>
      <c r="D126" s="203"/>
      <c r="E126" s="205"/>
      <c r="F126" s="66"/>
      <c r="G126" s="66"/>
      <c r="H126" s="66"/>
      <c r="I126" s="66"/>
      <c r="J126" s="215"/>
      <c r="K126" s="210"/>
    </row>
    <row r="127" spans="1:11" s="1" customFormat="1" ht="15" customHeight="1" x14ac:dyDescent="0.3">
      <c r="A127" s="199"/>
      <c r="B127" s="201"/>
      <c r="C127" s="202"/>
      <c r="D127" s="202"/>
      <c r="E127" s="205"/>
      <c r="F127" s="66"/>
      <c r="G127" s="66"/>
      <c r="H127" s="66"/>
      <c r="I127" s="66"/>
      <c r="J127" s="215"/>
      <c r="K127" s="210"/>
    </row>
    <row r="128" spans="1:11" s="1" customFormat="1" ht="15" customHeight="1" x14ac:dyDescent="0.3">
      <c r="A128" s="199"/>
      <c r="B128" s="201"/>
      <c r="C128" s="203"/>
      <c r="D128" s="203"/>
      <c r="E128" s="205"/>
      <c r="F128" s="66"/>
      <c r="G128" s="66"/>
      <c r="H128" s="66"/>
      <c r="I128" s="66"/>
      <c r="J128" s="215"/>
      <c r="K128" s="210"/>
    </row>
    <row r="129" spans="1:11" s="1" customFormat="1" ht="15" customHeight="1" x14ac:dyDescent="0.3">
      <c r="A129" s="199"/>
      <c r="B129" s="201"/>
      <c r="C129" s="202"/>
      <c r="D129" s="202"/>
      <c r="E129" s="205"/>
      <c r="F129" s="66"/>
      <c r="G129" s="66"/>
      <c r="H129" s="66"/>
      <c r="I129" s="66"/>
      <c r="J129" s="215"/>
      <c r="K129" s="210"/>
    </row>
    <row r="130" spans="1:11" s="1" customFormat="1" ht="15" customHeight="1" x14ac:dyDescent="0.3">
      <c r="A130" s="199"/>
      <c r="B130" s="201"/>
      <c r="C130" s="203"/>
      <c r="D130" s="203"/>
      <c r="E130" s="205"/>
      <c r="F130" s="66"/>
      <c r="G130" s="66"/>
      <c r="H130" s="66"/>
      <c r="I130" s="66"/>
      <c r="J130" s="215"/>
      <c r="K130" s="210"/>
    </row>
    <row r="131" spans="1:11" s="1" customFormat="1" ht="15" customHeight="1" x14ac:dyDescent="0.3">
      <c r="A131" s="199"/>
      <c r="B131" s="201"/>
      <c r="C131" s="202"/>
      <c r="D131" s="202"/>
      <c r="E131" s="205"/>
      <c r="F131" s="66"/>
      <c r="G131" s="66"/>
      <c r="H131" s="66"/>
      <c r="I131" s="66"/>
      <c r="J131" s="215"/>
      <c r="K131" s="210"/>
    </row>
    <row r="132" spans="1:11" s="1" customFormat="1" ht="15" customHeight="1" x14ac:dyDescent="0.3">
      <c r="A132" s="212"/>
      <c r="B132" s="213"/>
      <c r="C132" s="203"/>
      <c r="D132" s="203"/>
      <c r="E132" s="205"/>
      <c r="F132" s="66"/>
      <c r="G132" s="66"/>
      <c r="H132" s="66"/>
      <c r="I132" s="66"/>
      <c r="J132" s="216"/>
      <c r="K132" s="211"/>
    </row>
    <row r="133" spans="1:11" s="1" customFormat="1" ht="15" customHeight="1" x14ac:dyDescent="0.3">
      <c r="A133" s="198"/>
      <c r="B133" s="200"/>
      <c r="C133" s="202"/>
      <c r="D133" s="202"/>
      <c r="E133" s="204"/>
      <c r="F133" s="66"/>
      <c r="G133" s="66"/>
      <c r="H133" s="66"/>
      <c r="I133" s="66"/>
      <c r="J133" s="214"/>
      <c r="K133" s="209"/>
    </row>
    <row r="134" spans="1:11" s="1" customFormat="1" ht="15" customHeight="1" x14ac:dyDescent="0.3">
      <c r="A134" s="199"/>
      <c r="B134" s="201"/>
      <c r="C134" s="203"/>
      <c r="D134" s="203"/>
      <c r="E134" s="205"/>
      <c r="F134" s="66"/>
      <c r="G134" s="66"/>
      <c r="H134" s="66"/>
      <c r="I134" s="66"/>
      <c r="J134" s="215"/>
      <c r="K134" s="210"/>
    </row>
    <row r="135" spans="1:11" s="1" customFormat="1" ht="15" customHeight="1" x14ac:dyDescent="0.3">
      <c r="A135" s="199"/>
      <c r="B135" s="201"/>
      <c r="C135" s="202"/>
      <c r="D135" s="202"/>
      <c r="E135" s="205"/>
      <c r="F135" s="66"/>
      <c r="G135" s="66"/>
      <c r="H135" s="66"/>
      <c r="I135" s="66"/>
      <c r="J135" s="215"/>
      <c r="K135" s="210"/>
    </row>
    <row r="136" spans="1:11" s="1" customFormat="1" ht="15" customHeight="1" x14ac:dyDescent="0.3">
      <c r="A136" s="199"/>
      <c r="B136" s="201"/>
      <c r="C136" s="203"/>
      <c r="D136" s="203"/>
      <c r="E136" s="205"/>
      <c r="F136" s="66"/>
      <c r="G136" s="66"/>
      <c r="H136" s="66"/>
      <c r="I136" s="66"/>
      <c r="J136" s="215"/>
      <c r="K136" s="210"/>
    </row>
    <row r="137" spans="1:11" s="1" customFormat="1" ht="15" customHeight="1" x14ac:dyDescent="0.3">
      <c r="A137" s="199"/>
      <c r="B137" s="201"/>
      <c r="C137" s="202"/>
      <c r="D137" s="202"/>
      <c r="E137" s="205"/>
      <c r="F137" s="66"/>
      <c r="G137" s="66"/>
      <c r="H137" s="66"/>
      <c r="I137" s="66"/>
      <c r="J137" s="215"/>
      <c r="K137" s="210"/>
    </row>
    <row r="138" spans="1:11" s="1" customFormat="1" ht="15" customHeight="1" x14ac:dyDescent="0.3">
      <c r="A138" s="199"/>
      <c r="B138" s="201"/>
      <c r="C138" s="203"/>
      <c r="D138" s="203"/>
      <c r="E138" s="205"/>
      <c r="F138" s="66"/>
      <c r="G138" s="66"/>
      <c r="H138" s="66"/>
      <c r="I138" s="66"/>
      <c r="J138" s="215"/>
      <c r="K138" s="210"/>
    </row>
    <row r="139" spans="1:11" s="1" customFormat="1" ht="15" customHeight="1" x14ac:dyDescent="0.3">
      <c r="A139" s="199"/>
      <c r="B139" s="201"/>
      <c r="C139" s="202"/>
      <c r="D139" s="202"/>
      <c r="E139" s="205"/>
      <c r="F139" s="66"/>
      <c r="G139" s="66"/>
      <c r="H139" s="66"/>
      <c r="I139" s="66"/>
      <c r="J139" s="215"/>
      <c r="K139" s="210"/>
    </row>
    <row r="140" spans="1:11" s="1" customFormat="1" ht="15" customHeight="1" x14ac:dyDescent="0.3">
      <c r="A140" s="212"/>
      <c r="B140" s="213"/>
      <c r="C140" s="203"/>
      <c r="D140" s="203"/>
      <c r="E140" s="205"/>
      <c r="F140" s="66"/>
      <c r="G140" s="66"/>
      <c r="H140" s="66"/>
      <c r="I140" s="66"/>
      <c r="J140" s="216"/>
      <c r="K140" s="211"/>
    </row>
    <row r="141" spans="1:11" s="1" customFormat="1" ht="15" customHeight="1" x14ac:dyDescent="0.3">
      <c r="A141" s="198"/>
      <c r="B141" s="200"/>
      <c r="C141" s="202"/>
      <c r="D141" s="202"/>
      <c r="E141" s="204"/>
      <c r="F141" s="66"/>
      <c r="G141" s="66"/>
      <c r="H141" s="66"/>
      <c r="I141" s="66"/>
      <c r="J141" s="214"/>
      <c r="K141" s="209"/>
    </row>
    <row r="142" spans="1:11" s="1" customFormat="1" ht="15" customHeight="1" x14ac:dyDescent="0.3">
      <c r="A142" s="199"/>
      <c r="B142" s="201"/>
      <c r="C142" s="203"/>
      <c r="D142" s="203"/>
      <c r="E142" s="205"/>
      <c r="F142" s="66"/>
      <c r="G142" s="66"/>
      <c r="H142" s="66"/>
      <c r="I142" s="66"/>
      <c r="J142" s="215"/>
      <c r="K142" s="210"/>
    </row>
    <row r="143" spans="1:11" s="1" customFormat="1" ht="15" customHeight="1" x14ac:dyDescent="0.3">
      <c r="A143" s="199"/>
      <c r="B143" s="201"/>
      <c r="C143" s="202"/>
      <c r="D143" s="202"/>
      <c r="E143" s="205"/>
      <c r="F143" s="66"/>
      <c r="G143" s="66"/>
      <c r="H143" s="66"/>
      <c r="I143" s="66"/>
      <c r="J143" s="215"/>
      <c r="K143" s="210"/>
    </row>
    <row r="144" spans="1:11" s="1" customFormat="1" ht="15" customHeight="1" x14ac:dyDescent="0.3">
      <c r="A144" s="199"/>
      <c r="B144" s="201"/>
      <c r="C144" s="203"/>
      <c r="D144" s="203"/>
      <c r="E144" s="205"/>
      <c r="F144" s="66"/>
      <c r="G144" s="66"/>
      <c r="H144" s="66"/>
      <c r="I144" s="66"/>
      <c r="J144" s="215"/>
      <c r="K144" s="210"/>
    </row>
    <row r="145" spans="1:11" s="1" customFormat="1" ht="15" customHeight="1" x14ac:dyDescent="0.3">
      <c r="A145" s="199"/>
      <c r="B145" s="201"/>
      <c r="C145" s="202"/>
      <c r="D145" s="202"/>
      <c r="E145" s="205"/>
      <c r="F145" s="66"/>
      <c r="G145" s="66"/>
      <c r="H145" s="66"/>
      <c r="I145" s="66"/>
      <c r="J145" s="215"/>
      <c r="K145" s="210"/>
    </row>
    <row r="146" spans="1:11" s="1" customFormat="1" ht="15" customHeight="1" x14ac:dyDescent="0.3">
      <c r="A146" s="199"/>
      <c r="B146" s="201"/>
      <c r="C146" s="203"/>
      <c r="D146" s="203"/>
      <c r="E146" s="205"/>
      <c r="F146" s="66"/>
      <c r="G146" s="66"/>
      <c r="H146" s="66"/>
      <c r="I146" s="66"/>
      <c r="J146" s="215"/>
      <c r="K146" s="210"/>
    </row>
    <row r="147" spans="1:11" s="1" customFormat="1" ht="15" customHeight="1" x14ac:dyDescent="0.3">
      <c r="A147" s="199"/>
      <c r="B147" s="201"/>
      <c r="C147" s="202"/>
      <c r="D147" s="202"/>
      <c r="E147" s="205"/>
      <c r="F147" s="66"/>
      <c r="G147" s="66"/>
      <c r="H147" s="66"/>
      <c r="I147" s="66"/>
      <c r="J147" s="215"/>
      <c r="K147" s="210"/>
    </row>
    <row r="148" spans="1:11" s="1" customFormat="1" ht="15" customHeight="1" x14ac:dyDescent="0.3">
      <c r="A148" s="212"/>
      <c r="B148" s="213"/>
      <c r="C148" s="203"/>
      <c r="D148" s="203"/>
      <c r="E148" s="205"/>
      <c r="F148" s="66"/>
      <c r="G148" s="66"/>
      <c r="H148" s="66"/>
      <c r="I148" s="66"/>
      <c r="J148" s="216"/>
      <c r="K148" s="211"/>
    </row>
    <row r="149" spans="1:11" s="1" customFormat="1" ht="30" customHeight="1" x14ac:dyDescent="0.3">
      <c r="A149" s="184" t="s">
        <v>14</v>
      </c>
      <c r="B149" s="185"/>
      <c r="C149" s="8" t="s">
        <v>87</v>
      </c>
      <c r="D149" s="8" t="s">
        <v>86</v>
      </c>
      <c r="E149" s="8" t="s">
        <v>85</v>
      </c>
      <c r="F149" s="8" t="s">
        <v>84</v>
      </c>
      <c r="G149" s="8"/>
      <c r="H149" s="8"/>
      <c r="I149" s="8"/>
      <c r="J149" s="8" t="s">
        <v>3</v>
      </c>
      <c r="K149" s="8" t="s">
        <v>83</v>
      </c>
    </row>
    <row r="150" spans="1:11" s="1" customFormat="1" ht="15" customHeight="1" x14ac:dyDescent="0.3">
      <c r="A150" s="198"/>
      <c r="B150" s="200"/>
      <c r="C150" s="202"/>
      <c r="D150" s="202"/>
      <c r="E150" s="204"/>
      <c r="F150" s="66"/>
      <c r="G150" s="66"/>
      <c r="H150" s="66"/>
      <c r="I150" s="66"/>
      <c r="J150" s="214"/>
      <c r="K150" s="209"/>
    </row>
    <row r="151" spans="1:11" s="1" customFormat="1" ht="15" customHeight="1" x14ac:dyDescent="0.3">
      <c r="A151" s="199"/>
      <c r="B151" s="201"/>
      <c r="C151" s="203"/>
      <c r="D151" s="203"/>
      <c r="E151" s="205"/>
      <c r="F151" s="66"/>
      <c r="G151" s="66"/>
      <c r="H151" s="66"/>
      <c r="I151" s="66"/>
      <c r="J151" s="215"/>
      <c r="K151" s="210"/>
    </row>
    <row r="152" spans="1:11" s="1" customFormat="1" ht="15" customHeight="1" x14ac:dyDescent="0.3">
      <c r="A152" s="199"/>
      <c r="B152" s="201"/>
      <c r="C152" s="202"/>
      <c r="D152" s="202"/>
      <c r="E152" s="205"/>
      <c r="F152" s="66"/>
      <c r="G152" s="66"/>
      <c r="H152" s="66"/>
      <c r="I152" s="66"/>
      <c r="J152" s="215"/>
      <c r="K152" s="210"/>
    </row>
    <row r="153" spans="1:11" s="1" customFormat="1" ht="15" customHeight="1" x14ac:dyDescent="0.3">
      <c r="A153" s="199"/>
      <c r="B153" s="201"/>
      <c r="C153" s="203"/>
      <c r="D153" s="203"/>
      <c r="E153" s="205"/>
      <c r="F153" s="66"/>
      <c r="G153" s="66"/>
      <c r="H153" s="66"/>
      <c r="I153" s="66"/>
      <c r="J153" s="215"/>
      <c r="K153" s="210"/>
    </row>
    <row r="154" spans="1:11" s="1" customFormat="1" ht="15" customHeight="1" x14ac:dyDescent="0.3">
      <c r="A154" s="199"/>
      <c r="B154" s="201"/>
      <c r="C154" s="202"/>
      <c r="D154" s="202"/>
      <c r="E154" s="205"/>
      <c r="F154" s="66"/>
      <c r="G154" s="66"/>
      <c r="H154" s="66"/>
      <c r="I154" s="66"/>
      <c r="J154" s="215"/>
      <c r="K154" s="210"/>
    </row>
    <row r="155" spans="1:11" s="1" customFormat="1" ht="15" customHeight="1" x14ac:dyDescent="0.3">
      <c r="A155" s="199"/>
      <c r="B155" s="201"/>
      <c r="C155" s="203"/>
      <c r="D155" s="203"/>
      <c r="E155" s="205"/>
      <c r="F155" s="66"/>
      <c r="G155" s="66"/>
      <c r="H155" s="66"/>
      <c r="I155" s="66"/>
      <c r="J155" s="215"/>
      <c r="K155" s="210"/>
    </row>
    <row r="156" spans="1:11" s="1" customFormat="1" ht="15" customHeight="1" x14ac:dyDescent="0.3">
      <c r="A156" s="199"/>
      <c r="B156" s="201"/>
      <c r="C156" s="202"/>
      <c r="D156" s="202"/>
      <c r="E156" s="205"/>
      <c r="F156" s="66"/>
      <c r="G156" s="66"/>
      <c r="H156" s="66"/>
      <c r="I156" s="66"/>
      <c r="J156" s="215"/>
      <c r="K156" s="210"/>
    </row>
    <row r="157" spans="1:11" s="1" customFormat="1" ht="15" customHeight="1" x14ac:dyDescent="0.3">
      <c r="A157" s="212"/>
      <c r="B157" s="213"/>
      <c r="C157" s="203"/>
      <c r="D157" s="203"/>
      <c r="E157" s="205"/>
      <c r="F157" s="66"/>
      <c r="G157" s="66"/>
      <c r="H157" s="66"/>
      <c r="I157" s="66"/>
      <c r="J157" s="216"/>
      <c r="K157" s="211"/>
    </row>
    <row r="158" spans="1:11" s="1" customFormat="1" ht="15" customHeight="1" x14ac:dyDescent="0.3">
      <c r="A158" s="198"/>
      <c r="B158" s="200"/>
      <c r="C158" s="202"/>
      <c r="D158" s="202"/>
      <c r="E158" s="204"/>
      <c r="F158" s="66"/>
      <c r="G158" s="66"/>
      <c r="H158" s="66"/>
      <c r="I158" s="66"/>
      <c r="J158" s="214"/>
      <c r="K158" s="209"/>
    </row>
    <row r="159" spans="1:11" s="1" customFormat="1" ht="15" customHeight="1" x14ac:dyDescent="0.3">
      <c r="A159" s="199"/>
      <c r="B159" s="201"/>
      <c r="C159" s="203"/>
      <c r="D159" s="203"/>
      <c r="E159" s="205"/>
      <c r="F159" s="66"/>
      <c r="G159" s="66"/>
      <c r="H159" s="66"/>
      <c r="I159" s="66"/>
      <c r="J159" s="215"/>
      <c r="K159" s="210"/>
    </row>
    <row r="160" spans="1:11" s="1" customFormat="1" ht="15" customHeight="1" x14ac:dyDescent="0.3">
      <c r="A160" s="199"/>
      <c r="B160" s="201"/>
      <c r="C160" s="202"/>
      <c r="D160" s="202"/>
      <c r="E160" s="205"/>
      <c r="F160" s="66"/>
      <c r="G160" s="66"/>
      <c r="H160" s="66"/>
      <c r="I160" s="66"/>
      <c r="J160" s="215"/>
      <c r="K160" s="210"/>
    </row>
    <row r="161" spans="1:11" s="1" customFormat="1" ht="15" customHeight="1" x14ac:dyDescent="0.3">
      <c r="A161" s="199"/>
      <c r="B161" s="201"/>
      <c r="C161" s="203"/>
      <c r="D161" s="203"/>
      <c r="E161" s="205"/>
      <c r="F161" s="66"/>
      <c r="G161" s="66"/>
      <c r="H161" s="66"/>
      <c r="I161" s="66"/>
      <c r="J161" s="215"/>
      <c r="K161" s="210"/>
    </row>
    <row r="162" spans="1:11" s="1" customFormat="1" ht="15" customHeight="1" x14ac:dyDescent="0.3">
      <c r="A162" s="199"/>
      <c r="B162" s="201"/>
      <c r="C162" s="202"/>
      <c r="D162" s="202"/>
      <c r="E162" s="205"/>
      <c r="F162" s="66"/>
      <c r="G162" s="66"/>
      <c r="H162" s="66"/>
      <c r="I162" s="66"/>
      <c r="J162" s="215"/>
      <c r="K162" s="210"/>
    </row>
    <row r="163" spans="1:11" s="1" customFormat="1" ht="15" customHeight="1" x14ac:dyDescent="0.3">
      <c r="A163" s="199"/>
      <c r="B163" s="201"/>
      <c r="C163" s="203"/>
      <c r="D163" s="203"/>
      <c r="E163" s="205"/>
      <c r="F163" s="66"/>
      <c r="G163" s="66"/>
      <c r="H163" s="66"/>
      <c r="I163" s="66"/>
      <c r="J163" s="215"/>
      <c r="K163" s="210"/>
    </row>
    <row r="164" spans="1:11" s="1" customFormat="1" ht="15" customHeight="1" x14ac:dyDescent="0.3">
      <c r="A164" s="199"/>
      <c r="B164" s="201"/>
      <c r="C164" s="202"/>
      <c r="D164" s="202"/>
      <c r="E164" s="205"/>
      <c r="F164" s="66"/>
      <c r="G164" s="66"/>
      <c r="H164" s="66"/>
      <c r="I164" s="66"/>
      <c r="J164" s="215"/>
      <c r="K164" s="210"/>
    </row>
    <row r="165" spans="1:11" s="1" customFormat="1" ht="15" customHeight="1" x14ac:dyDescent="0.3">
      <c r="A165" s="212"/>
      <c r="B165" s="213"/>
      <c r="C165" s="203"/>
      <c r="D165" s="203"/>
      <c r="E165" s="205"/>
      <c r="F165" s="66"/>
      <c r="G165" s="66"/>
      <c r="H165" s="66"/>
      <c r="I165" s="66"/>
      <c r="J165" s="216"/>
      <c r="K165" s="211"/>
    </row>
    <row r="166" spans="1:11" s="1" customFormat="1" ht="15" customHeight="1" x14ac:dyDescent="0.3">
      <c r="A166" s="198"/>
      <c r="B166" s="200"/>
      <c r="C166" s="202"/>
      <c r="D166" s="202"/>
      <c r="E166" s="204"/>
      <c r="F166" s="66"/>
      <c r="G166" s="66"/>
      <c r="H166" s="66"/>
      <c r="I166" s="66"/>
      <c r="J166" s="214"/>
      <c r="K166" s="209"/>
    </row>
    <row r="167" spans="1:11" s="1" customFormat="1" ht="15" customHeight="1" x14ac:dyDescent="0.3">
      <c r="A167" s="199"/>
      <c r="B167" s="201"/>
      <c r="C167" s="203"/>
      <c r="D167" s="203"/>
      <c r="E167" s="205"/>
      <c r="F167" s="66"/>
      <c r="G167" s="66"/>
      <c r="H167" s="66"/>
      <c r="I167" s="66"/>
      <c r="J167" s="215"/>
      <c r="K167" s="210"/>
    </row>
    <row r="168" spans="1:11" s="1" customFormat="1" ht="15" customHeight="1" x14ac:dyDescent="0.3">
      <c r="A168" s="199"/>
      <c r="B168" s="201"/>
      <c r="C168" s="202"/>
      <c r="D168" s="202"/>
      <c r="E168" s="205"/>
      <c r="F168" s="66"/>
      <c r="G168" s="66"/>
      <c r="H168" s="66"/>
      <c r="I168" s="66"/>
      <c r="J168" s="215"/>
      <c r="K168" s="210"/>
    </row>
    <row r="169" spans="1:11" s="1" customFormat="1" ht="15" customHeight="1" x14ac:dyDescent="0.3">
      <c r="A169" s="199"/>
      <c r="B169" s="201"/>
      <c r="C169" s="203"/>
      <c r="D169" s="203"/>
      <c r="E169" s="205"/>
      <c r="F169" s="66"/>
      <c r="G169" s="66"/>
      <c r="H169" s="66"/>
      <c r="I169" s="66"/>
      <c r="J169" s="215"/>
      <c r="K169" s="210"/>
    </row>
    <row r="170" spans="1:11" s="1" customFormat="1" ht="15" customHeight="1" x14ac:dyDescent="0.3">
      <c r="A170" s="199"/>
      <c r="B170" s="201"/>
      <c r="C170" s="202"/>
      <c r="D170" s="202"/>
      <c r="E170" s="205"/>
      <c r="F170" s="66"/>
      <c r="G170" s="66"/>
      <c r="H170" s="66"/>
      <c r="I170" s="66"/>
      <c r="J170" s="215"/>
      <c r="K170" s="210"/>
    </row>
    <row r="171" spans="1:11" s="1" customFormat="1" ht="15" customHeight="1" x14ac:dyDescent="0.3">
      <c r="A171" s="199"/>
      <c r="B171" s="201"/>
      <c r="C171" s="203"/>
      <c r="D171" s="203"/>
      <c r="E171" s="205"/>
      <c r="F171" s="66"/>
      <c r="G171" s="66"/>
      <c r="H171" s="66"/>
      <c r="I171" s="66"/>
      <c r="J171" s="215"/>
      <c r="K171" s="210"/>
    </row>
    <row r="172" spans="1:11" s="1" customFormat="1" ht="15" customHeight="1" x14ac:dyDescent="0.3">
      <c r="A172" s="199"/>
      <c r="B172" s="201"/>
      <c r="C172" s="202"/>
      <c r="D172" s="202"/>
      <c r="E172" s="205"/>
      <c r="F172" s="66"/>
      <c r="G172" s="66"/>
      <c r="H172" s="66"/>
      <c r="I172" s="66"/>
      <c r="J172" s="215"/>
      <c r="K172" s="210"/>
    </row>
    <row r="173" spans="1:11" s="1" customFormat="1" ht="15" customHeight="1" x14ac:dyDescent="0.3">
      <c r="A173" s="212"/>
      <c r="B173" s="213"/>
      <c r="C173" s="203"/>
      <c r="D173" s="203"/>
      <c r="E173" s="205"/>
      <c r="F173" s="66"/>
      <c r="G173" s="66"/>
      <c r="H173" s="66"/>
      <c r="I173" s="66"/>
      <c r="J173" s="216"/>
      <c r="K173" s="211"/>
    </row>
    <row r="174" spans="1:11" s="1" customFormat="1" ht="15" customHeight="1" x14ac:dyDescent="0.3">
      <c r="A174" s="198"/>
      <c r="B174" s="200"/>
      <c r="C174" s="202"/>
      <c r="D174" s="209"/>
      <c r="E174" s="204"/>
      <c r="F174" s="66"/>
      <c r="G174" s="66"/>
      <c r="H174" s="66"/>
      <c r="I174" s="66"/>
      <c r="J174" s="214"/>
      <c r="K174" s="209"/>
    </row>
    <row r="175" spans="1:11" s="1" customFormat="1" ht="15" customHeight="1" x14ac:dyDescent="0.3">
      <c r="A175" s="199"/>
      <c r="B175" s="201"/>
      <c r="C175" s="203"/>
      <c r="D175" s="211"/>
      <c r="E175" s="205"/>
      <c r="F175" s="66"/>
      <c r="G175" s="66"/>
      <c r="H175" s="66"/>
      <c r="I175" s="66"/>
      <c r="J175" s="215"/>
      <c r="K175" s="210"/>
    </row>
    <row r="176" spans="1:11" s="1" customFormat="1" ht="15" customHeight="1" x14ac:dyDescent="0.3">
      <c r="A176" s="199"/>
      <c r="B176" s="201"/>
      <c r="C176" s="202"/>
      <c r="D176" s="209"/>
      <c r="E176" s="205"/>
      <c r="F176" s="66"/>
      <c r="G176" s="66"/>
      <c r="H176" s="66"/>
      <c r="I176" s="66"/>
      <c r="J176" s="215"/>
      <c r="K176" s="210"/>
    </row>
    <row r="177" spans="1:11" s="1" customFormat="1" ht="15" customHeight="1" x14ac:dyDescent="0.3">
      <c r="A177" s="199"/>
      <c r="B177" s="201"/>
      <c r="C177" s="203"/>
      <c r="D177" s="211"/>
      <c r="E177" s="205"/>
      <c r="F177" s="66"/>
      <c r="G177" s="66"/>
      <c r="H177" s="66"/>
      <c r="I177" s="66"/>
      <c r="J177" s="215"/>
      <c r="K177" s="210"/>
    </row>
    <row r="178" spans="1:11" s="1" customFormat="1" ht="15" customHeight="1" x14ac:dyDescent="0.3">
      <c r="A178" s="199"/>
      <c r="B178" s="201"/>
      <c r="C178" s="202"/>
      <c r="D178" s="209"/>
      <c r="E178" s="205"/>
      <c r="F178" s="66"/>
      <c r="G178" s="66"/>
      <c r="H178" s="66"/>
      <c r="I178" s="66"/>
      <c r="J178" s="215"/>
      <c r="K178" s="210"/>
    </row>
    <row r="179" spans="1:11" s="1" customFormat="1" ht="15" customHeight="1" x14ac:dyDescent="0.3">
      <c r="A179" s="199"/>
      <c r="B179" s="201"/>
      <c r="C179" s="203"/>
      <c r="D179" s="211"/>
      <c r="E179" s="205"/>
      <c r="F179" s="66"/>
      <c r="G179" s="66"/>
      <c r="H179" s="66"/>
      <c r="I179" s="66"/>
      <c r="J179" s="215"/>
      <c r="K179" s="210"/>
    </row>
    <row r="180" spans="1:11" s="1" customFormat="1" ht="15" customHeight="1" x14ac:dyDescent="0.3">
      <c r="A180" s="199"/>
      <c r="B180" s="201"/>
      <c r="C180" s="202"/>
      <c r="D180" s="209"/>
      <c r="E180" s="205"/>
      <c r="F180" s="66"/>
      <c r="G180" s="66"/>
      <c r="H180" s="66"/>
      <c r="I180" s="66"/>
      <c r="J180" s="215"/>
      <c r="K180" s="210"/>
    </row>
    <row r="181" spans="1:11" s="1" customFormat="1" ht="15" customHeight="1" x14ac:dyDescent="0.3">
      <c r="A181" s="212"/>
      <c r="B181" s="213"/>
      <c r="C181" s="203"/>
      <c r="D181" s="211"/>
      <c r="E181" s="225"/>
      <c r="F181" s="66"/>
      <c r="G181" s="66"/>
      <c r="H181" s="66"/>
      <c r="I181" s="66"/>
      <c r="J181" s="216"/>
      <c r="K181" s="211"/>
    </row>
    <row r="182" spans="1:11" x14ac:dyDescent="0.3"/>
    <row r="183" spans="1:11" s="5" customFormat="1" x14ac:dyDescent="0.3">
      <c r="D183" s="1"/>
      <c r="E183" s="1"/>
      <c r="F183" s="61"/>
      <c r="G183" s="6"/>
      <c r="H183" s="6"/>
      <c r="I183" s="6"/>
    </row>
    <row r="184" spans="1:11" s="5" customFormat="1" x14ac:dyDescent="0.3">
      <c r="B184" s="62" t="e">
        <f>B89</f>
        <v>#REF!</v>
      </c>
      <c r="D184" s="1"/>
      <c r="E184" s="1"/>
      <c r="F184" s="61" t="e">
        <f>"Bandung Barat,      Januari "&amp;MID(#REF!,6,4)</f>
        <v>#REF!</v>
      </c>
      <c r="G184" s="6"/>
      <c r="H184" s="6"/>
      <c r="I184" s="6"/>
    </row>
    <row r="185" spans="1:11" s="5" customFormat="1" x14ac:dyDescent="0.3">
      <c r="B185" s="62" t="e">
        <f>B90</f>
        <v>#REF!</v>
      </c>
      <c r="D185" s="1"/>
      <c r="E185" s="1"/>
      <c r="F185" s="61" t="e">
        <f>F90</f>
        <v>#REF!</v>
      </c>
      <c r="G185" s="6"/>
      <c r="H185" s="6"/>
      <c r="I185" s="6"/>
    </row>
    <row r="186" spans="1:11" s="5" customFormat="1" x14ac:dyDescent="0.3">
      <c r="B186" s="2"/>
      <c r="D186" s="1"/>
      <c r="E186" s="1"/>
      <c r="F186" s="61"/>
      <c r="G186" s="6"/>
      <c r="H186" s="6"/>
      <c r="I186" s="6"/>
    </row>
    <row r="187" spans="1:11" s="5" customFormat="1" x14ac:dyDescent="0.3">
      <c r="B187" s="2"/>
      <c r="D187" s="1"/>
      <c r="E187" s="1"/>
      <c r="F187" s="61"/>
      <c r="G187" s="6"/>
      <c r="H187" s="6"/>
      <c r="I187" s="6"/>
    </row>
    <row r="188" spans="1:11" s="5" customFormat="1" x14ac:dyDescent="0.3">
      <c r="B188" s="2"/>
      <c r="D188" s="1"/>
      <c r="E188" s="1"/>
      <c r="F188" s="61"/>
      <c r="G188" s="6"/>
      <c r="H188" s="6"/>
      <c r="I188" s="6"/>
    </row>
    <row r="189" spans="1:11" s="5" customFormat="1" x14ac:dyDescent="0.3">
      <c r="B189" s="65" t="e">
        <f>B94</f>
        <v>#REF!</v>
      </c>
      <c r="D189" s="64"/>
      <c r="E189" s="64"/>
      <c r="F189" s="63" t="e">
        <f>F94</f>
        <v>#REF!</v>
      </c>
      <c r="G189" s="7"/>
      <c r="H189" s="7"/>
      <c r="I189" s="7"/>
    </row>
    <row r="190" spans="1:11" s="5" customFormat="1" x14ac:dyDescent="0.3">
      <c r="B190" s="62" t="e">
        <f>B95</f>
        <v>#REF!</v>
      </c>
      <c r="D190" s="1"/>
      <c r="E190" s="1"/>
      <c r="F190" s="61" t="e">
        <f>F95</f>
        <v>#REF!</v>
      </c>
      <c r="G190" s="6"/>
      <c r="H190" s="6"/>
      <c r="I190" s="6"/>
    </row>
    <row r="191" spans="1:11" x14ac:dyDescent="0.3"/>
    <row r="192" spans="1:11" ht="15" hidden="1" customHeight="1" x14ac:dyDescent="0.3"/>
    <row r="193" ht="15" hidden="1" customHeight="1" x14ac:dyDescent="0.3"/>
    <row r="194" ht="15" hidden="1" customHeight="1" x14ac:dyDescent="0.3"/>
    <row r="195" ht="15" hidden="1" customHeight="1" x14ac:dyDescent="0.3"/>
    <row r="196" ht="15" hidden="1" customHeight="1" x14ac:dyDescent="0.3"/>
    <row r="197" ht="15" hidden="1" customHeight="1" x14ac:dyDescent="0.3"/>
    <row r="198" ht="15" hidden="1" customHeight="1" x14ac:dyDescent="0.3"/>
    <row r="199" ht="15" hidden="1" customHeight="1" x14ac:dyDescent="0.3"/>
    <row r="200" ht="15" hidden="1" customHeight="1" x14ac:dyDescent="0.3"/>
    <row r="201" ht="15" hidden="1" customHeight="1" x14ac:dyDescent="0.3"/>
    <row r="202" ht="15" hidden="1" customHeight="1" x14ac:dyDescent="0.3"/>
    <row r="203" ht="15" hidden="1" customHeight="1" x14ac:dyDescent="0.3"/>
    <row r="204" ht="15" hidden="1" customHeight="1" x14ac:dyDescent="0.3"/>
    <row r="205" ht="15" hidden="1" customHeight="1" x14ac:dyDescent="0.3"/>
    <row r="206" ht="15" hidden="1" customHeight="1" x14ac:dyDescent="0.3"/>
    <row r="207" ht="15" hidden="1" customHeight="1" x14ac:dyDescent="0.3"/>
    <row r="208" ht="15" hidden="1" customHeight="1" x14ac:dyDescent="0.3"/>
    <row r="209" ht="15" hidden="1" customHeight="1" x14ac:dyDescent="0.3"/>
    <row r="210" ht="15" hidden="1" customHeight="1" x14ac:dyDescent="0.3"/>
    <row r="211" ht="15" hidden="1" customHeight="1" x14ac:dyDescent="0.3"/>
    <row r="212" ht="15" hidden="1" customHeight="1" x14ac:dyDescent="0.3"/>
    <row r="213" ht="15" hidden="1" customHeight="1" x14ac:dyDescent="0.3"/>
    <row r="214" ht="15" hidden="1" customHeight="1" x14ac:dyDescent="0.3"/>
    <row r="215" ht="15" hidden="1" customHeight="1" x14ac:dyDescent="0.3"/>
    <row r="216" ht="15" hidden="1" customHeight="1" x14ac:dyDescent="0.3"/>
    <row r="217" ht="15" hidden="1" customHeight="1" x14ac:dyDescent="0.3"/>
    <row r="218" ht="15" hidden="1" customHeight="1" x14ac:dyDescent="0.3"/>
    <row r="219" ht="15" hidden="1" customHeight="1" x14ac:dyDescent="0.3"/>
    <row r="220" ht="15" hidden="1" customHeight="1" x14ac:dyDescent="0.3"/>
    <row r="221" ht="15" hidden="1" customHeight="1" x14ac:dyDescent="0.3"/>
    <row r="222" ht="15" hidden="1" customHeight="1" x14ac:dyDescent="0.3"/>
    <row r="223" ht="15" hidden="1" customHeight="1" x14ac:dyDescent="0.3"/>
    <row r="224" ht="15" hidden="1" customHeight="1" x14ac:dyDescent="0.3"/>
    <row r="225" ht="15" hidden="1" customHeight="1" x14ac:dyDescent="0.3"/>
    <row r="226" ht="15" hidden="1" customHeight="1" x14ac:dyDescent="0.3"/>
    <row r="227" ht="15" hidden="1" customHeight="1" x14ac:dyDescent="0.3"/>
    <row r="228" ht="15" hidden="1" customHeight="1" x14ac:dyDescent="0.3"/>
    <row r="229" ht="15" hidden="1" customHeight="1" x14ac:dyDescent="0.3"/>
    <row r="230" ht="15" hidden="1" customHeight="1" x14ac:dyDescent="0.3"/>
    <row r="231" ht="15" hidden="1" customHeight="1" x14ac:dyDescent="0.3"/>
    <row r="232" ht="15" hidden="1" customHeight="1" x14ac:dyDescent="0.3"/>
    <row r="233" ht="15" hidden="1" customHeight="1" x14ac:dyDescent="0.3"/>
    <row r="234" ht="15" hidden="1" customHeight="1" x14ac:dyDescent="0.3"/>
    <row r="235" ht="15" hidden="1" customHeight="1" x14ac:dyDescent="0.3"/>
    <row r="236" ht="15" hidden="1" customHeight="1" x14ac:dyDescent="0.3"/>
    <row r="237" ht="15" hidden="1" customHeight="1" x14ac:dyDescent="0.3"/>
    <row r="238" ht="15" hidden="1" customHeight="1" x14ac:dyDescent="0.3"/>
    <row r="239" ht="15" hidden="1" customHeight="1" x14ac:dyDescent="0.3"/>
    <row r="240" ht="15" hidden="1" customHeight="1" x14ac:dyDescent="0.3"/>
    <row r="241" ht="15" hidden="1" customHeight="1" x14ac:dyDescent="0.3"/>
    <row r="242" ht="15" hidden="1" customHeight="1" x14ac:dyDescent="0.3"/>
    <row r="243" ht="15" hidden="1" customHeight="1" x14ac:dyDescent="0.3"/>
    <row r="244" ht="15" hidden="1" customHeight="1" x14ac:dyDescent="0.3"/>
    <row r="245" ht="15" hidden="1" customHeight="1" x14ac:dyDescent="0.3"/>
    <row r="246" ht="15" hidden="1" customHeight="1" x14ac:dyDescent="0.3"/>
    <row r="247" ht="15" hidden="1" customHeight="1" x14ac:dyDescent="0.3"/>
    <row r="248" ht="15" hidden="1" customHeight="1" x14ac:dyDescent="0.3"/>
    <row r="249" ht="15" hidden="1" customHeight="1" x14ac:dyDescent="0.3"/>
    <row r="250" ht="15" hidden="1" customHeight="1" x14ac:dyDescent="0.3"/>
    <row r="251" ht="15" hidden="1" customHeight="1" x14ac:dyDescent="0.3"/>
    <row r="252" ht="15" hidden="1" customHeight="1" x14ac:dyDescent="0.3"/>
    <row r="253" ht="15" hidden="1" customHeight="1" x14ac:dyDescent="0.3"/>
    <row r="254" ht="15" hidden="1" customHeight="1" x14ac:dyDescent="0.3"/>
    <row r="255" ht="15" hidden="1" customHeight="1" x14ac:dyDescent="0.3"/>
    <row r="256" ht="15" hidden="1" customHeight="1" x14ac:dyDescent="0.3"/>
    <row r="257" ht="15" hidden="1" customHeight="1" x14ac:dyDescent="0.3"/>
    <row r="258" ht="15" hidden="1" customHeight="1" x14ac:dyDescent="0.3"/>
    <row r="259" ht="15" hidden="1" customHeight="1" x14ac:dyDescent="0.3"/>
    <row r="260" ht="15" hidden="1" customHeight="1" x14ac:dyDescent="0.3"/>
    <row r="261" ht="15" hidden="1" customHeight="1" x14ac:dyDescent="0.3"/>
    <row r="262" ht="15" hidden="1" customHeight="1" x14ac:dyDescent="0.3"/>
    <row r="263" ht="15" hidden="1" customHeight="1" x14ac:dyDescent="0.3"/>
    <row r="264" ht="15" hidden="1" customHeight="1" x14ac:dyDescent="0.3"/>
    <row r="265" ht="15" hidden="1" customHeight="1" x14ac:dyDescent="0.3"/>
    <row r="266" ht="15" hidden="1" customHeight="1" x14ac:dyDescent="0.3"/>
    <row r="267" ht="15" hidden="1" customHeight="1" x14ac:dyDescent="0.3"/>
    <row r="268" ht="15" hidden="1" customHeight="1" x14ac:dyDescent="0.3"/>
    <row r="269" ht="15" hidden="1" customHeight="1" x14ac:dyDescent="0.3"/>
    <row r="270" ht="15" hidden="1" customHeight="1" x14ac:dyDescent="0.3"/>
    <row r="271" ht="15" hidden="1" customHeight="1" x14ac:dyDescent="0.3"/>
    <row r="272" ht="15" hidden="1" customHeight="1" x14ac:dyDescent="0.3"/>
    <row r="273" ht="15" hidden="1" customHeight="1" x14ac:dyDescent="0.3"/>
    <row r="274" ht="15" hidden="1" customHeight="1" x14ac:dyDescent="0.3"/>
    <row r="275" ht="15" hidden="1" customHeight="1" x14ac:dyDescent="0.3"/>
    <row r="276" ht="15" hidden="1" customHeight="1" x14ac:dyDescent="0.3"/>
    <row r="277" ht="15" hidden="1" customHeight="1" x14ac:dyDescent="0.3"/>
    <row r="278" ht="15" hidden="1" customHeight="1" x14ac:dyDescent="0.3"/>
    <row r="279" ht="15" hidden="1" customHeight="1" x14ac:dyDescent="0.3"/>
    <row r="280" ht="15" hidden="1" customHeight="1" x14ac:dyDescent="0.3"/>
    <row r="281" ht="15" hidden="1" customHeight="1" x14ac:dyDescent="0.3"/>
    <row r="282" ht="15" hidden="1" customHeight="1" x14ac:dyDescent="0.3"/>
    <row r="283" ht="15" hidden="1" customHeight="1" x14ac:dyDescent="0.3"/>
    <row r="284" ht="15" hidden="1" customHeight="1" x14ac:dyDescent="0.3"/>
    <row r="285" ht="15" hidden="1" customHeight="1" x14ac:dyDescent="0.3"/>
    <row r="286" ht="15" hidden="1" customHeight="1" x14ac:dyDescent="0.3"/>
    <row r="287" ht="15" hidden="1" customHeight="1" x14ac:dyDescent="0.3"/>
    <row r="288" ht="15" hidden="1" customHeight="1" x14ac:dyDescent="0.3"/>
    <row r="289" ht="15" hidden="1" customHeight="1" x14ac:dyDescent="0.3"/>
    <row r="290" ht="15" hidden="1" customHeight="1" x14ac:dyDescent="0.3"/>
    <row r="291" ht="15" hidden="1" customHeight="1" x14ac:dyDescent="0.3"/>
    <row r="292" ht="15" hidden="1" customHeight="1" x14ac:dyDescent="0.3"/>
    <row r="293" ht="15" hidden="1" customHeight="1" x14ac:dyDescent="0.3"/>
    <row r="294" ht="15" hidden="1" customHeight="1" x14ac:dyDescent="0.3"/>
    <row r="295" ht="15" hidden="1" customHeight="1" x14ac:dyDescent="0.3"/>
    <row r="296" ht="15" hidden="1" customHeight="1" x14ac:dyDescent="0.3"/>
    <row r="297" ht="15" hidden="1" customHeight="1" x14ac:dyDescent="0.3"/>
    <row r="298" ht="15" hidden="1" customHeight="1" x14ac:dyDescent="0.3"/>
    <row r="299" ht="15" hidden="1" customHeight="1" x14ac:dyDescent="0.3"/>
    <row r="300" ht="15" hidden="1" customHeight="1" x14ac:dyDescent="0.3"/>
    <row r="301" ht="15" hidden="1" customHeight="1" x14ac:dyDescent="0.3"/>
    <row r="302" ht="15" hidden="1" customHeight="1" x14ac:dyDescent="0.3"/>
    <row r="303" ht="15" hidden="1" customHeight="1" x14ac:dyDescent="0.3"/>
    <row r="304" ht="15" hidden="1" customHeight="1" x14ac:dyDescent="0.3"/>
    <row r="305" ht="15" hidden="1" customHeight="1" x14ac:dyDescent="0.3"/>
    <row r="306" ht="15" hidden="1" customHeight="1" x14ac:dyDescent="0.3"/>
    <row r="307" ht="15" hidden="1" customHeight="1" x14ac:dyDescent="0.3"/>
    <row r="308" ht="15" hidden="1" customHeight="1" x14ac:dyDescent="0.3"/>
    <row r="309" ht="15" hidden="1" customHeight="1" x14ac:dyDescent="0.3"/>
    <row r="310" ht="15" hidden="1" customHeight="1" x14ac:dyDescent="0.3"/>
    <row r="311" ht="15" hidden="1" customHeight="1" x14ac:dyDescent="0.3"/>
    <row r="312" ht="15" hidden="1" customHeight="1" x14ac:dyDescent="0.3"/>
    <row r="313" ht="15" hidden="1" customHeight="1" x14ac:dyDescent="0.3"/>
    <row r="314" ht="15" hidden="1" customHeight="1" x14ac:dyDescent="0.3"/>
    <row r="315" ht="15" hidden="1" customHeight="1" x14ac:dyDescent="0.3"/>
    <row r="316" ht="15" hidden="1" customHeight="1" x14ac:dyDescent="0.3"/>
    <row r="317" ht="15" hidden="1" customHeight="1" x14ac:dyDescent="0.3"/>
    <row r="318" ht="15" hidden="1" customHeight="1" x14ac:dyDescent="0.3"/>
    <row r="319" ht="15" hidden="1" customHeight="1" x14ac:dyDescent="0.3"/>
    <row r="320" ht="15" hidden="1" customHeight="1" x14ac:dyDescent="0.3"/>
    <row r="321" ht="15" hidden="1" customHeight="1" x14ac:dyDescent="0.3"/>
    <row r="322" ht="15" hidden="1" customHeight="1" x14ac:dyDescent="0.3"/>
    <row r="323" ht="15" hidden="1" customHeight="1" x14ac:dyDescent="0.3"/>
    <row r="324" ht="15" hidden="1" customHeight="1" x14ac:dyDescent="0.3"/>
    <row r="325" ht="15" hidden="1" customHeight="1" x14ac:dyDescent="0.3"/>
    <row r="326" ht="15" hidden="1" customHeight="1" x14ac:dyDescent="0.3"/>
    <row r="327" ht="15" hidden="1" customHeight="1" x14ac:dyDescent="0.3"/>
    <row r="328" ht="15" hidden="1" customHeight="1" x14ac:dyDescent="0.3"/>
    <row r="329" ht="15" hidden="1" customHeight="1" x14ac:dyDescent="0.3"/>
    <row r="330" ht="15" hidden="1" customHeight="1" x14ac:dyDescent="0.3"/>
    <row r="331" ht="15" hidden="1" customHeight="1" x14ac:dyDescent="0.3"/>
    <row r="332" ht="15" hidden="1" customHeight="1" x14ac:dyDescent="0.3"/>
    <row r="333" ht="15" hidden="1" customHeight="1" x14ac:dyDescent="0.3"/>
    <row r="334" ht="15" hidden="1" customHeight="1" x14ac:dyDescent="0.3"/>
    <row r="335" ht="15" hidden="1" customHeight="1" x14ac:dyDescent="0.3"/>
    <row r="336" ht="15" hidden="1" customHeight="1" x14ac:dyDescent="0.3"/>
    <row r="337" ht="15" hidden="1" customHeight="1" x14ac:dyDescent="0.3"/>
    <row r="338" ht="15" hidden="1" customHeight="1" x14ac:dyDescent="0.3"/>
    <row r="339" ht="15" hidden="1" customHeight="1" x14ac:dyDescent="0.3"/>
    <row r="340" ht="15" hidden="1" customHeight="1" x14ac:dyDescent="0.3"/>
    <row r="341" ht="15" hidden="1" customHeight="1" x14ac:dyDescent="0.3"/>
    <row r="342" ht="15" hidden="1" customHeight="1" x14ac:dyDescent="0.3"/>
    <row r="343" ht="15" hidden="1" customHeight="1" x14ac:dyDescent="0.3"/>
    <row r="344" ht="15" hidden="1" customHeight="1" x14ac:dyDescent="0.3"/>
    <row r="345" ht="15" hidden="1" customHeight="1" x14ac:dyDescent="0.3"/>
    <row r="346" ht="15" hidden="1" customHeight="1" x14ac:dyDescent="0.3"/>
    <row r="347" ht="15" hidden="1" customHeight="1" x14ac:dyDescent="0.3"/>
    <row r="348" ht="15" hidden="1" customHeight="1" x14ac:dyDescent="0.3"/>
    <row r="349" ht="15" hidden="1" customHeight="1" x14ac:dyDescent="0.3"/>
    <row r="350" ht="15" hidden="1" customHeight="1" x14ac:dyDescent="0.3"/>
    <row r="351" ht="15" hidden="1" customHeight="1" x14ac:dyDescent="0.3"/>
    <row r="352" ht="15" hidden="1" customHeight="1" x14ac:dyDescent="0.3"/>
    <row r="353" ht="15" hidden="1" customHeight="1" x14ac:dyDescent="0.3"/>
    <row r="354" ht="15" hidden="1" customHeight="1" x14ac:dyDescent="0.3"/>
    <row r="355" ht="15" hidden="1" customHeight="1" x14ac:dyDescent="0.3"/>
    <row r="356" ht="15" hidden="1" customHeight="1" x14ac:dyDescent="0.3"/>
    <row r="357" ht="15" hidden="1" customHeight="1" x14ac:dyDescent="0.3"/>
    <row r="358" ht="15" hidden="1" customHeight="1" x14ac:dyDescent="0.3"/>
    <row r="359" ht="15" hidden="1" customHeight="1" x14ac:dyDescent="0.3"/>
    <row r="360" ht="15" hidden="1" customHeight="1" x14ac:dyDescent="0.3"/>
    <row r="361" ht="15" hidden="1" customHeight="1" x14ac:dyDescent="0.3"/>
    <row r="362" ht="15" hidden="1" customHeight="1" x14ac:dyDescent="0.3"/>
    <row r="363" ht="15" hidden="1" customHeight="1" x14ac:dyDescent="0.3"/>
    <row r="364" ht="15" hidden="1" customHeight="1" x14ac:dyDescent="0.3"/>
    <row r="365" ht="15" hidden="1" customHeight="1" x14ac:dyDescent="0.3"/>
    <row r="366" ht="15" hidden="1" customHeight="1" x14ac:dyDescent="0.3"/>
    <row r="367" ht="15" hidden="1" customHeight="1" x14ac:dyDescent="0.3"/>
    <row r="368" ht="15" hidden="1" customHeight="1" x14ac:dyDescent="0.3"/>
    <row r="369" ht="15" hidden="1" customHeight="1" x14ac:dyDescent="0.3"/>
    <row r="370" ht="15" hidden="1" customHeight="1" x14ac:dyDescent="0.3"/>
    <row r="371" ht="15" hidden="1" customHeight="1" x14ac:dyDescent="0.3"/>
    <row r="372" ht="15" hidden="1" customHeight="1" x14ac:dyDescent="0.3"/>
    <row r="373" ht="15" hidden="1" customHeight="1" x14ac:dyDescent="0.3"/>
    <row r="374" ht="15" hidden="1" customHeight="1" x14ac:dyDescent="0.3"/>
    <row r="375" ht="15" hidden="1" customHeight="1" x14ac:dyDescent="0.3"/>
    <row r="376" ht="15" hidden="1" customHeight="1" x14ac:dyDescent="0.3"/>
    <row r="377" ht="15" hidden="1" customHeight="1" x14ac:dyDescent="0.3"/>
    <row r="378" ht="15" hidden="1" customHeight="1" x14ac:dyDescent="0.3"/>
    <row r="379" ht="15" hidden="1" customHeight="1" x14ac:dyDescent="0.3"/>
    <row r="380" ht="15" hidden="1" customHeight="1" x14ac:dyDescent="0.3"/>
    <row r="381" ht="15" hidden="1" customHeight="1" x14ac:dyDescent="0.3"/>
    <row r="382" ht="15" hidden="1" customHeight="1" x14ac:dyDescent="0.3"/>
    <row r="383" ht="15" hidden="1" customHeight="1" x14ac:dyDescent="0.3"/>
    <row r="384" ht="15" hidden="1" customHeight="1" x14ac:dyDescent="0.3"/>
    <row r="385" ht="15" hidden="1" customHeight="1" x14ac:dyDescent="0.3"/>
    <row r="386" ht="15" hidden="1" customHeight="1" x14ac:dyDescent="0.3"/>
    <row r="387" ht="15" hidden="1" customHeight="1" x14ac:dyDescent="0.3"/>
    <row r="388" ht="15" hidden="1" customHeight="1" x14ac:dyDescent="0.3"/>
    <row r="389" ht="15" hidden="1" customHeight="1" x14ac:dyDescent="0.3"/>
    <row r="390" ht="15" hidden="1" customHeight="1" x14ac:dyDescent="0.3"/>
    <row r="391" ht="15" hidden="1" customHeight="1" x14ac:dyDescent="0.3"/>
    <row r="392" ht="15" hidden="1" customHeight="1" x14ac:dyDescent="0.3"/>
    <row r="393" ht="15" hidden="1" customHeight="1" x14ac:dyDescent="0.3"/>
    <row r="394" ht="15" hidden="1" customHeight="1" x14ac:dyDescent="0.3"/>
    <row r="395" ht="15" hidden="1" customHeight="1" x14ac:dyDescent="0.3"/>
    <row r="396" ht="15" hidden="1" customHeight="1" x14ac:dyDescent="0.3"/>
    <row r="397" ht="15" hidden="1" customHeight="1" x14ac:dyDescent="0.3"/>
    <row r="398" ht="15" hidden="1" customHeight="1" x14ac:dyDescent="0.3"/>
    <row r="399" ht="15" hidden="1" customHeight="1" x14ac:dyDescent="0.3"/>
    <row r="400" ht="15" hidden="1" customHeight="1" x14ac:dyDescent="0.3"/>
    <row r="401" ht="15" hidden="1" customHeight="1" x14ac:dyDescent="0.3"/>
    <row r="402" ht="15" hidden="1" customHeight="1" x14ac:dyDescent="0.3"/>
    <row r="403" ht="15" hidden="1" customHeight="1" x14ac:dyDescent="0.3"/>
    <row r="404" ht="15" hidden="1" customHeight="1" x14ac:dyDescent="0.3"/>
    <row r="405" ht="15" hidden="1" customHeight="1" x14ac:dyDescent="0.3"/>
    <row r="406" ht="15" hidden="1" customHeight="1" x14ac:dyDescent="0.3"/>
    <row r="407" ht="15" hidden="1" customHeight="1" x14ac:dyDescent="0.3"/>
    <row r="408" ht="15" hidden="1" customHeight="1" x14ac:dyDescent="0.3"/>
    <row r="409" ht="15" hidden="1" customHeight="1" x14ac:dyDescent="0.3"/>
    <row r="410" ht="15" hidden="1" customHeight="1" x14ac:dyDescent="0.3"/>
    <row r="411" ht="15" hidden="1" customHeight="1" x14ac:dyDescent="0.3"/>
    <row r="412" ht="15" hidden="1" customHeight="1" x14ac:dyDescent="0.3"/>
    <row r="413" ht="15" hidden="1" customHeight="1" x14ac:dyDescent="0.3"/>
    <row r="414" ht="15" hidden="1" customHeight="1" x14ac:dyDescent="0.3"/>
    <row r="415" ht="15" hidden="1" customHeight="1" x14ac:dyDescent="0.3"/>
    <row r="416" ht="15" hidden="1" customHeight="1" x14ac:dyDescent="0.3"/>
    <row r="417" ht="15" hidden="1" customHeight="1" x14ac:dyDescent="0.3"/>
    <row r="418" ht="15" hidden="1" customHeight="1" x14ac:dyDescent="0.3"/>
    <row r="419" ht="15" hidden="1" customHeight="1" x14ac:dyDescent="0.3"/>
    <row r="420" ht="15" hidden="1" customHeight="1" x14ac:dyDescent="0.3"/>
    <row r="421" ht="15" hidden="1" customHeight="1" x14ac:dyDescent="0.3"/>
    <row r="422" ht="15" hidden="1" customHeight="1" x14ac:dyDescent="0.3"/>
    <row r="423" ht="15" hidden="1" customHeight="1" x14ac:dyDescent="0.3"/>
    <row r="424" ht="15" hidden="1" customHeight="1" x14ac:dyDescent="0.3"/>
    <row r="425" ht="15" hidden="1" customHeight="1" x14ac:dyDescent="0.3"/>
    <row r="426" ht="15" hidden="1" customHeight="1" x14ac:dyDescent="0.3"/>
    <row r="427" ht="15" hidden="1" customHeight="1" x14ac:dyDescent="0.3"/>
    <row r="428" ht="15" hidden="1" customHeight="1" x14ac:dyDescent="0.3"/>
    <row r="429" ht="15" hidden="1" customHeight="1" x14ac:dyDescent="0.3"/>
    <row r="430" ht="15" hidden="1" customHeight="1" x14ac:dyDescent="0.3"/>
    <row r="431" ht="15" hidden="1" customHeight="1" x14ac:dyDescent="0.3"/>
    <row r="432" ht="15" hidden="1" customHeight="1" x14ac:dyDescent="0.3"/>
    <row r="433" ht="15" hidden="1" customHeight="1" x14ac:dyDescent="0.3"/>
    <row r="434" ht="15" hidden="1" customHeight="1" x14ac:dyDescent="0.3"/>
    <row r="435" ht="15" hidden="1" customHeight="1" x14ac:dyDescent="0.3"/>
    <row r="436" ht="15" hidden="1" customHeight="1" x14ac:dyDescent="0.3"/>
    <row r="437" ht="15" hidden="1" customHeight="1" x14ac:dyDescent="0.3"/>
    <row r="438" ht="15" hidden="1" customHeight="1" x14ac:dyDescent="0.3"/>
    <row r="439" ht="15" hidden="1" customHeight="1" x14ac:dyDescent="0.3"/>
    <row r="440" ht="15" hidden="1" customHeight="1" x14ac:dyDescent="0.3"/>
    <row r="441" ht="15" hidden="1" customHeight="1" x14ac:dyDescent="0.3"/>
    <row r="442" ht="15" hidden="1" customHeight="1" x14ac:dyDescent="0.3"/>
    <row r="443" ht="15" hidden="1" customHeight="1" x14ac:dyDescent="0.3"/>
    <row r="444" ht="15" hidden="1" customHeight="1" x14ac:dyDescent="0.3"/>
    <row r="445" ht="15" hidden="1" customHeight="1" x14ac:dyDescent="0.3"/>
    <row r="446" ht="15" hidden="1" customHeight="1" x14ac:dyDescent="0.3"/>
    <row r="447" ht="15" hidden="1" customHeight="1" x14ac:dyDescent="0.3"/>
    <row r="448" ht="15" hidden="1" customHeight="1" x14ac:dyDescent="0.3"/>
    <row r="449" ht="15" hidden="1" customHeight="1" x14ac:dyDescent="0.3"/>
    <row r="450" ht="15" hidden="1" customHeight="1" x14ac:dyDescent="0.3"/>
    <row r="451" ht="15" hidden="1" customHeight="1" x14ac:dyDescent="0.3"/>
    <row r="452" ht="15" hidden="1" customHeight="1" x14ac:dyDescent="0.3"/>
    <row r="453" ht="15" hidden="1" customHeight="1" x14ac:dyDescent="0.3"/>
    <row r="454" ht="15" hidden="1" customHeight="1" x14ac:dyDescent="0.3"/>
    <row r="455" ht="15" hidden="1" customHeight="1" x14ac:dyDescent="0.3"/>
    <row r="456" ht="15" hidden="1" customHeight="1" x14ac:dyDescent="0.3"/>
    <row r="457" ht="15" hidden="1" customHeight="1" x14ac:dyDescent="0.3"/>
    <row r="458" ht="15" hidden="1" customHeight="1" x14ac:dyDescent="0.3"/>
    <row r="459" ht="15" hidden="1" customHeight="1" x14ac:dyDescent="0.3"/>
    <row r="460" ht="15" hidden="1" customHeight="1" x14ac:dyDescent="0.3"/>
    <row r="461" ht="15" hidden="1" customHeight="1" x14ac:dyDescent="0.3"/>
    <row r="462" ht="15" hidden="1" customHeight="1" x14ac:dyDescent="0.3"/>
    <row r="463" ht="15" hidden="1" customHeight="1" x14ac:dyDescent="0.3"/>
    <row r="464" ht="15" hidden="1" customHeight="1" x14ac:dyDescent="0.3"/>
    <row r="465" ht="15" hidden="1" customHeight="1" x14ac:dyDescent="0.3"/>
    <row r="466" ht="15" hidden="1" customHeight="1" x14ac:dyDescent="0.3"/>
    <row r="467" ht="15" hidden="1" customHeight="1" x14ac:dyDescent="0.3"/>
    <row r="468" ht="15" hidden="1" customHeight="1" x14ac:dyDescent="0.3"/>
    <row r="469" ht="15" hidden="1" customHeight="1" x14ac:dyDescent="0.3"/>
    <row r="470" ht="15" hidden="1" customHeight="1" x14ac:dyDescent="0.3"/>
    <row r="471" ht="15" hidden="1" customHeight="1" x14ac:dyDescent="0.3"/>
    <row r="472" ht="15" hidden="1" customHeight="1" x14ac:dyDescent="0.3"/>
    <row r="473" ht="15" hidden="1" customHeight="1" x14ac:dyDescent="0.3"/>
    <row r="474" ht="15" hidden="1" customHeight="1" x14ac:dyDescent="0.3"/>
    <row r="475" ht="15" hidden="1" customHeight="1" x14ac:dyDescent="0.3"/>
    <row r="476" ht="15" hidden="1" customHeight="1" x14ac:dyDescent="0.3"/>
    <row r="477" ht="15" hidden="1" customHeight="1" x14ac:dyDescent="0.3"/>
    <row r="478" ht="15" hidden="1" customHeight="1" x14ac:dyDescent="0.3"/>
    <row r="479" ht="15" hidden="1" customHeight="1" x14ac:dyDescent="0.3"/>
    <row r="480" ht="15" hidden="1" customHeight="1" x14ac:dyDescent="0.3"/>
    <row r="481" ht="15" hidden="1" customHeight="1" x14ac:dyDescent="0.3"/>
    <row r="482" ht="15" hidden="1" customHeight="1" x14ac:dyDescent="0.3"/>
    <row r="483" ht="15" hidden="1" customHeight="1" x14ac:dyDescent="0.3"/>
    <row r="484" ht="15" hidden="1" customHeight="1" x14ac:dyDescent="0.3"/>
    <row r="485" ht="15" hidden="1" customHeight="1" x14ac:dyDescent="0.3"/>
    <row r="486" ht="15" hidden="1" customHeight="1" x14ac:dyDescent="0.3"/>
    <row r="487" ht="15" hidden="1" customHeight="1" x14ac:dyDescent="0.3"/>
    <row r="488" ht="15" hidden="1" customHeight="1" x14ac:dyDescent="0.3"/>
    <row r="489" ht="15" hidden="1" customHeight="1" x14ac:dyDescent="0.3"/>
    <row r="490" ht="15" hidden="1" customHeight="1" x14ac:dyDescent="0.3"/>
    <row r="491" ht="15" hidden="1" customHeight="1" x14ac:dyDescent="0.3"/>
    <row r="492" ht="15" hidden="1" customHeight="1" x14ac:dyDescent="0.3"/>
    <row r="493" ht="15" hidden="1" customHeight="1" x14ac:dyDescent="0.3"/>
    <row r="494" ht="15" hidden="1" customHeight="1" x14ac:dyDescent="0.3"/>
    <row r="495" ht="15" hidden="1" customHeight="1" x14ac:dyDescent="0.3"/>
    <row r="496" ht="15" hidden="1" customHeight="1" x14ac:dyDescent="0.3"/>
    <row r="497" ht="15" hidden="1" customHeight="1" x14ac:dyDescent="0.3"/>
    <row r="498" ht="15" hidden="1" customHeight="1" x14ac:dyDescent="0.3"/>
    <row r="499" ht="15" hidden="1" customHeight="1" x14ac:dyDescent="0.3"/>
    <row r="500" ht="15" hidden="1" customHeight="1" x14ac:dyDescent="0.3"/>
    <row r="501" ht="15" hidden="1" customHeight="1" x14ac:dyDescent="0.3"/>
    <row r="502" ht="15" hidden="1" customHeight="1" x14ac:dyDescent="0.3"/>
    <row r="503" ht="15" hidden="1" customHeight="1" x14ac:dyDescent="0.3"/>
    <row r="504" ht="15" hidden="1" customHeight="1" x14ac:dyDescent="0.3"/>
    <row r="505" ht="15" hidden="1" customHeight="1" x14ac:dyDescent="0.3"/>
    <row r="506" ht="15" hidden="1" customHeight="1" x14ac:dyDescent="0.3"/>
    <row r="507" ht="15" hidden="1" customHeight="1" x14ac:dyDescent="0.3"/>
    <row r="508" ht="15" hidden="1" customHeight="1" x14ac:dyDescent="0.3"/>
    <row r="509" ht="15" hidden="1" customHeight="1" x14ac:dyDescent="0.3"/>
    <row r="510" ht="15" hidden="1" customHeight="1" x14ac:dyDescent="0.3"/>
    <row r="511" ht="15" hidden="1" customHeight="1" x14ac:dyDescent="0.3"/>
    <row r="512" ht="15" hidden="1" customHeight="1" x14ac:dyDescent="0.3"/>
    <row r="513" ht="15" hidden="1" customHeight="1" x14ac:dyDescent="0.3"/>
    <row r="514" ht="15" hidden="1" customHeight="1" x14ac:dyDescent="0.3"/>
    <row r="515" ht="15" hidden="1" customHeight="1" x14ac:dyDescent="0.3"/>
    <row r="516" ht="15" hidden="1" customHeight="1" x14ac:dyDescent="0.3"/>
    <row r="517" ht="15" hidden="1" customHeight="1" x14ac:dyDescent="0.3"/>
    <row r="518" ht="15" hidden="1" customHeight="1" x14ac:dyDescent="0.3"/>
    <row r="519" ht="15" hidden="1" customHeight="1" x14ac:dyDescent="0.3"/>
    <row r="520" ht="15" hidden="1" customHeight="1" x14ac:dyDescent="0.3"/>
    <row r="521" ht="15" hidden="1" customHeight="1" x14ac:dyDescent="0.3"/>
    <row r="522" ht="15" hidden="1" customHeight="1" x14ac:dyDescent="0.3"/>
    <row r="523" ht="15" hidden="1" customHeight="1" x14ac:dyDescent="0.3"/>
    <row r="524" ht="15" hidden="1" customHeight="1" x14ac:dyDescent="0.3"/>
    <row r="525" ht="15" hidden="1" customHeight="1" x14ac:dyDescent="0.3"/>
    <row r="526" ht="15" hidden="1" customHeight="1" x14ac:dyDescent="0.3"/>
    <row r="527" ht="15" hidden="1" customHeight="1" x14ac:dyDescent="0.3"/>
    <row r="528" ht="15" hidden="1" customHeight="1" x14ac:dyDescent="0.3"/>
    <row r="529" ht="15" hidden="1" customHeight="1" x14ac:dyDescent="0.3"/>
    <row r="530" ht="15" hidden="1" customHeight="1" x14ac:dyDescent="0.3"/>
    <row r="531" ht="15" hidden="1" customHeight="1" x14ac:dyDescent="0.3"/>
    <row r="532" ht="15" hidden="1" customHeight="1" x14ac:dyDescent="0.3"/>
    <row r="533" ht="15" hidden="1" customHeight="1" x14ac:dyDescent="0.3"/>
    <row r="534" ht="15" hidden="1" customHeight="1" x14ac:dyDescent="0.3"/>
    <row r="535" ht="15" hidden="1" customHeight="1" x14ac:dyDescent="0.3"/>
    <row r="536" ht="15" hidden="1" customHeight="1" x14ac:dyDescent="0.3"/>
    <row r="537" ht="15" hidden="1" customHeight="1" x14ac:dyDescent="0.3"/>
    <row r="538" ht="15" hidden="1" customHeight="1" x14ac:dyDescent="0.3"/>
    <row r="539" ht="15" hidden="1" customHeight="1" x14ac:dyDescent="0.3"/>
    <row r="540" ht="15" hidden="1" customHeight="1" x14ac:dyDescent="0.3"/>
    <row r="541" ht="15" hidden="1" customHeight="1" x14ac:dyDescent="0.3"/>
    <row r="542" ht="15" hidden="1" customHeight="1" x14ac:dyDescent="0.3"/>
    <row r="543" ht="15" hidden="1" customHeight="1" x14ac:dyDescent="0.3"/>
    <row r="544" ht="15" hidden="1" customHeight="1" x14ac:dyDescent="0.3"/>
    <row r="545" ht="15" hidden="1" customHeight="1" x14ac:dyDescent="0.3"/>
    <row r="546" ht="15" hidden="1" customHeight="1" x14ac:dyDescent="0.3"/>
    <row r="547" ht="15" hidden="1" customHeight="1" x14ac:dyDescent="0.3"/>
    <row r="548" ht="15" hidden="1" customHeight="1" x14ac:dyDescent="0.3"/>
    <row r="549" ht="15" hidden="1" customHeight="1" x14ac:dyDescent="0.3"/>
    <row r="550" ht="15" hidden="1" customHeight="1" x14ac:dyDescent="0.3"/>
    <row r="551" ht="15" hidden="1" customHeight="1" x14ac:dyDescent="0.3"/>
    <row r="552" ht="15" hidden="1" customHeight="1" x14ac:dyDescent="0.3"/>
    <row r="553" ht="15" hidden="1" customHeight="1" x14ac:dyDescent="0.3"/>
    <row r="554" ht="15" hidden="1" customHeight="1" x14ac:dyDescent="0.3"/>
    <row r="555" ht="15" hidden="1" customHeight="1" x14ac:dyDescent="0.3"/>
    <row r="556" ht="15" hidden="1" customHeight="1" x14ac:dyDescent="0.3"/>
    <row r="557" ht="15" hidden="1" customHeight="1" x14ac:dyDescent="0.3"/>
    <row r="558" ht="15" hidden="1" customHeight="1" x14ac:dyDescent="0.3"/>
    <row r="559" ht="15" hidden="1" customHeight="1" x14ac:dyDescent="0.3"/>
    <row r="560" ht="15" hidden="1" customHeight="1" x14ac:dyDescent="0.3"/>
    <row r="561" ht="15" hidden="1" customHeight="1" x14ac:dyDescent="0.3"/>
    <row r="562" ht="15" hidden="1" customHeight="1" x14ac:dyDescent="0.3"/>
    <row r="563" ht="15" hidden="1" customHeight="1" x14ac:dyDescent="0.3"/>
    <row r="564" ht="15" hidden="1" customHeight="1" x14ac:dyDescent="0.3"/>
    <row r="565" ht="15" hidden="1" customHeight="1" x14ac:dyDescent="0.3"/>
    <row r="566" ht="15" hidden="1" customHeight="1" x14ac:dyDescent="0.3"/>
    <row r="567" ht="15" hidden="1" customHeight="1" x14ac:dyDescent="0.3"/>
    <row r="568" ht="15" hidden="1" customHeight="1" x14ac:dyDescent="0.3"/>
    <row r="569" ht="15" hidden="1" customHeight="1" x14ac:dyDescent="0.3"/>
    <row r="570" ht="15" hidden="1" customHeight="1" x14ac:dyDescent="0.3"/>
    <row r="571" ht="15" hidden="1" customHeight="1" x14ac:dyDescent="0.3"/>
    <row r="572" ht="15" hidden="1" customHeight="1" x14ac:dyDescent="0.3"/>
    <row r="573" ht="15" hidden="1" customHeight="1" x14ac:dyDescent="0.3"/>
    <row r="574" ht="15" hidden="1" customHeight="1" x14ac:dyDescent="0.3"/>
    <row r="575" ht="15" hidden="1" customHeight="1" x14ac:dyDescent="0.3"/>
    <row r="576" ht="15" hidden="1" customHeight="1" x14ac:dyDescent="0.3"/>
    <row r="577" ht="15" hidden="1" customHeight="1" x14ac:dyDescent="0.3"/>
    <row r="578" ht="15" hidden="1" customHeight="1" x14ac:dyDescent="0.3"/>
    <row r="579" ht="15" hidden="1" customHeight="1" x14ac:dyDescent="0.3"/>
    <row r="580" ht="15" hidden="1" customHeight="1" x14ac:dyDescent="0.3"/>
    <row r="581" ht="15" hidden="1" customHeight="1" x14ac:dyDescent="0.3"/>
    <row r="582" ht="15" hidden="1" customHeight="1" x14ac:dyDescent="0.3"/>
    <row r="583" ht="15" hidden="1" customHeight="1" x14ac:dyDescent="0.3"/>
    <row r="584" ht="15" hidden="1" customHeight="1" x14ac:dyDescent="0.3"/>
    <row r="585" ht="15" hidden="1" customHeight="1" x14ac:dyDescent="0.3"/>
    <row r="586" ht="15" hidden="1" customHeight="1" x14ac:dyDescent="0.3"/>
    <row r="587" ht="15" hidden="1" customHeight="1" x14ac:dyDescent="0.3"/>
    <row r="588" ht="15" hidden="1" customHeight="1" x14ac:dyDescent="0.3"/>
    <row r="589" ht="15" hidden="1" customHeight="1" x14ac:dyDescent="0.3"/>
    <row r="590" ht="15" hidden="1" customHeight="1" x14ac:dyDescent="0.3"/>
    <row r="591" ht="15" hidden="1" customHeight="1" x14ac:dyDescent="0.3"/>
    <row r="592" ht="15" hidden="1" customHeight="1" x14ac:dyDescent="0.3"/>
    <row r="593" ht="15" hidden="1" customHeight="1" x14ac:dyDescent="0.3"/>
    <row r="594" ht="15" hidden="1" customHeight="1" x14ac:dyDescent="0.3"/>
    <row r="595" ht="15" hidden="1" customHeight="1" x14ac:dyDescent="0.3"/>
    <row r="596" ht="15" hidden="1" customHeight="1" x14ac:dyDescent="0.3"/>
    <row r="597" ht="15" hidden="1" customHeight="1" x14ac:dyDescent="0.3"/>
    <row r="598" ht="15" hidden="1" customHeight="1" x14ac:dyDescent="0.3"/>
    <row r="599" ht="15" hidden="1" customHeight="1" x14ac:dyDescent="0.3"/>
    <row r="600" ht="15" hidden="1" customHeight="1" x14ac:dyDescent="0.3"/>
    <row r="601" ht="15" hidden="1" customHeight="1" x14ac:dyDescent="0.3"/>
    <row r="602" ht="15" hidden="1" customHeight="1" x14ac:dyDescent="0.3"/>
    <row r="603" ht="15" hidden="1" customHeight="1" x14ac:dyDescent="0.3"/>
    <row r="604" ht="15" hidden="1" customHeight="1" x14ac:dyDescent="0.3"/>
    <row r="605" ht="15" hidden="1" customHeight="1" x14ac:dyDescent="0.3"/>
    <row r="606" ht="15" hidden="1" customHeight="1" x14ac:dyDescent="0.3"/>
    <row r="607" ht="15" hidden="1" customHeight="1" x14ac:dyDescent="0.3"/>
    <row r="608" ht="15" hidden="1" customHeight="1" x14ac:dyDescent="0.3"/>
    <row r="609" ht="15" hidden="1" customHeight="1" x14ac:dyDescent="0.3"/>
    <row r="610" ht="15" hidden="1" customHeight="1" x14ac:dyDescent="0.3"/>
    <row r="611" ht="15" hidden="1" customHeight="1" x14ac:dyDescent="0.3"/>
    <row r="612" ht="15" hidden="1" customHeight="1" x14ac:dyDescent="0.3"/>
    <row r="613" ht="15" hidden="1" customHeight="1" x14ac:dyDescent="0.3"/>
    <row r="614" ht="15" hidden="1" customHeight="1" x14ac:dyDescent="0.3"/>
    <row r="615" ht="15" hidden="1" customHeight="1" x14ac:dyDescent="0.3"/>
    <row r="616" ht="15" hidden="1" customHeight="1" x14ac:dyDescent="0.3"/>
    <row r="617" ht="15" hidden="1" customHeight="1" x14ac:dyDescent="0.3"/>
    <row r="618" ht="15" hidden="1" customHeight="1" x14ac:dyDescent="0.3"/>
    <row r="619" ht="15" hidden="1" customHeight="1" x14ac:dyDescent="0.3"/>
    <row r="620" ht="15" hidden="1" customHeight="1" x14ac:dyDescent="0.3"/>
    <row r="621" ht="15" hidden="1" customHeight="1" x14ac:dyDescent="0.3"/>
    <row r="622" ht="15" hidden="1" customHeight="1" x14ac:dyDescent="0.3"/>
    <row r="623" ht="15" hidden="1" customHeight="1" x14ac:dyDescent="0.3"/>
    <row r="624" ht="15" hidden="1" customHeight="1" x14ac:dyDescent="0.3"/>
    <row r="625" ht="15" hidden="1" customHeight="1" x14ac:dyDescent="0.3"/>
    <row r="626" ht="15" hidden="1" customHeight="1" x14ac:dyDescent="0.3"/>
    <row r="627" ht="15" hidden="1" customHeight="1" x14ac:dyDescent="0.3"/>
    <row r="628" ht="15" hidden="1" customHeight="1" x14ac:dyDescent="0.3"/>
    <row r="629" ht="15" hidden="1" customHeight="1" x14ac:dyDescent="0.3"/>
    <row r="630" ht="15" hidden="1" customHeight="1" x14ac:dyDescent="0.3"/>
    <row r="631" ht="15" hidden="1" customHeight="1" x14ac:dyDescent="0.3"/>
    <row r="632" ht="15" hidden="1" customHeight="1" x14ac:dyDescent="0.3"/>
    <row r="633" ht="15" hidden="1" customHeight="1" x14ac:dyDescent="0.3"/>
    <row r="634" ht="15" hidden="1" customHeight="1" x14ac:dyDescent="0.3"/>
    <row r="635" ht="15" hidden="1" customHeight="1" x14ac:dyDescent="0.3"/>
    <row r="636" ht="15" hidden="1" customHeight="1" x14ac:dyDescent="0.3"/>
    <row r="637" ht="15" hidden="1" customHeight="1" x14ac:dyDescent="0.3"/>
    <row r="638" ht="15" hidden="1" customHeight="1" x14ac:dyDescent="0.3"/>
    <row r="639" ht="15" hidden="1" customHeight="1" x14ac:dyDescent="0.3"/>
    <row r="640" ht="15" hidden="1" customHeight="1" x14ac:dyDescent="0.3"/>
    <row r="641" ht="15" hidden="1" customHeight="1" x14ac:dyDescent="0.3"/>
    <row r="642" ht="15" hidden="1" customHeight="1" x14ac:dyDescent="0.3"/>
    <row r="643" ht="15" hidden="1" customHeight="1" x14ac:dyDescent="0.3"/>
    <row r="644" ht="15" hidden="1" customHeight="1" x14ac:dyDescent="0.3"/>
    <row r="645" ht="15" hidden="1" customHeight="1" x14ac:dyDescent="0.3"/>
    <row r="646" ht="15" hidden="1" customHeight="1" x14ac:dyDescent="0.3"/>
    <row r="647" ht="15" hidden="1" customHeight="1" x14ac:dyDescent="0.3"/>
    <row r="648" ht="15" hidden="1" customHeight="1" x14ac:dyDescent="0.3"/>
    <row r="649" ht="15" hidden="1" customHeight="1" x14ac:dyDescent="0.3"/>
    <row r="650" ht="15" hidden="1" customHeight="1" x14ac:dyDescent="0.3"/>
    <row r="651" ht="15" hidden="1" customHeight="1" x14ac:dyDescent="0.3"/>
    <row r="652" ht="15" hidden="1" customHeight="1" x14ac:dyDescent="0.3"/>
    <row r="653" ht="15" hidden="1" customHeight="1" x14ac:dyDescent="0.3"/>
    <row r="654" ht="15" hidden="1" customHeight="1" x14ac:dyDescent="0.3"/>
    <row r="655" ht="15" hidden="1" customHeight="1" x14ac:dyDescent="0.3"/>
    <row r="656" ht="15" hidden="1" customHeight="1" x14ac:dyDescent="0.3"/>
    <row r="657" ht="15" hidden="1" customHeight="1" x14ac:dyDescent="0.3"/>
    <row r="658" ht="15" hidden="1" customHeight="1" x14ac:dyDescent="0.3"/>
    <row r="659" ht="15" hidden="1" customHeight="1" x14ac:dyDescent="0.3"/>
    <row r="660" ht="15" hidden="1" customHeight="1" x14ac:dyDescent="0.3"/>
    <row r="661" ht="15" hidden="1" customHeight="1" x14ac:dyDescent="0.3"/>
    <row r="662" ht="15" hidden="1" customHeight="1" x14ac:dyDescent="0.3"/>
    <row r="663" ht="15" hidden="1" customHeight="1" x14ac:dyDescent="0.3"/>
    <row r="664" ht="15" hidden="1" customHeight="1" x14ac:dyDescent="0.3"/>
    <row r="665" ht="15" hidden="1" customHeight="1" x14ac:dyDescent="0.3"/>
    <row r="666" ht="15" hidden="1" customHeight="1" x14ac:dyDescent="0.3"/>
    <row r="667" ht="15" hidden="1" customHeight="1" x14ac:dyDescent="0.3"/>
    <row r="668" ht="15" hidden="1" customHeight="1" x14ac:dyDescent="0.3"/>
    <row r="669" ht="15" hidden="1" customHeight="1" x14ac:dyDescent="0.3"/>
    <row r="670" ht="15" hidden="1" customHeight="1" x14ac:dyDescent="0.3"/>
    <row r="671" ht="15" hidden="1" customHeight="1" x14ac:dyDescent="0.3"/>
    <row r="672" ht="15" hidden="1" customHeight="1" x14ac:dyDescent="0.3"/>
    <row r="673" ht="15" hidden="1" customHeight="1" x14ac:dyDescent="0.3"/>
    <row r="674" ht="15" hidden="1" customHeight="1" x14ac:dyDescent="0.3"/>
    <row r="675" ht="15" hidden="1" customHeight="1" x14ac:dyDescent="0.3"/>
    <row r="676" ht="15" hidden="1" customHeight="1" x14ac:dyDescent="0.3"/>
    <row r="677" ht="15" hidden="1" customHeight="1" x14ac:dyDescent="0.3"/>
    <row r="678" ht="15" hidden="1" customHeight="1" x14ac:dyDescent="0.3"/>
    <row r="679" ht="15" hidden="1" customHeight="1" x14ac:dyDescent="0.3"/>
    <row r="680" ht="15" hidden="1" customHeight="1" x14ac:dyDescent="0.3"/>
    <row r="681" ht="15" hidden="1" customHeight="1" x14ac:dyDescent="0.3"/>
    <row r="682" ht="15" hidden="1" customHeight="1" x14ac:dyDescent="0.3"/>
    <row r="683" ht="15" hidden="1" customHeight="1" x14ac:dyDescent="0.3"/>
    <row r="684" ht="15" hidden="1" customHeight="1" x14ac:dyDescent="0.3"/>
    <row r="685" ht="15" hidden="1" customHeight="1" x14ac:dyDescent="0.3"/>
    <row r="686" ht="15" hidden="1" customHeight="1" x14ac:dyDescent="0.3"/>
    <row r="687" ht="15" hidden="1" customHeight="1" x14ac:dyDescent="0.3"/>
    <row r="688" ht="15" hidden="1" customHeight="1" x14ac:dyDescent="0.3"/>
    <row r="689" ht="15" hidden="1" customHeight="1" x14ac:dyDescent="0.3"/>
    <row r="690" ht="15" hidden="1" customHeight="1" x14ac:dyDescent="0.3"/>
    <row r="691" ht="15" hidden="1" customHeight="1" x14ac:dyDescent="0.3"/>
    <row r="692" ht="15" hidden="1" customHeight="1" x14ac:dyDescent="0.3"/>
    <row r="693" ht="15" hidden="1" customHeight="1" x14ac:dyDescent="0.3"/>
    <row r="694" ht="15" hidden="1" customHeight="1" x14ac:dyDescent="0.3"/>
  </sheetData>
  <sheetProtection sheet="1" objects="1" scenarios="1"/>
  <mergeCells count="357">
    <mergeCell ref="G17:G18"/>
    <mergeCell ref="H17:H18"/>
    <mergeCell ref="G123:G124"/>
    <mergeCell ref="H123:H124"/>
    <mergeCell ref="I123:I124"/>
    <mergeCell ref="G112:G113"/>
    <mergeCell ref="H112:H113"/>
    <mergeCell ref="I112:I113"/>
    <mergeCell ref="G114:G115"/>
    <mergeCell ref="H114:H115"/>
    <mergeCell ref="I114:I115"/>
    <mergeCell ref="G116:G117"/>
    <mergeCell ref="H19:H20"/>
    <mergeCell ref="I19:I20"/>
    <mergeCell ref="H116:H117"/>
    <mergeCell ref="I116:I117"/>
    <mergeCell ref="G26:G27"/>
    <mergeCell ref="H26:H27"/>
    <mergeCell ref="I26:I27"/>
    <mergeCell ref="G28:G29"/>
    <mergeCell ref="H28:H29"/>
    <mergeCell ref="I28:I29"/>
    <mergeCell ref="G110:G111"/>
    <mergeCell ref="H110:H111"/>
    <mergeCell ref="F47:I47"/>
    <mergeCell ref="F48:I48"/>
    <mergeCell ref="E166:E173"/>
    <mergeCell ref="E174:E181"/>
    <mergeCell ref="E46:E53"/>
    <mergeCell ref="E55:E62"/>
    <mergeCell ref="E63:E70"/>
    <mergeCell ref="E71:E78"/>
    <mergeCell ref="E79:E86"/>
    <mergeCell ref="E110:E111"/>
    <mergeCell ref="E112:E113"/>
    <mergeCell ref="E114:E115"/>
    <mergeCell ref="E123:E124"/>
    <mergeCell ref="E125:E132"/>
    <mergeCell ref="E133:E140"/>
    <mergeCell ref="E141:E148"/>
    <mergeCell ref="E150:E157"/>
    <mergeCell ref="F123:F124"/>
    <mergeCell ref="D73:D74"/>
    <mergeCell ref="D75:D76"/>
    <mergeCell ref="D77:D78"/>
    <mergeCell ref="D79:D80"/>
    <mergeCell ref="D81:D82"/>
    <mergeCell ref="D83:D84"/>
    <mergeCell ref="E116:E117"/>
    <mergeCell ref="E15:E16"/>
    <mergeCell ref="E17:E18"/>
    <mergeCell ref="E19:E20"/>
    <mergeCell ref="E21:E22"/>
    <mergeCell ref="E24:E25"/>
    <mergeCell ref="E26:E27"/>
    <mergeCell ref="E28:E29"/>
    <mergeCell ref="E30:E37"/>
    <mergeCell ref="E38:E45"/>
    <mergeCell ref="C178:C179"/>
    <mergeCell ref="C180:C181"/>
    <mergeCell ref="D174:D175"/>
    <mergeCell ref="D176:D177"/>
    <mergeCell ref="D178:D179"/>
    <mergeCell ref="D180:D181"/>
    <mergeCell ref="D55:D56"/>
    <mergeCell ref="C147:C148"/>
    <mergeCell ref="C150:C151"/>
    <mergeCell ref="C152:C153"/>
    <mergeCell ref="C154:C155"/>
    <mergeCell ref="C174:C175"/>
    <mergeCell ref="C156:C157"/>
    <mergeCell ref="C158:C159"/>
    <mergeCell ref="C160:C161"/>
    <mergeCell ref="C162:C163"/>
    <mergeCell ref="D121:D122"/>
    <mergeCell ref="D123:D124"/>
    <mergeCell ref="D85:D86"/>
    <mergeCell ref="D131:D132"/>
    <mergeCell ref="D125:D126"/>
    <mergeCell ref="D127:D128"/>
    <mergeCell ref="D129:D130"/>
    <mergeCell ref="D119:D120"/>
    <mergeCell ref="D162:D163"/>
    <mergeCell ref="D152:D153"/>
    <mergeCell ref="C135:C136"/>
    <mergeCell ref="C123:C124"/>
    <mergeCell ref="C137:C138"/>
    <mergeCell ref="C139:C140"/>
    <mergeCell ref="C141:C142"/>
    <mergeCell ref="C143:C144"/>
    <mergeCell ref="D133:D134"/>
    <mergeCell ref="D135:D136"/>
    <mergeCell ref="D137:D138"/>
    <mergeCell ref="D139:D140"/>
    <mergeCell ref="D141:D142"/>
    <mergeCell ref="D154:D155"/>
    <mergeCell ref="D156:D157"/>
    <mergeCell ref="A178:A181"/>
    <mergeCell ref="B178:B181"/>
    <mergeCell ref="A141:A144"/>
    <mergeCell ref="B141:B144"/>
    <mergeCell ref="A145:A148"/>
    <mergeCell ref="B145:B148"/>
    <mergeCell ref="A149:B149"/>
    <mergeCell ref="D143:D144"/>
    <mergeCell ref="D145:D146"/>
    <mergeCell ref="D147:D148"/>
    <mergeCell ref="D150:D151"/>
    <mergeCell ref="D158:D159"/>
    <mergeCell ref="D160:D161"/>
    <mergeCell ref="D166:D167"/>
    <mergeCell ref="D168:D169"/>
    <mergeCell ref="C145:C146"/>
    <mergeCell ref="C164:C165"/>
    <mergeCell ref="C166:C167"/>
    <mergeCell ref="C168:C169"/>
    <mergeCell ref="C170:C171"/>
    <mergeCell ref="C172:C173"/>
    <mergeCell ref="D164:D165"/>
    <mergeCell ref="D170:D171"/>
    <mergeCell ref="D172:D173"/>
    <mergeCell ref="A174:A177"/>
    <mergeCell ref="B174:B177"/>
    <mergeCell ref="C176:C177"/>
    <mergeCell ref="A125:A128"/>
    <mergeCell ref="B125:B128"/>
    <mergeCell ref="A129:A132"/>
    <mergeCell ref="B129:B132"/>
    <mergeCell ref="A150:A153"/>
    <mergeCell ref="B150:B153"/>
    <mergeCell ref="A158:A161"/>
    <mergeCell ref="B158:B161"/>
    <mergeCell ref="A162:A165"/>
    <mergeCell ref="B162:B165"/>
    <mergeCell ref="A154:A157"/>
    <mergeCell ref="B154:B157"/>
    <mergeCell ref="C125:C126"/>
    <mergeCell ref="C127:C128"/>
    <mergeCell ref="C129:C130"/>
    <mergeCell ref="C131:C132"/>
    <mergeCell ref="C133:C134"/>
    <mergeCell ref="C114:C115"/>
    <mergeCell ref="J119:J120"/>
    <mergeCell ref="K119:K120"/>
    <mergeCell ref="E119:E120"/>
    <mergeCell ref="E121:E122"/>
    <mergeCell ref="G119:G120"/>
    <mergeCell ref="H119:H120"/>
    <mergeCell ref="I119:I120"/>
    <mergeCell ref="G121:G122"/>
    <mergeCell ref="F114:F115"/>
    <mergeCell ref="J114:J115"/>
    <mergeCell ref="K114:K115"/>
    <mergeCell ref="C116:C117"/>
    <mergeCell ref="F116:F117"/>
    <mergeCell ref="J116:J117"/>
    <mergeCell ref="K116:K117"/>
    <mergeCell ref="F121:F122"/>
    <mergeCell ref="J121:J122"/>
    <mergeCell ref="K121:K122"/>
    <mergeCell ref="H121:H122"/>
    <mergeCell ref="I121:I122"/>
    <mergeCell ref="C121:C122"/>
    <mergeCell ref="D114:D115"/>
    <mergeCell ref="D116:D117"/>
    <mergeCell ref="C110:C111"/>
    <mergeCell ref="J79:J86"/>
    <mergeCell ref="A83:A86"/>
    <mergeCell ref="B83:B86"/>
    <mergeCell ref="F110:F111"/>
    <mergeCell ref="J110:J111"/>
    <mergeCell ref="K110:K111"/>
    <mergeCell ref="A79:A82"/>
    <mergeCell ref="F112:F113"/>
    <mergeCell ref="J112:J113"/>
    <mergeCell ref="K112:K113"/>
    <mergeCell ref="A97:K97"/>
    <mergeCell ref="A103:K103"/>
    <mergeCell ref="B104:K104"/>
    <mergeCell ref="B105:K105"/>
    <mergeCell ref="B106:K106"/>
    <mergeCell ref="C79:C80"/>
    <mergeCell ref="C81:C82"/>
    <mergeCell ref="C83:C84"/>
    <mergeCell ref="C85:C86"/>
    <mergeCell ref="C112:C113"/>
    <mergeCell ref="D110:D111"/>
    <mergeCell ref="D112:D113"/>
    <mergeCell ref="I110:I111"/>
    <mergeCell ref="C63:C64"/>
    <mergeCell ref="C65:C66"/>
    <mergeCell ref="A38:A41"/>
    <mergeCell ref="B38:B41"/>
    <mergeCell ref="J38:J45"/>
    <mergeCell ref="A42:A45"/>
    <mergeCell ref="B42:B45"/>
    <mergeCell ref="B107:K107"/>
    <mergeCell ref="A109:B109"/>
    <mergeCell ref="A67:A70"/>
    <mergeCell ref="B67:B70"/>
    <mergeCell ref="D38:D39"/>
    <mergeCell ref="D40:D41"/>
    <mergeCell ref="D42:D43"/>
    <mergeCell ref="D44:D45"/>
    <mergeCell ref="D46:D47"/>
    <mergeCell ref="C48:C49"/>
    <mergeCell ref="C50:C51"/>
    <mergeCell ref="A46:A49"/>
    <mergeCell ref="B46:B49"/>
    <mergeCell ref="J46:J53"/>
    <mergeCell ref="A50:A53"/>
    <mergeCell ref="B50:B53"/>
    <mergeCell ref="F46:I46"/>
    <mergeCell ref="F17:F18"/>
    <mergeCell ref="J17:J18"/>
    <mergeCell ref="D15:D16"/>
    <mergeCell ref="D17:D18"/>
    <mergeCell ref="D19:D20"/>
    <mergeCell ref="D21:D22"/>
    <mergeCell ref="A30:A33"/>
    <mergeCell ref="A34:A37"/>
    <mergeCell ref="B30:B33"/>
    <mergeCell ref="B34:B37"/>
    <mergeCell ref="A23:B23"/>
    <mergeCell ref="J15:J16"/>
    <mergeCell ref="C24:C25"/>
    <mergeCell ref="F24:F25"/>
    <mergeCell ref="J24:J25"/>
    <mergeCell ref="C17:C18"/>
    <mergeCell ref="D32:D33"/>
    <mergeCell ref="D34:D35"/>
    <mergeCell ref="D36:D37"/>
    <mergeCell ref="G15:G16"/>
    <mergeCell ref="H15:H16"/>
    <mergeCell ref="I15:I16"/>
    <mergeCell ref="I17:I18"/>
    <mergeCell ref="G19:G20"/>
    <mergeCell ref="A14:B14"/>
    <mergeCell ref="C15:C16"/>
    <mergeCell ref="F15:F16"/>
    <mergeCell ref="J166:J173"/>
    <mergeCell ref="J174:J181"/>
    <mergeCell ref="A166:A169"/>
    <mergeCell ref="B166:B169"/>
    <mergeCell ref="A170:A173"/>
    <mergeCell ref="B170:B173"/>
    <mergeCell ref="C19:C20"/>
    <mergeCell ref="F19:F20"/>
    <mergeCell ref="J19:J20"/>
    <mergeCell ref="G21:G22"/>
    <mergeCell ref="H21:H22"/>
    <mergeCell ref="I21:I22"/>
    <mergeCell ref="J26:J27"/>
    <mergeCell ref="C21:C22"/>
    <mergeCell ref="F21:F22"/>
    <mergeCell ref="J21:J22"/>
    <mergeCell ref="G24:G25"/>
    <mergeCell ref="H24:H25"/>
    <mergeCell ref="I24:I25"/>
    <mergeCell ref="C36:C37"/>
    <mergeCell ref="D30:D31"/>
    <mergeCell ref="J133:J140"/>
    <mergeCell ref="J141:J148"/>
    <mergeCell ref="A133:A136"/>
    <mergeCell ref="B133:B136"/>
    <mergeCell ref="A137:A140"/>
    <mergeCell ref="B137:B140"/>
    <mergeCell ref="K15:K16"/>
    <mergeCell ref="K19:K20"/>
    <mergeCell ref="K26:K27"/>
    <mergeCell ref="K21:K22"/>
    <mergeCell ref="K17:K18"/>
    <mergeCell ref="C28:C29"/>
    <mergeCell ref="F28:F29"/>
    <mergeCell ref="J28:J29"/>
    <mergeCell ref="K24:K25"/>
    <mergeCell ref="K28:K29"/>
    <mergeCell ref="C26:C27"/>
    <mergeCell ref="F26:F27"/>
    <mergeCell ref="D24:D25"/>
    <mergeCell ref="D26:D27"/>
    <mergeCell ref="D28:D29"/>
    <mergeCell ref="C30:C31"/>
    <mergeCell ref="B79:B82"/>
    <mergeCell ref="A71:A74"/>
    <mergeCell ref="K158:K165"/>
    <mergeCell ref="K166:K173"/>
    <mergeCell ref="K174:K181"/>
    <mergeCell ref="D57:D58"/>
    <mergeCell ref="D59:D60"/>
    <mergeCell ref="D61:D62"/>
    <mergeCell ref="D63:D64"/>
    <mergeCell ref="D65:D66"/>
    <mergeCell ref="D67:D68"/>
    <mergeCell ref="J71:J78"/>
    <mergeCell ref="J63:J70"/>
    <mergeCell ref="J125:J132"/>
    <mergeCell ref="J158:J165"/>
    <mergeCell ref="J150:J157"/>
    <mergeCell ref="K63:K70"/>
    <mergeCell ref="K71:K78"/>
    <mergeCell ref="K79:K86"/>
    <mergeCell ref="F119:F120"/>
    <mergeCell ref="K125:K132"/>
    <mergeCell ref="K133:K140"/>
    <mergeCell ref="K141:K148"/>
    <mergeCell ref="E158:E165"/>
    <mergeCell ref="J123:J124"/>
    <mergeCell ref="K123:K124"/>
    <mergeCell ref="A2:K2"/>
    <mergeCell ref="A8:K8"/>
    <mergeCell ref="B9:K9"/>
    <mergeCell ref="B10:K10"/>
    <mergeCell ref="B11:K11"/>
    <mergeCell ref="B12:K12"/>
    <mergeCell ref="D69:D70"/>
    <mergeCell ref="D71:D72"/>
    <mergeCell ref="K150:K157"/>
    <mergeCell ref="A63:A66"/>
    <mergeCell ref="B63:B66"/>
    <mergeCell ref="C67:C68"/>
    <mergeCell ref="C69:C70"/>
    <mergeCell ref="C71:C72"/>
    <mergeCell ref="C73:C74"/>
    <mergeCell ref="C75:C76"/>
    <mergeCell ref="C77:C78"/>
    <mergeCell ref="A118:B118"/>
    <mergeCell ref="C119:C120"/>
    <mergeCell ref="B55:B58"/>
    <mergeCell ref="A75:A78"/>
    <mergeCell ref="B75:B78"/>
    <mergeCell ref="C55:C56"/>
    <mergeCell ref="C57:C58"/>
    <mergeCell ref="B71:B74"/>
    <mergeCell ref="A55:A58"/>
    <mergeCell ref="K30:K37"/>
    <mergeCell ref="J30:J37"/>
    <mergeCell ref="K38:K45"/>
    <mergeCell ref="K46:K53"/>
    <mergeCell ref="K55:K62"/>
    <mergeCell ref="J55:J62"/>
    <mergeCell ref="A59:A62"/>
    <mergeCell ref="B59:B62"/>
    <mergeCell ref="A54:B54"/>
    <mergeCell ref="C59:C60"/>
    <mergeCell ref="C61:C62"/>
    <mergeCell ref="C32:C33"/>
    <mergeCell ref="C34:C35"/>
    <mergeCell ref="D50:D51"/>
    <mergeCell ref="D52:D53"/>
    <mergeCell ref="C38:C39"/>
    <mergeCell ref="C40:C41"/>
    <mergeCell ref="C42:C43"/>
    <mergeCell ref="C44:C45"/>
    <mergeCell ref="C46:C47"/>
    <mergeCell ref="C52:C53"/>
    <mergeCell ref="D48:D49"/>
  </mergeCells>
  <printOptions horizontalCentered="1"/>
  <pageMargins left="0.17" right="0.2" top="0.62" bottom="0.28999999999999998" header="0.31496062992125984" footer="0.21"/>
  <pageSetup paperSize="9" scale="62" orientation="landscape" horizontalDpi="4294967293" verticalDpi="0" r:id="rId1"/>
  <rowBreaks count="5" manualBreakCount="5">
    <brk id="22" max="7" man="1"/>
    <brk id="53" max="7" man="1"/>
    <brk id="96" max="7" man="1"/>
    <brk id="117" max="7" man="1"/>
    <brk id="148" max="1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theme="3" tint="-0.249977111117893"/>
  </sheetPr>
  <dimension ref="A1:F809"/>
  <sheetViews>
    <sheetView showGridLines="0" zoomScale="115" zoomScaleNormal="115" zoomScaleSheetLayoutView="100" workbookViewId="0">
      <pane ySplit="1" topLeftCell="A74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5.109375" style="1" customWidth="1"/>
    <col min="2" max="2" width="12.88671875" style="1" customWidth="1"/>
    <col min="3" max="3" width="1.33203125" style="1" customWidth="1"/>
    <col min="4" max="4" width="43" style="1" customWidth="1"/>
    <col min="5" max="5" width="33.88671875" style="1" customWidth="1"/>
    <col min="6" max="6" width="0.44140625" style="1" customWidth="1"/>
    <col min="7" max="16384" width="9.109375" style="1" hidden="1"/>
  </cols>
  <sheetData>
    <row r="1" spans="1:5" s="82" customFormat="1" ht="27" customHeight="1" x14ac:dyDescent="0.3"/>
    <row r="2" spans="1:5" ht="21" customHeight="1" x14ac:dyDescent="0.3">
      <c r="A2" s="235" t="s">
        <v>132</v>
      </c>
      <c r="B2" s="235"/>
      <c r="C2" s="235"/>
      <c r="D2" s="235"/>
      <c r="E2" s="235"/>
    </row>
    <row r="3" spans="1:5" ht="14.4" x14ac:dyDescent="0.3"/>
    <row r="4" spans="1:5" ht="14.4" x14ac:dyDescent="0.3">
      <c r="A4" s="1" t="s">
        <v>90</v>
      </c>
      <c r="C4" s="1" t="s">
        <v>0</v>
      </c>
      <c r="D4" s="1" t="s">
        <v>9</v>
      </c>
    </row>
    <row r="5" spans="1:5" ht="14.4" x14ac:dyDescent="0.3">
      <c r="A5" s="1" t="s">
        <v>42</v>
      </c>
      <c r="C5" s="1" t="s">
        <v>0</v>
      </c>
      <c r="D5" s="1" t="e">
        <f>#REF!</f>
        <v>#REF!</v>
      </c>
    </row>
    <row r="6" spans="1:5" ht="14.4" x14ac:dyDescent="0.3">
      <c r="A6" s="1" t="s">
        <v>131</v>
      </c>
      <c r="C6" s="1" t="s">
        <v>0</v>
      </c>
      <c r="D6" s="81" t="str">
        <f>IF(Silabus!E30="","",Silabus!E30)</f>
        <v/>
      </c>
    </row>
    <row r="7" spans="1:5" ht="14.4" x14ac:dyDescent="0.3">
      <c r="A7" s="1" t="s">
        <v>89</v>
      </c>
      <c r="C7" s="1" t="s">
        <v>0</v>
      </c>
      <c r="D7" s="1" t="s">
        <v>130</v>
      </c>
    </row>
    <row r="8" spans="1:5" ht="14.4" x14ac:dyDescent="0.3">
      <c r="A8" s="1" t="s">
        <v>129</v>
      </c>
      <c r="C8" s="1" t="s">
        <v>0</v>
      </c>
    </row>
    <row r="9" spans="1:5" ht="14.4" x14ac:dyDescent="0.3"/>
    <row r="10" spans="1:5" ht="14.4" x14ac:dyDescent="0.3">
      <c r="A10" s="241" t="s">
        <v>128</v>
      </c>
      <c r="B10" s="242"/>
      <c r="C10" s="242"/>
      <c r="D10" s="242"/>
      <c r="E10" s="243"/>
    </row>
    <row r="11" spans="1:5" ht="30" customHeight="1" x14ac:dyDescent="0.3">
      <c r="A11" s="71">
        <v>1</v>
      </c>
      <c r="B11" s="244" t="str">
        <f>IF(Silabus!B9="","",Silabus!B9)</f>
        <v/>
      </c>
      <c r="C11" s="244"/>
      <c r="D11" s="244"/>
      <c r="E11" s="244"/>
    </row>
    <row r="12" spans="1:5" s="72" customFormat="1" ht="75" customHeight="1" x14ac:dyDescent="0.3">
      <c r="A12" s="73">
        <v>2</v>
      </c>
      <c r="B12" s="244" t="str">
        <f>IF(Silabus!B10="","",Silabus!B10)</f>
        <v/>
      </c>
      <c r="C12" s="244"/>
      <c r="D12" s="244"/>
      <c r="E12" s="244"/>
    </row>
    <row r="13" spans="1:5" ht="75" customHeight="1" x14ac:dyDescent="0.3">
      <c r="A13" s="71">
        <v>3</v>
      </c>
      <c r="B13" s="244" t="str">
        <f>IF(Silabus!B11="","",Silabus!B11)</f>
        <v/>
      </c>
      <c r="C13" s="244"/>
      <c r="D13" s="244"/>
      <c r="E13" s="244"/>
    </row>
    <row r="14" spans="1:5" ht="75" customHeight="1" x14ac:dyDescent="0.3">
      <c r="A14" s="71">
        <v>4</v>
      </c>
      <c r="B14" s="244" t="str">
        <f>IF(Silabus!B12="","",Silabus!B12)</f>
        <v/>
      </c>
      <c r="C14" s="244"/>
      <c r="D14" s="244"/>
      <c r="E14" s="244"/>
    </row>
    <row r="15" spans="1:5" ht="14.4" x14ac:dyDescent="0.3"/>
    <row r="16" spans="1:5" ht="14.4" x14ac:dyDescent="0.3">
      <c r="A16" s="241" t="s">
        <v>127</v>
      </c>
      <c r="B16" s="242"/>
      <c r="C16" s="242"/>
      <c r="D16" s="242"/>
      <c r="E16" s="243"/>
    </row>
    <row r="17" spans="1:5" ht="30" customHeight="1" x14ac:dyDescent="0.3">
      <c r="A17" s="71"/>
      <c r="B17" s="245"/>
      <c r="C17" s="245"/>
      <c r="D17" s="245"/>
      <c r="E17" s="245"/>
    </row>
    <row r="18" spans="1:5" s="72" customFormat="1" ht="30" customHeight="1" x14ac:dyDescent="0.3">
      <c r="A18" s="73"/>
      <c r="B18" s="244"/>
      <c r="C18" s="244"/>
      <c r="D18" s="244"/>
      <c r="E18" s="244"/>
    </row>
    <row r="19" spans="1:5" ht="14.4" x14ac:dyDescent="0.3"/>
    <row r="20" spans="1:5" ht="14.4" x14ac:dyDescent="0.3">
      <c r="A20" s="239" t="s">
        <v>126</v>
      </c>
      <c r="B20" s="239"/>
      <c r="C20" s="239"/>
      <c r="D20" s="239"/>
      <c r="E20" s="239"/>
    </row>
    <row r="21" spans="1:5" ht="14.4" x14ac:dyDescent="0.3">
      <c r="A21" s="77" t="str">
        <f>IF(B21="","","v")</f>
        <v/>
      </c>
      <c r="B21" s="240" t="str">
        <f>IF(Silabus!C30="","",Silabus!C30)</f>
        <v/>
      </c>
      <c r="C21" s="240"/>
      <c r="D21" s="240"/>
      <c r="E21" s="240"/>
    </row>
    <row r="22" spans="1:5" ht="14.4" x14ac:dyDescent="0.3">
      <c r="A22" s="77" t="str">
        <f>IF(B22="","","v")</f>
        <v/>
      </c>
      <c r="B22" s="240" t="str">
        <f>IF(Silabus!C32="","",Silabus!C32)</f>
        <v/>
      </c>
      <c r="C22" s="240"/>
      <c r="D22" s="240"/>
      <c r="E22" s="240"/>
    </row>
    <row r="23" spans="1:5" ht="14.4" x14ac:dyDescent="0.3">
      <c r="A23" s="76" t="str">
        <f>IF(B23="","","v")</f>
        <v/>
      </c>
      <c r="B23" s="240" t="str">
        <f>IF(Silabus!C34="","",Silabus!C34)</f>
        <v/>
      </c>
      <c r="C23" s="240"/>
      <c r="D23" s="240"/>
      <c r="E23" s="240"/>
    </row>
    <row r="24" spans="1:5" ht="14.4" x14ac:dyDescent="0.3">
      <c r="A24" s="76" t="str">
        <f>IF(B24="","","v")</f>
        <v/>
      </c>
      <c r="B24" s="240" t="str">
        <f>IF(Silabus!C36="","",Silabus!C36)</f>
        <v/>
      </c>
      <c r="C24" s="240"/>
      <c r="D24" s="240"/>
      <c r="E24" s="240"/>
    </row>
    <row r="25" spans="1:5" s="78" customFormat="1" ht="14.4" x14ac:dyDescent="0.3">
      <c r="A25" s="80"/>
      <c r="B25" s="79"/>
      <c r="C25" s="79"/>
      <c r="D25" s="79"/>
      <c r="E25" s="79"/>
    </row>
    <row r="26" spans="1:5" ht="14.4" x14ac:dyDescent="0.3">
      <c r="A26" s="239" t="s">
        <v>125</v>
      </c>
      <c r="B26" s="239"/>
      <c r="C26" s="239"/>
      <c r="D26" s="239"/>
      <c r="E26" s="239"/>
    </row>
    <row r="27" spans="1:5" ht="15" customHeight="1" x14ac:dyDescent="0.3">
      <c r="A27" s="77" t="str">
        <f>IF(B27="","","v")</f>
        <v/>
      </c>
      <c r="B27" s="240" t="str">
        <f>IF(Silabus!D30="","",Silabus!D30)</f>
        <v/>
      </c>
      <c r="C27" s="240"/>
      <c r="D27" s="240"/>
      <c r="E27" s="240"/>
    </row>
    <row r="28" spans="1:5" ht="14.4" x14ac:dyDescent="0.3">
      <c r="A28" s="77" t="str">
        <f>IF(B28="","","v")</f>
        <v/>
      </c>
      <c r="B28" s="240" t="str">
        <f>IF(Silabus!D32="","",Silabus!D32)</f>
        <v/>
      </c>
      <c r="C28" s="240"/>
      <c r="D28" s="240"/>
      <c r="E28" s="240"/>
    </row>
    <row r="29" spans="1:5" ht="14.4" x14ac:dyDescent="0.3">
      <c r="A29" s="76" t="str">
        <f>IF(B29="","","v")</f>
        <v/>
      </c>
      <c r="B29" s="240" t="str">
        <f>IF(Silabus!D34="","",Silabus!D34)</f>
        <v/>
      </c>
      <c r="C29" s="240"/>
      <c r="D29" s="240"/>
      <c r="E29" s="240"/>
    </row>
    <row r="30" spans="1:5" ht="14.4" x14ac:dyDescent="0.3">
      <c r="A30" s="76" t="str">
        <f>IF(B30="","","v")</f>
        <v/>
      </c>
      <c r="B30" s="240" t="str">
        <f>IF(Silabus!D36="","",Silabus!D36)</f>
        <v/>
      </c>
      <c r="C30" s="240"/>
      <c r="D30" s="240"/>
      <c r="E30" s="240"/>
    </row>
    <row r="31" spans="1:5" s="78" customFormat="1" ht="14.4" x14ac:dyDescent="0.3">
      <c r="A31" s="80"/>
      <c r="B31" s="79"/>
      <c r="C31" s="79"/>
      <c r="D31" s="79"/>
      <c r="E31" s="79"/>
    </row>
    <row r="32" spans="1:5" ht="14.4" x14ac:dyDescent="0.3">
      <c r="A32" s="239" t="s">
        <v>124</v>
      </c>
      <c r="B32" s="239"/>
      <c r="C32" s="239"/>
      <c r="D32" s="239"/>
      <c r="E32" s="239"/>
    </row>
    <row r="33" spans="1:5" ht="15" customHeight="1" x14ac:dyDescent="0.3">
      <c r="A33" s="77" t="str">
        <f t="shared" ref="A33:A40" si="0">IF(B33="","","v")</f>
        <v/>
      </c>
      <c r="B33" s="259" t="str">
        <f>IF(Silabus!F30="","",Silabus!F30)</f>
        <v/>
      </c>
      <c r="C33" s="260"/>
      <c r="D33" s="260"/>
      <c r="E33" s="261"/>
    </row>
    <row r="34" spans="1:5" ht="14.4" x14ac:dyDescent="0.3">
      <c r="A34" s="77" t="str">
        <f t="shared" si="0"/>
        <v/>
      </c>
      <c r="B34" s="259" t="str">
        <f>IF(Silabus!F31="","",Silabus!F31)</f>
        <v/>
      </c>
      <c r="C34" s="260"/>
      <c r="D34" s="260"/>
      <c r="E34" s="261"/>
    </row>
    <row r="35" spans="1:5" ht="14.4" x14ac:dyDescent="0.3">
      <c r="A35" s="76" t="str">
        <f t="shared" si="0"/>
        <v/>
      </c>
      <c r="B35" s="259" t="str">
        <f>IF(Silabus!F32="","",Silabus!F32)</f>
        <v/>
      </c>
      <c r="C35" s="260"/>
      <c r="D35" s="260"/>
      <c r="E35" s="261"/>
    </row>
    <row r="36" spans="1:5" ht="14.4" x14ac:dyDescent="0.3">
      <c r="A36" s="76" t="str">
        <f t="shared" si="0"/>
        <v/>
      </c>
      <c r="B36" s="259" t="str">
        <f>IF(Silabus!F33="","",Silabus!F33)</f>
        <v/>
      </c>
      <c r="C36" s="260"/>
      <c r="D36" s="260"/>
      <c r="E36" s="261"/>
    </row>
    <row r="37" spans="1:5" ht="14.4" x14ac:dyDescent="0.3">
      <c r="A37" s="77" t="str">
        <f t="shared" si="0"/>
        <v/>
      </c>
      <c r="B37" s="259" t="str">
        <f>IF(Silabus!F34="","",Silabus!F34)</f>
        <v/>
      </c>
      <c r="C37" s="260"/>
      <c r="D37" s="260"/>
      <c r="E37" s="261"/>
    </row>
    <row r="38" spans="1:5" ht="14.4" x14ac:dyDescent="0.3">
      <c r="A38" s="77" t="str">
        <f t="shared" si="0"/>
        <v/>
      </c>
      <c r="B38" s="259" t="str">
        <f>IF(Silabus!F35="","",Silabus!F35)</f>
        <v/>
      </c>
      <c r="C38" s="260"/>
      <c r="D38" s="260"/>
      <c r="E38" s="261"/>
    </row>
    <row r="39" spans="1:5" ht="14.4" x14ac:dyDescent="0.3">
      <c r="A39" s="76" t="str">
        <f t="shared" si="0"/>
        <v/>
      </c>
      <c r="B39" s="259" t="str">
        <f>IF(Silabus!F36="","",Silabus!F36)</f>
        <v/>
      </c>
      <c r="C39" s="260"/>
      <c r="D39" s="260"/>
      <c r="E39" s="261"/>
    </row>
    <row r="40" spans="1:5" ht="14.4" x14ac:dyDescent="0.3">
      <c r="A40" s="76" t="str">
        <f t="shared" si="0"/>
        <v/>
      </c>
      <c r="B40" s="259" t="str">
        <f>IF(Silabus!F37="","",Silabus!F37)</f>
        <v/>
      </c>
      <c r="C40" s="260"/>
      <c r="D40" s="260"/>
      <c r="E40" s="261"/>
    </row>
    <row r="41" spans="1:5" s="78" customFormat="1" ht="14.4" x14ac:dyDescent="0.3">
      <c r="A41" s="80"/>
      <c r="B41" s="79"/>
      <c r="C41" s="79"/>
      <c r="D41" s="79"/>
      <c r="E41" s="79"/>
    </row>
    <row r="42" spans="1:5" ht="14.4" x14ac:dyDescent="0.3">
      <c r="A42" s="239" t="s">
        <v>123</v>
      </c>
      <c r="B42" s="239"/>
      <c r="C42" s="239"/>
      <c r="D42" s="239"/>
      <c r="E42" s="239"/>
    </row>
    <row r="43" spans="1:5" ht="14.4" x14ac:dyDescent="0.3">
      <c r="A43" s="77" t="str">
        <f>IF(B43="","","v")</f>
        <v>v</v>
      </c>
      <c r="B43" s="264" t="s">
        <v>122</v>
      </c>
      <c r="C43" s="264"/>
      <c r="D43" s="264"/>
      <c r="E43" s="264"/>
    </row>
    <row r="44" spans="1:5" ht="14.4" x14ac:dyDescent="0.3">
      <c r="A44" s="77" t="str">
        <f>IF(B44="","","v")</f>
        <v>v</v>
      </c>
      <c r="B44" s="263" t="s">
        <v>121</v>
      </c>
      <c r="C44" s="263"/>
      <c r="D44" s="263"/>
      <c r="E44" s="263"/>
    </row>
    <row r="45" spans="1:5" ht="14.4" x14ac:dyDescent="0.3">
      <c r="A45" s="76" t="str">
        <f>IF(B45="","","v")</f>
        <v/>
      </c>
      <c r="B45" s="262"/>
      <c r="C45" s="262"/>
      <c r="D45" s="262"/>
      <c r="E45" s="262"/>
    </row>
    <row r="46" spans="1:5" ht="14.4" x14ac:dyDescent="0.3">
      <c r="A46" s="76" t="str">
        <f>IF(B46="","","v")</f>
        <v/>
      </c>
      <c r="B46" s="262"/>
      <c r="C46" s="262"/>
      <c r="D46" s="262"/>
      <c r="E46" s="262"/>
    </row>
    <row r="47" spans="1:5" s="78" customFormat="1" ht="14.4" x14ac:dyDescent="0.3">
      <c r="A47" s="80"/>
      <c r="B47" s="79"/>
      <c r="C47" s="79"/>
      <c r="D47" s="79"/>
      <c r="E47" s="79"/>
    </row>
    <row r="48" spans="1:5" ht="14.4" x14ac:dyDescent="0.3">
      <c r="A48" s="239" t="s">
        <v>120</v>
      </c>
      <c r="B48" s="239"/>
      <c r="C48" s="239"/>
      <c r="D48" s="239"/>
      <c r="E48" s="239"/>
    </row>
    <row r="49" spans="1:5" ht="14.4" x14ac:dyDescent="0.3">
      <c r="A49" s="77" t="str">
        <f>IF(B49="","","v")</f>
        <v/>
      </c>
      <c r="B49" s="240" t="str">
        <f>IF($D$6="","","Buku Paket Siswa Mata Pelajaran Al-Quran Hadits kelas "&amp;MID(D7,1,6))</f>
        <v/>
      </c>
      <c r="C49" s="240"/>
      <c r="D49" s="240"/>
      <c r="E49" s="240"/>
    </row>
    <row r="50" spans="1:5" ht="14.4" x14ac:dyDescent="0.3">
      <c r="A50" s="77" t="str">
        <f>IF(B50="","","v")</f>
        <v/>
      </c>
      <c r="B50" s="263"/>
      <c r="C50" s="263"/>
      <c r="D50" s="263"/>
      <c r="E50" s="263"/>
    </row>
    <row r="51" spans="1:5" ht="14.4" x14ac:dyDescent="0.3">
      <c r="A51" s="76" t="str">
        <f>IF(B51="","","v")</f>
        <v/>
      </c>
      <c r="B51" s="262"/>
      <c r="C51" s="262"/>
      <c r="D51" s="262"/>
      <c r="E51" s="262"/>
    </row>
    <row r="52" spans="1:5" ht="14.4" x14ac:dyDescent="0.3">
      <c r="A52" s="76" t="str">
        <f>IF(B52="","","v")</f>
        <v/>
      </c>
      <c r="B52" s="262"/>
      <c r="C52" s="262"/>
      <c r="D52" s="262"/>
      <c r="E52" s="262"/>
    </row>
    <row r="53" spans="1:5" s="78" customFormat="1" ht="14.4" x14ac:dyDescent="0.3">
      <c r="A53" s="80"/>
      <c r="B53" s="79"/>
      <c r="C53" s="79"/>
      <c r="D53" s="79"/>
      <c r="E53" s="79"/>
    </row>
    <row r="54" spans="1:5" ht="14.4" x14ac:dyDescent="0.3">
      <c r="A54" s="239" t="s">
        <v>119</v>
      </c>
      <c r="B54" s="239"/>
      <c r="C54" s="239"/>
      <c r="D54" s="239"/>
      <c r="E54" s="239"/>
    </row>
    <row r="55" spans="1:5" ht="14.4" x14ac:dyDescent="0.3">
      <c r="A55" s="77" t="str">
        <f>IF(B55="","","v")</f>
        <v/>
      </c>
      <c r="B55" s="240" t="str">
        <f>IF(Silabus!K30="","",Silabus!K30)</f>
        <v/>
      </c>
      <c r="C55" s="240"/>
      <c r="D55" s="240"/>
      <c r="E55" s="240"/>
    </row>
    <row r="56" spans="1:5" ht="14.4" x14ac:dyDescent="0.3">
      <c r="A56" s="77" t="str">
        <f>IF(B56="","","v")</f>
        <v>v</v>
      </c>
      <c r="B56" s="263" t="s">
        <v>118</v>
      </c>
      <c r="C56" s="263"/>
      <c r="D56" s="263"/>
      <c r="E56" s="263"/>
    </row>
    <row r="57" spans="1:5" ht="14.4" x14ac:dyDescent="0.3">
      <c r="A57" s="76" t="str">
        <f>IF(B57="","","v")</f>
        <v/>
      </c>
      <c r="B57" s="262"/>
      <c r="C57" s="262"/>
      <c r="D57" s="262"/>
      <c r="E57" s="262"/>
    </row>
    <row r="58" spans="1:5" ht="14.4" x14ac:dyDescent="0.3">
      <c r="A58" s="76" t="str">
        <f>IF(B58="","","v")</f>
        <v/>
      </c>
      <c r="B58" s="262"/>
      <c r="C58" s="262"/>
      <c r="D58" s="262"/>
      <c r="E58" s="262"/>
    </row>
    <row r="59" spans="1:5" s="78" customFormat="1" ht="14.4" x14ac:dyDescent="0.3">
      <c r="A59" s="80"/>
      <c r="B59" s="79"/>
      <c r="C59" s="79"/>
      <c r="D59" s="79"/>
      <c r="E59" s="79"/>
    </row>
    <row r="60" spans="1:5" ht="14.4" x14ac:dyDescent="0.3">
      <c r="A60" s="239" t="s">
        <v>117</v>
      </c>
      <c r="B60" s="239"/>
      <c r="C60" s="239"/>
      <c r="D60" s="239"/>
      <c r="E60" s="239"/>
    </row>
    <row r="61" spans="1:5" ht="14.4" x14ac:dyDescent="0.3">
      <c r="A61" s="256" t="s">
        <v>116</v>
      </c>
      <c r="B61" s="257"/>
      <c r="C61" s="257"/>
      <c r="D61" s="257"/>
      <c r="E61" s="258"/>
    </row>
    <row r="62" spans="1:5" ht="14.4" x14ac:dyDescent="0.3">
      <c r="A62" s="77" t="str">
        <f t="shared" ref="A62:A68" si="1">IF(B62="","","v")</f>
        <v>v</v>
      </c>
      <c r="B62" s="217" t="s">
        <v>115</v>
      </c>
      <c r="C62" s="218"/>
      <c r="D62" s="218"/>
      <c r="E62" s="219"/>
    </row>
    <row r="63" spans="1:5" ht="14.4" x14ac:dyDescent="0.3">
      <c r="A63" s="77" t="str">
        <f t="shared" si="1"/>
        <v>v</v>
      </c>
      <c r="B63" s="217" t="s">
        <v>114</v>
      </c>
      <c r="C63" s="218"/>
      <c r="D63" s="218"/>
      <c r="E63" s="219"/>
    </row>
    <row r="64" spans="1:5" ht="14.4" x14ac:dyDescent="0.3">
      <c r="A64" s="77" t="str">
        <f t="shared" si="1"/>
        <v>v</v>
      </c>
      <c r="B64" s="217" t="s">
        <v>113</v>
      </c>
      <c r="C64" s="218"/>
      <c r="D64" s="218"/>
      <c r="E64" s="219"/>
    </row>
    <row r="65" spans="1:5" ht="14.4" x14ac:dyDescent="0.3">
      <c r="A65" s="77" t="str">
        <f t="shared" si="1"/>
        <v>v</v>
      </c>
      <c r="B65" s="217" t="s">
        <v>112</v>
      </c>
      <c r="C65" s="218"/>
      <c r="D65" s="218"/>
      <c r="E65" s="219"/>
    </row>
    <row r="66" spans="1:5" ht="14.4" x14ac:dyDescent="0.3">
      <c r="A66" s="77" t="str">
        <f t="shared" si="1"/>
        <v>v</v>
      </c>
      <c r="B66" s="217" t="s">
        <v>111</v>
      </c>
      <c r="C66" s="218"/>
      <c r="D66" s="218"/>
      <c r="E66" s="219"/>
    </row>
    <row r="67" spans="1:5" ht="14.4" x14ac:dyDescent="0.3">
      <c r="A67" s="77" t="str">
        <f t="shared" si="1"/>
        <v/>
      </c>
      <c r="B67" s="217"/>
      <c r="C67" s="218"/>
      <c r="D67" s="218"/>
      <c r="E67" s="219"/>
    </row>
    <row r="68" spans="1:5" ht="14.4" x14ac:dyDescent="0.3">
      <c r="A68" s="77" t="str">
        <f t="shared" si="1"/>
        <v/>
      </c>
      <c r="B68" s="217"/>
      <c r="C68" s="218"/>
      <c r="D68" s="218"/>
      <c r="E68" s="219"/>
    </row>
    <row r="69" spans="1:5" ht="14.4" x14ac:dyDescent="0.3">
      <c r="A69" s="256" t="s">
        <v>110</v>
      </c>
      <c r="B69" s="257"/>
      <c r="C69" s="257"/>
      <c r="D69" s="257"/>
      <c r="E69" s="258"/>
    </row>
    <row r="70" spans="1:5" ht="14.4" x14ac:dyDescent="0.3">
      <c r="A70" s="77" t="str">
        <f t="shared" ref="A70:A77" si="2">IF(B70="","","v")</f>
        <v>v</v>
      </c>
      <c r="B70" s="217" t="s">
        <v>109</v>
      </c>
      <c r="C70" s="218"/>
      <c r="D70" s="218"/>
      <c r="E70" s="219"/>
    </row>
    <row r="71" spans="1:5" ht="14.4" x14ac:dyDescent="0.3">
      <c r="A71" s="77" t="str">
        <f t="shared" si="2"/>
        <v>v</v>
      </c>
      <c r="B71" s="217" t="str">
        <f>"Peserta didik mengkaji tentang "&amp;PROPER(MID(D6,7,100))</f>
        <v xml:space="preserve">Peserta didik mengkaji tentang </v>
      </c>
      <c r="C71" s="218"/>
      <c r="D71" s="218"/>
      <c r="E71" s="219"/>
    </row>
    <row r="72" spans="1:5" ht="14.4" x14ac:dyDescent="0.3">
      <c r="A72" s="77" t="str">
        <f t="shared" si="2"/>
        <v>v</v>
      </c>
      <c r="B72" s="217" t="s">
        <v>108</v>
      </c>
      <c r="C72" s="218"/>
      <c r="D72" s="218"/>
      <c r="E72" s="219"/>
    </row>
    <row r="73" spans="1:5" ht="14.4" x14ac:dyDescent="0.3">
      <c r="A73" s="77" t="str">
        <f t="shared" si="2"/>
        <v>v</v>
      </c>
      <c r="B73" s="217" t="s">
        <v>107</v>
      </c>
      <c r="C73" s="218"/>
      <c r="D73" s="218"/>
      <c r="E73" s="219"/>
    </row>
    <row r="74" spans="1:5" ht="14.4" x14ac:dyDescent="0.3">
      <c r="A74" s="77" t="str">
        <f t="shared" si="2"/>
        <v>v</v>
      </c>
      <c r="B74" s="217" t="s">
        <v>106</v>
      </c>
      <c r="C74" s="218"/>
      <c r="D74" s="218"/>
      <c r="E74" s="219"/>
    </row>
    <row r="75" spans="1:5" ht="14.4" x14ac:dyDescent="0.3">
      <c r="A75" s="77" t="str">
        <f t="shared" si="2"/>
        <v>v</v>
      </c>
      <c r="B75" s="217" t="s">
        <v>105</v>
      </c>
      <c r="C75" s="218"/>
      <c r="D75" s="218"/>
      <c r="E75" s="219"/>
    </row>
    <row r="76" spans="1:5" ht="14.4" x14ac:dyDescent="0.3">
      <c r="A76" s="77" t="str">
        <f t="shared" si="2"/>
        <v/>
      </c>
      <c r="B76" s="217"/>
      <c r="C76" s="218"/>
      <c r="D76" s="218"/>
      <c r="E76" s="219"/>
    </row>
    <row r="77" spans="1:5" ht="14.4" x14ac:dyDescent="0.3">
      <c r="A77" s="77" t="str">
        <f t="shared" si="2"/>
        <v/>
      </c>
      <c r="B77" s="217"/>
      <c r="C77" s="218"/>
      <c r="D77" s="218"/>
      <c r="E77" s="219"/>
    </row>
    <row r="78" spans="1:5" ht="14.4" x14ac:dyDescent="0.3">
      <c r="A78" s="256" t="s">
        <v>104</v>
      </c>
      <c r="B78" s="257"/>
      <c r="C78" s="257"/>
      <c r="D78" s="257"/>
      <c r="E78" s="258"/>
    </row>
    <row r="79" spans="1:5" ht="14.4" x14ac:dyDescent="0.3">
      <c r="A79" s="77" t="str">
        <f t="shared" ref="A79:A85" si="3">IF(B79="","","v")</f>
        <v>v</v>
      </c>
      <c r="B79" s="217" t="s">
        <v>103</v>
      </c>
      <c r="C79" s="218"/>
      <c r="D79" s="218"/>
      <c r="E79" s="219"/>
    </row>
    <row r="80" spans="1:5" ht="14.4" x14ac:dyDescent="0.3">
      <c r="A80" s="77" t="str">
        <f t="shared" si="3"/>
        <v>v</v>
      </c>
      <c r="B80" s="217" t="s">
        <v>102</v>
      </c>
      <c r="C80" s="218"/>
      <c r="D80" s="218"/>
      <c r="E80" s="219"/>
    </row>
    <row r="81" spans="1:5" ht="14.4" x14ac:dyDescent="0.3">
      <c r="A81" s="77" t="str">
        <f t="shared" si="3"/>
        <v>v</v>
      </c>
      <c r="B81" s="217" t="s">
        <v>101</v>
      </c>
      <c r="C81" s="218"/>
      <c r="D81" s="218"/>
      <c r="E81" s="219"/>
    </row>
    <row r="82" spans="1:5" ht="14.4" x14ac:dyDescent="0.3">
      <c r="A82" s="77" t="str">
        <f t="shared" si="3"/>
        <v>v</v>
      </c>
      <c r="B82" s="217" t="s">
        <v>100</v>
      </c>
      <c r="C82" s="218"/>
      <c r="D82" s="218"/>
      <c r="E82" s="219"/>
    </row>
    <row r="83" spans="1:5" ht="14.4" x14ac:dyDescent="0.3">
      <c r="A83" s="77" t="str">
        <f t="shared" si="3"/>
        <v/>
      </c>
      <c r="B83" s="217"/>
      <c r="C83" s="218"/>
      <c r="D83" s="218"/>
      <c r="E83" s="219"/>
    </row>
    <row r="84" spans="1:5" ht="14.4" x14ac:dyDescent="0.3">
      <c r="A84" s="77" t="str">
        <f t="shared" si="3"/>
        <v/>
      </c>
      <c r="B84" s="217"/>
      <c r="C84" s="218"/>
      <c r="D84" s="218"/>
      <c r="E84" s="219"/>
    </row>
    <row r="85" spans="1:5" ht="14.4" x14ac:dyDescent="0.3">
      <c r="A85" s="76" t="str">
        <f t="shared" si="3"/>
        <v/>
      </c>
      <c r="B85" s="250"/>
      <c r="C85" s="251"/>
      <c r="D85" s="251"/>
      <c r="E85" s="252"/>
    </row>
    <row r="86" spans="1:5" s="4" customFormat="1" ht="14.4" x14ac:dyDescent="0.3">
      <c r="A86" s="255"/>
      <c r="B86" s="255"/>
      <c r="C86" s="255"/>
      <c r="D86" s="255"/>
      <c r="E86" s="255"/>
    </row>
    <row r="87" spans="1:5" ht="14.4" x14ac:dyDescent="0.3">
      <c r="A87" s="253" t="s">
        <v>99</v>
      </c>
      <c r="B87" s="253"/>
      <c r="C87" s="253"/>
      <c r="D87" s="253"/>
      <c r="E87" s="253"/>
    </row>
    <row r="88" spans="1:5" ht="14.4" x14ac:dyDescent="0.3">
      <c r="A88" s="254" t="s">
        <v>98</v>
      </c>
      <c r="B88" s="246"/>
      <c r="C88" s="4" t="s">
        <v>0</v>
      </c>
      <c r="D88" s="248" t="s">
        <v>97</v>
      </c>
      <c r="E88" s="249"/>
    </row>
    <row r="89" spans="1:5" ht="14.4" x14ac:dyDescent="0.3">
      <c r="A89" s="246" t="s">
        <v>96</v>
      </c>
      <c r="B89" s="247"/>
      <c r="C89" s="4" t="s">
        <v>0</v>
      </c>
      <c r="D89" s="248" t="s">
        <v>95</v>
      </c>
      <c r="E89" s="249"/>
    </row>
    <row r="90" spans="1:5" ht="14.4" x14ac:dyDescent="0.3">
      <c r="A90" s="246" t="s">
        <v>94</v>
      </c>
      <c r="B90" s="247"/>
      <c r="C90" s="4" t="s">
        <v>0</v>
      </c>
      <c r="D90" s="248" t="s">
        <v>93</v>
      </c>
      <c r="E90" s="249"/>
    </row>
    <row r="91" spans="1:5" ht="14.4" x14ac:dyDescent="0.3"/>
    <row r="92" spans="1:5" ht="14.4" x14ac:dyDescent="0.3"/>
    <row r="93" spans="1:5" ht="14.4" x14ac:dyDescent="0.3">
      <c r="B93" s="1" t="e">
        <f>#REF!</f>
        <v>#REF!</v>
      </c>
      <c r="E93" s="1" t="e">
        <f>"Bandung Barat,      Juli "&amp;MID(#REF!,1,4)</f>
        <v>#REF!</v>
      </c>
    </row>
    <row r="94" spans="1:5" ht="14.4" x14ac:dyDescent="0.3">
      <c r="B94" s="1" t="e">
        <f>#REF!</f>
        <v>#REF!</v>
      </c>
      <c r="E94" s="1" t="e">
        <f>#REF!</f>
        <v>#REF!</v>
      </c>
    </row>
    <row r="95" spans="1:5" ht="14.4" x14ac:dyDescent="0.3"/>
    <row r="96" spans="1:5" ht="14.4" x14ac:dyDescent="0.3"/>
    <row r="97" spans="2:5" ht="14.4" x14ac:dyDescent="0.3"/>
    <row r="98" spans="2:5" ht="14.4" x14ac:dyDescent="0.3">
      <c r="B98" s="64" t="e">
        <f>#REF!</f>
        <v>#REF!</v>
      </c>
      <c r="E98" s="64" t="e">
        <f>#REF!</f>
        <v>#REF!</v>
      </c>
    </row>
    <row r="99" spans="2:5" ht="14.4" x14ac:dyDescent="0.3">
      <c r="B99" s="1" t="e">
        <f>#REF!</f>
        <v>#REF!</v>
      </c>
      <c r="E99" s="1" t="e">
        <f>#REF!</f>
        <v>#REF!</v>
      </c>
    </row>
    <row r="100" spans="2:5" ht="14.4" x14ac:dyDescent="0.3"/>
    <row r="101" spans="2:5" ht="21" hidden="1" customHeight="1" x14ac:dyDescent="0.3"/>
    <row r="102" spans="2:5" ht="14.4" hidden="1" x14ac:dyDescent="0.3"/>
    <row r="103" spans="2:5" ht="14.4" hidden="1" x14ac:dyDescent="0.3"/>
    <row r="104" spans="2:5" ht="14.4" hidden="1" x14ac:dyDescent="0.3"/>
    <row r="105" spans="2:5" ht="14.4" hidden="1" x14ac:dyDescent="0.3"/>
    <row r="106" spans="2:5" ht="14.4" hidden="1" x14ac:dyDescent="0.3"/>
    <row r="107" spans="2:5" ht="14.4" hidden="1" x14ac:dyDescent="0.3"/>
    <row r="108" spans="2:5" ht="14.4" hidden="1" x14ac:dyDescent="0.3"/>
    <row r="109" spans="2:5" ht="14.4" hidden="1" x14ac:dyDescent="0.3"/>
    <row r="110" spans="2:5" ht="14.4" hidden="1" x14ac:dyDescent="0.3"/>
    <row r="111" spans="2:5" ht="15" hidden="1" customHeight="1" x14ac:dyDescent="0.3"/>
    <row r="112" spans="2:5" ht="14.4" hidden="1" x14ac:dyDescent="0.3"/>
    <row r="113" ht="14.4" hidden="1" x14ac:dyDescent="0.3"/>
    <row r="114" ht="14.4" hidden="1" x14ac:dyDescent="0.3"/>
    <row r="115" ht="14.4" hidden="1" x14ac:dyDescent="0.3"/>
    <row r="116" ht="14.4" hidden="1" x14ac:dyDescent="0.3"/>
    <row r="117" ht="14.4" hidden="1" x14ac:dyDescent="0.3"/>
    <row r="118" ht="14.4" hidden="1" x14ac:dyDescent="0.3"/>
    <row r="119" ht="14.4" hidden="1" x14ac:dyDescent="0.3"/>
    <row r="120" ht="14.4" hidden="1" x14ac:dyDescent="0.3"/>
    <row r="121" ht="14.4" hidden="1" x14ac:dyDescent="0.3"/>
    <row r="122" ht="14.4" hidden="1" x14ac:dyDescent="0.3"/>
    <row r="123" ht="14.4" hidden="1" x14ac:dyDescent="0.3"/>
    <row r="124" ht="14.4" hidden="1" x14ac:dyDescent="0.3"/>
    <row r="125" ht="14.4" hidden="1" x14ac:dyDescent="0.3"/>
    <row r="126" ht="14.4" hidden="1" x14ac:dyDescent="0.3"/>
    <row r="127" ht="14.4" hidden="1" x14ac:dyDescent="0.3"/>
    <row r="128" ht="14.4" hidden="1" x14ac:dyDescent="0.3"/>
    <row r="129" ht="14.4" hidden="1" x14ac:dyDescent="0.3"/>
    <row r="130" ht="14.4" hidden="1" x14ac:dyDescent="0.3"/>
    <row r="131" ht="14.4" hidden="1" x14ac:dyDescent="0.3"/>
    <row r="132" ht="14.4" hidden="1" x14ac:dyDescent="0.3"/>
    <row r="133" ht="14.4" hidden="1" x14ac:dyDescent="0.3"/>
    <row r="134" ht="14.4" hidden="1" x14ac:dyDescent="0.3"/>
    <row r="135" ht="14.4" hidden="1" x14ac:dyDescent="0.3"/>
    <row r="136" ht="14.4" hidden="1" x14ac:dyDescent="0.3"/>
    <row r="137" ht="14.4" hidden="1" x14ac:dyDescent="0.3"/>
    <row r="138" ht="14.4" hidden="1" x14ac:dyDescent="0.3"/>
    <row r="139" ht="14.4" hidden="1" x14ac:dyDescent="0.3"/>
    <row r="140" ht="14.4" hidden="1" x14ac:dyDescent="0.3"/>
    <row r="141" ht="14.4" hidden="1" x14ac:dyDescent="0.3"/>
    <row r="142" ht="14.4" hidden="1" x14ac:dyDescent="0.3"/>
    <row r="143" ht="14.4" hidden="1" x14ac:dyDescent="0.3"/>
    <row r="144" ht="14.4" hidden="1" x14ac:dyDescent="0.3"/>
    <row r="145" ht="14.4" hidden="1" x14ac:dyDescent="0.3"/>
    <row r="146" ht="14.4" hidden="1" x14ac:dyDescent="0.3"/>
    <row r="147" ht="14.4" hidden="1" x14ac:dyDescent="0.3"/>
    <row r="148" ht="14.4" hidden="1" x14ac:dyDescent="0.3"/>
    <row r="149" ht="14.4" hidden="1" x14ac:dyDescent="0.3"/>
    <row r="150" ht="14.4" hidden="1" x14ac:dyDescent="0.3"/>
    <row r="151" ht="14.4" hidden="1" x14ac:dyDescent="0.3"/>
    <row r="152" ht="14.4" hidden="1" x14ac:dyDescent="0.3"/>
    <row r="153" ht="14.4" hidden="1" x14ac:dyDescent="0.3"/>
    <row r="154" ht="14.4" hidden="1" x14ac:dyDescent="0.3"/>
    <row r="155" ht="21" hidden="1" customHeight="1" x14ac:dyDescent="0.3"/>
    <row r="156" ht="14.4" hidden="1" x14ac:dyDescent="0.3"/>
    <row r="157" ht="14.4" hidden="1" x14ac:dyDescent="0.3"/>
    <row r="158" ht="14.4" hidden="1" x14ac:dyDescent="0.3"/>
    <row r="159" ht="14.4" hidden="1" x14ac:dyDescent="0.3"/>
    <row r="160" ht="14.4" hidden="1" x14ac:dyDescent="0.3"/>
    <row r="161" ht="14.4" hidden="1" x14ac:dyDescent="0.3"/>
    <row r="162" ht="14.4" hidden="1" x14ac:dyDescent="0.3"/>
    <row r="163" ht="14.4" hidden="1" x14ac:dyDescent="0.3"/>
    <row r="164" ht="14.4" hidden="1" x14ac:dyDescent="0.3"/>
    <row r="165" ht="15" hidden="1" customHeight="1" x14ac:dyDescent="0.3"/>
    <row r="166" ht="14.4" hidden="1" x14ac:dyDescent="0.3"/>
    <row r="167" ht="14.4" hidden="1" x14ac:dyDescent="0.3"/>
    <row r="168" ht="14.4" hidden="1" x14ac:dyDescent="0.3"/>
    <row r="169" ht="14.4" hidden="1" x14ac:dyDescent="0.3"/>
    <row r="170" ht="14.4" hidden="1" x14ac:dyDescent="0.3"/>
    <row r="171" ht="14.4" hidden="1" x14ac:dyDescent="0.3"/>
    <row r="172" ht="14.4" hidden="1" x14ac:dyDescent="0.3"/>
    <row r="173" ht="14.4" hidden="1" x14ac:dyDescent="0.3"/>
    <row r="174" ht="14.4" hidden="1" x14ac:dyDescent="0.3"/>
    <row r="175" ht="14.4" hidden="1" x14ac:dyDescent="0.3"/>
    <row r="176" ht="14.4" hidden="1" x14ac:dyDescent="0.3"/>
    <row r="177" ht="14.4" hidden="1" x14ac:dyDescent="0.3"/>
    <row r="178" ht="14.4" hidden="1" x14ac:dyDescent="0.3"/>
    <row r="179" ht="14.4" hidden="1" x14ac:dyDescent="0.3"/>
    <row r="180" ht="14.4" hidden="1" x14ac:dyDescent="0.3"/>
    <row r="181" ht="14.4" hidden="1" x14ac:dyDescent="0.3"/>
    <row r="182" ht="14.4" hidden="1" x14ac:dyDescent="0.3"/>
    <row r="183" ht="14.4" hidden="1" x14ac:dyDescent="0.3"/>
    <row r="184" ht="14.4" hidden="1" x14ac:dyDescent="0.3"/>
    <row r="185" ht="14.4" hidden="1" x14ac:dyDescent="0.3"/>
    <row r="186" ht="14.4" hidden="1" x14ac:dyDescent="0.3"/>
    <row r="187" ht="14.4" hidden="1" x14ac:dyDescent="0.3"/>
    <row r="188" ht="14.4" hidden="1" x14ac:dyDescent="0.3"/>
    <row r="189" ht="14.4" hidden="1" x14ac:dyDescent="0.3"/>
    <row r="190" ht="14.4" hidden="1" x14ac:dyDescent="0.3"/>
    <row r="191" ht="14.4" hidden="1" x14ac:dyDescent="0.3"/>
    <row r="192" ht="14.4" hidden="1" x14ac:dyDescent="0.3"/>
    <row r="193" ht="14.4" hidden="1" x14ac:dyDescent="0.3"/>
    <row r="194" ht="14.4" hidden="1" x14ac:dyDescent="0.3"/>
    <row r="195" ht="14.4" hidden="1" x14ac:dyDescent="0.3"/>
    <row r="196" ht="14.4" hidden="1" x14ac:dyDescent="0.3"/>
    <row r="197" ht="14.4" hidden="1" x14ac:dyDescent="0.3"/>
    <row r="198" ht="14.4" hidden="1" x14ac:dyDescent="0.3"/>
    <row r="199" ht="14.4" hidden="1" x14ac:dyDescent="0.3"/>
    <row r="200" ht="14.4" hidden="1" x14ac:dyDescent="0.3"/>
    <row r="201" ht="14.4" hidden="1" x14ac:dyDescent="0.3"/>
    <row r="202" ht="14.4" hidden="1" x14ac:dyDescent="0.3"/>
    <row r="203" ht="14.4" hidden="1" x14ac:dyDescent="0.3"/>
    <row r="204" ht="14.4" hidden="1" x14ac:dyDescent="0.3"/>
    <row r="205" ht="14.4" hidden="1" x14ac:dyDescent="0.3"/>
    <row r="206" ht="14.4" hidden="1" x14ac:dyDescent="0.3"/>
    <row r="207" ht="14.4" hidden="1" x14ac:dyDescent="0.3"/>
    <row r="208" ht="14.4" hidden="1" x14ac:dyDescent="0.3"/>
    <row r="209" ht="21" hidden="1" customHeight="1" x14ac:dyDescent="0.3"/>
    <row r="210" ht="14.4" hidden="1" x14ac:dyDescent="0.3"/>
    <row r="211" ht="14.4" hidden="1" x14ac:dyDescent="0.3"/>
    <row r="212" ht="14.4" hidden="1" x14ac:dyDescent="0.3"/>
    <row r="213" ht="14.4" hidden="1" x14ac:dyDescent="0.3"/>
    <row r="214" ht="14.4" hidden="1" x14ac:dyDescent="0.3"/>
    <row r="215" ht="14.4" hidden="1" x14ac:dyDescent="0.3"/>
    <row r="216" ht="14.4" hidden="1" x14ac:dyDescent="0.3"/>
    <row r="217" ht="14.4" hidden="1" x14ac:dyDescent="0.3"/>
    <row r="218" ht="14.4" hidden="1" x14ac:dyDescent="0.3"/>
    <row r="219" ht="15" hidden="1" customHeight="1" x14ac:dyDescent="0.3"/>
    <row r="220" ht="14.4" hidden="1" x14ac:dyDescent="0.3"/>
    <row r="221" ht="14.4" hidden="1" x14ac:dyDescent="0.3"/>
    <row r="222" ht="14.4" hidden="1" x14ac:dyDescent="0.3"/>
    <row r="223" ht="14.4" hidden="1" x14ac:dyDescent="0.3"/>
    <row r="224" ht="14.4" hidden="1" x14ac:dyDescent="0.3"/>
    <row r="225" ht="14.4" hidden="1" x14ac:dyDescent="0.3"/>
    <row r="226" ht="14.4" hidden="1" x14ac:dyDescent="0.3"/>
    <row r="227" ht="14.4" hidden="1" x14ac:dyDescent="0.3"/>
    <row r="228" ht="14.4" hidden="1" x14ac:dyDescent="0.3"/>
    <row r="229" ht="14.4" hidden="1" x14ac:dyDescent="0.3"/>
    <row r="230" ht="14.4" hidden="1" x14ac:dyDescent="0.3"/>
    <row r="231" ht="14.4" hidden="1" x14ac:dyDescent="0.3"/>
    <row r="232" ht="14.4" hidden="1" x14ac:dyDescent="0.3"/>
    <row r="233" ht="14.4" hidden="1" x14ac:dyDescent="0.3"/>
    <row r="234" ht="14.4" hidden="1" x14ac:dyDescent="0.3"/>
    <row r="235" ht="14.4" hidden="1" x14ac:dyDescent="0.3"/>
    <row r="236" ht="14.4" hidden="1" x14ac:dyDescent="0.3"/>
    <row r="237" ht="14.4" hidden="1" x14ac:dyDescent="0.3"/>
    <row r="238" ht="14.4" hidden="1" x14ac:dyDescent="0.3"/>
    <row r="239" ht="14.4" hidden="1" x14ac:dyDescent="0.3"/>
    <row r="240" ht="14.4" hidden="1" x14ac:dyDescent="0.3"/>
    <row r="241" ht="14.4" hidden="1" x14ac:dyDescent="0.3"/>
    <row r="242" ht="14.4" hidden="1" x14ac:dyDescent="0.3"/>
    <row r="243" ht="14.4" hidden="1" x14ac:dyDescent="0.3"/>
    <row r="244" ht="14.4" hidden="1" x14ac:dyDescent="0.3"/>
    <row r="245" ht="14.4" hidden="1" x14ac:dyDescent="0.3"/>
    <row r="246" ht="14.4" hidden="1" x14ac:dyDescent="0.3"/>
    <row r="247" ht="14.4" hidden="1" x14ac:dyDescent="0.3"/>
    <row r="248" ht="14.4" hidden="1" x14ac:dyDescent="0.3"/>
    <row r="249" ht="14.4" hidden="1" x14ac:dyDescent="0.3"/>
    <row r="250" ht="14.4" hidden="1" x14ac:dyDescent="0.3"/>
    <row r="251" ht="14.4" hidden="1" x14ac:dyDescent="0.3"/>
    <row r="252" ht="14.4" hidden="1" x14ac:dyDescent="0.3"/>
    <row r="253" ht="14.4" hidden="1" x14ac:dyDescent="0.3"/>
    <row r="254" ht="14.4" hidden="1" x14ac:dyDescent="0.3"/>
    <row r="255" ht="14.4" hidden="1" x14ac:dyDescent="0.3"/>
    <row r="256" ht="14.4" hidden="1" x14ac:dyDescent="0.3"/>
    <row r="257" ht="14.4" hidden="1" x14ac:dyDescent="0.3"/>
    <row r="258" ht="14.4" hidden="1" x14ac:dyDescent="0.3"/>
    <row r="259" ht="14.4" hidden="1" x14ac:dyDescent="0.3"/>
    <row r="260" ht="14.4" hidden="1" x14ac:dyDescent="0.3"/>
    <row r="261" ht="14.4" hidden="1" x14ac:dyDescent="0.3"/>
    <row r="262" ht="14.4" hidden="1" x14ac:dyDescent="0.3"/>
    <row r="263" ht="21" hidden="1" customHeight="1" x14ac:dyDescent="0.3"/>
    <row r="264" ht="14.4" hidden="1" x14ac:dyDescent="0.3"/>
    <row r="265" ht="14.4" hidden="1" x14ac:dyDescent="0.3"/>
    <row r="266" ht="14.4" hidden="1" x14ac:dyDescent="0.3"/>
    <row r="267" ht="14.4" hidden="1" x14ac:dyDescent="0.3"/>
    <row r="268" ht="14.4" hidden="1" x14ac:dyDescent="0.3"/>
    <row r="269" ht="14.4" hidden="1" x14ac:dyDescent="0.3"/>
    <row r="270" ht="14.4" hidden="1" x14ac:dyDescent="0.3"/>
    <row r="271" ht="14.4" hidden="1" x14ac:dyDescent="0.3"/>
    <row r="272" ht="14.4" hidden="1" x14ac:dyDescent="0.3"/>
    <row r="273" ht="15" hidden="1" customHeight="1" x14ac:dyDescent="0.3"/>
    <row r="274" ht="14.4" hidden="1" x14ac:dyDescent="0.3"/>
    <row r="275" ht="14.4" hidden="1" x14ac:dyDescent="0.3"/>
    <row r="276" ht="14.4" hidden="1" x14ac:dyDescent="0.3"/>
    <row r="277" ht="14.4" hidden="1" x14ac:dyDescent="0.3"/>
    <row r="278" ht="14.4" hidden="1" x14ac:dyDescent="0.3"/>
    <row r="279" ht="14.4" hidden="1" x14ac:dyDescent="0.3"/>
    <row r="280" ht="14.4" hidden="1" x14ac:dyDescent="0.3"/>
    <row r="281" ht="14.4" hidden="1" x14ac:dyDescent="0.3"/>
    <row r="282" ht="14.4" hidden="1" x14ac:dyDescent="0.3"/>
    <row r="283" ht="14.4" hidden="1" x14ac:dyDescent="0.3"/>
    <row r="284" ht="14.4" hidden="1" x14ac:dyDescent="0.3"/>
    <row r="285" ht="14.4" hidden="1" x14ac:dyDescent="0.3"/>
    <row r="286" ht="14.4" hidden="1" x14ac:dyDescent="0.3"/>
    <row r="287" ht="14.4" hidden="1" x14ac:dyDescent="0.3"/>
    <row r="288" ht="14.4" hidden="1" x14ac:dyDescent="0.3"/>
    <row r="289" ht="14.4" hidden="1" x14ac:dyDescent="0.3"/>
    <row r="290" ht="14.4" hidden="1" x14ac:dyDescent="0.3"/>
    <row r="291" ht="14.4" hidden="1" x14ac:dyDescent="0.3"/>
    <row r="292" ht="14.4" hidden="1" x14ac:dyDescent="0.3"/>
    <row r="293" ht="14.4" hidden="1" x14ac:dyDescent="0.3"/>
    <row r="294" ht="14.4" hidden="1" x14ac:dyDescent="0.3"/>
    <row r="295" ht="14.4" hidden="1" x14ac:dyDescent="0.3"/>
    <row r="296" ht="14.4" hidden="1" x14ac:dyDescent="0.3"/>
    <row r="297" ht="14.4" hidden="1" x14ac:dyDescent="0.3"/>
    <row r="298" ht="14.4" hidden="1" x14ac:dyDescent="0.3"/>
    <row r="299" ht="14.4" hidden="1" x14ac:dyDescent="0.3"/>
    <row r="300" ht="14.4" hidden="1" x14ac:dyDescent="0.3"/>
    <row r="301" ht="14.4" hidden="1" x14ac:dyDescent="0.3"/>
    <row r="302" ht="14.4" hidden="1" x14ac:dyDescent="0.3"/>
    <row r="303" ht="14.4" hidden="1" x14ac:dyDescent="0.3"/>
    <row r="304" ht="14.4" hidden="1" x14ac:dyDescent="0.3"/>
    <row r="305" ht="14.4" hidden="1" x14ac:dyDescent="0.3"/>
    <row r="306" ht="14.4" hidden="1" x14ac:dyDescent="0.3"/>
    <row r="307" ht="14.4" hidden="1" x14ac:dyDescent="0.3"/>
    <row r="308" ht="14.4" hidden="1" x14ac:dyDescent="0.3"/>
    <row r="309" ht="14.4" hidden="1" x14ac:dyDescent="0.3"/>
    <row r="310" ht="14.4" hidden="1" x14ac:dyDescent="0.3"/>
    <row r="311" ht="14.4" hidden="1" x14ac:dyDescent="0.3"/>
    <row r="312" ht="14.4" hidden="1" x14ac:dyDescent="0.3"/>
    <row r="313" ht="14.4" hidden="1" x14ac:dyDescent="0.3"/>
    <row r="314" ht="14.4" hidden="1" x14ac:dyDescent="0.3"/>
    <row r="315" ht="14.4" hidden="1" x14ac:dyDescent="0.3"/>
    <row r="316" ht="14.4" hidden="1" x14ac:dyDescent="0.3"/>
    <row r="317" ht="21" hidden="1" customHeight="1" x14ac:dyDescent="0.3"/>
    <row r="318" ht="14.4" hidden="1" x14ac:dyDescent="0.3"/>
    <row r="319" ht="14.4" hidden="1" x14ac:dyDescent="0.3"/>
    <row r="320" ht="14.4" hidden="1" x14ac:dyDescent="0.3"/>
    <row r="321" ht="14.4" hidden="1" x14ac:dyDescent="0.3"/>
    <row r="322" ht="14.4" hidden="1" x14ac:dyDescent="0.3"/>
    <row r="323" ht="14.4" hidden="1" x14ac:dyDescent="0.3"/>
    <row r="324" ht="14.4" hidden="1" x14ac:dyDescent="0.3"/>
    <row r="325" ht="14.4" hidden="1" x14ac:dyDescent="0.3"/>
    <row r="326" ht="14.4" hidden="1" x14ac:dyDescent="0.3"/>
    <row r="327" ht="15" hidden="1" customHeight="1" x14ac:dyDescent="0.3"/>
    <row r="328" ht="14.4" hidden="1" x14ac:dyDescent="0.3"/>
    <row r="329" ht="14.4" hidden="1" x14ac:dyDescent="0.3"/>
    <row r="330" ht="14.4" hidden="1" x14ac:dyDescent="0.3"/>
    <row r="331" ht="14.4" hidden="1" x14ac:dyDescent="0.3"/>
    <row r="332" ht="14.4" hidden="1" x14ac:dyDescent="0.3"/>
    <row r="333" ht="14.4" hidden="1" x14ac:dyDescent="0.3"/>
    <row r="334" ht="14.4" hidden="1" x14ac:dyDescent="0.3"/>
    <row r="335" ht="14.4" hidden="1" x14ac:dyDescent="0.3"/>
    <row r="336" ht="14.4" hidden="1" x14ac:dyDescent="0.3"/>
    <row r="337" ht="14.4" hidden="1" x14ac:dyDescent="0.3"/>
    <row r="338" ht="14.4" hidden="1" x14ac:dyDescent="0.3"/>
    <row r="339" ht="14.4" hidden="1" x14ac:dyDescent="0.3"/>
    <row r="340" ht="14.4" hidden="1" x14ac:dyDescent="0.3"/>
    <row r="341" ht="14.4" hidden="1" x14ac:dyDescent="0.3"/>
    <row r="342" ht="14.4" hidden="1" x14ac:dyDescent="0.3"/>
    <row r="343" ht="14.4" hidden="1" x14ac:dyDescent="0.3"/>
    <row r="344" ht="14.4" hidden="1" x14ac:dyDescent="0.3"/>
    <row r="345" ht="14.4" hidden="1" x14ac:dyDescent="0.3"/>
    <row r="346" ht="14.4" hidden="1" x14ac:dyDescent="0.3"/>
    <row r="347" ht="14.4" hidden="1" x14ac:dyDescent="0.3"/>
    <row r="348" ht="14.4" hidden="1" x14ac:dyDescent="0.3"/>
    <row r="349" ht="14.4" hidden="1" x14ac:dyDescent="0.3"/>
    <row r="350" ht="14.4" hidden="1" x14ac:dyDescent="0.3"/>
    <row r="351" ht="14.4" hidden="1" x14ac:dyDescent="0.3"/>
    <row r="352" ht="14.4" hidden="1" x14ac:dyDescent="0.3"/>
    <row r="353" ht="14.4" hidden="1" x14ac:dyDescent="0.3"/>
    <row r="354" ht="14.4" hidden="1" x14ac:dyDescent="0.3"/>
    <row r="355" ht="14.4" hidden="1" x14ac:dyDescent="0.3"/>
    <row r="356" ht="14.4" hidden="1" x14ac:dyDescent="0.3"/>
    <row r="357" ht="14.4" hidden="1" x14ac:dyDescent="0.3"/>
    <row r="358" ht="14.4" hidden="1" x14ac:dyDescent="0.3"/>
    <row r="359" ht="14.4" hidden="1" x14ac:dyDescent="0.3"/>
    <row r="360" ht="14.4" hidden="1" x14ac:dyDescent="0.3"/>
    <row r="361" ht="14.4" hidden="1" x14ac:dyDescent="0.3"/>
    <row r="362" ht="14.4" hidden="1" x14ac:dyDescent="0.3"/>
    <row r="363" ht="14.4" hidden="1" x14ac:dyDescent="0.3"/>
    <row r="364" ht="14.4" hidden="1" x14ac:dyDescent="0.3"/>
    <row r="365" ht="14.4" hidden="1" x14ac:dyDescent="0.3"/>
    <row r="366" ht="14.4" hidden="1" x14ac:dyDescent="0.3"/>
    <row r="367" ht="14.4" hidden="1" x14ac:dyDescent="0.3"/>
    <row r="368" ht="14.4" hidden="1" x14ac:dyDescent="0.3"/>
    <row r="369" ht="14.4" hidden="1" x14ac:dyDescent="0.3"/>
    <row r="370" ht="14.4" hidden="1" x14ac:dyDescent="0.3"/>
    <row r="371" ht="21" hidden="1" customHeight="1" x14ac:dyDescent="0.3"/>
    <row r="372" ht="14.4" hidden="1" x14ac:dyDescent="0.3"/>
    <row r="373" ht="14.4" hidden="1" x14ac:dyDescent="0.3"/>
    <row r="374" ht="14.4" hidden="1" x14ac:dyDescent="0.3"/>
    <row r="375" ht="14.4" hidden="1" x14ac:dyDescent="0.3"/>
    <row r="376" ht="14.4" hidden="1" x14ac:dyDescent="0.3"/>
    <row r="377" ht="14.4" hidden="1" x14ac:dyDescent="0.3"/>
    <row r="378" ht="14.4" hidden="1" x14ac:dyDescent="0.3"/>
    <row r="379" ht="14.4" hidden="1" x14ac:dyDescent="0.3"/>
    <row r="380" ht="14.4" hidden="1" x14ac:dyDescent="0.3"/>
    <row r="381" ht="15" hidden="1" customHeight="1" x14ac:dyDescent="0.3"/>
    <row r="382" ht="14.4" hidden="1" x14ac:dyDescent="0.3"/>
    <row r="383" ht="14.4" hidden="1" x14ac:dyDescent="0.3"/>
    <row r="384" ht="14.4" hidden="1" x14ac:dyDescent="0.3"/>
    <row r="385" ht="14.4" hidden="1" x14ac:dyDescent="0.3"/>
    <row r="386" ht="14.4" hidden="1" x14ac:dyDescent="0.3"/>
    <row r="387" ht="14.4" hidden="1" x14ac:dyDescent="0.3"/>
    <row r="388" ht="14.4" hidden="1" x14ac:dyDescent="0.3"/>
    <row r="389" ht="14.4" hidden="1" x14ac:dyDescent="0.3"/>
    <row r="390" ht="14.4" hidden="1" x14ac:dyDescent="0.3"/>
    <row r="391" ht="14.4" hidden="1" x14ac:dyDescent="0.3"/>
    <row r="392" ht="14.4" hidden="1" x14ac:dyDescent="0.3"/>
    <row r="393" ht="14.4" hidden="1" x14ac:dyDescent="0.3"/>
    <row r="394" ht="14.4" hidden="1" x14ac:dyDescent="0.3"/>
    <row r="395" ht="14.4" hidden="1" x14ac:dyDescent="0.3"/>
    <row r="396" ht="14.4" hidden="1" x14ac:dyDescent="0.3"/>
    <row r="397" ht="14.4" hidden="1" x14ac:dyDescent="0.3"/>
    <row r="398" ht="14.4" hidden="1" x14ac:dyDescent="0.3"/>
    <row r="399" ht="14.4" hidden="1" x14ac:dyDescent="0.3"/>
    <row r="400" ht="14.4" hidden="1" x14ac:dyDescent="0.3"/>
    <row r="401" ht="14.4" hidden="1" x14ac:dyDescent="0.3"/>
    <row r="402" ht="14.4" hidden="1" x14ac:dyDescent="0.3"/>
    <row r="403" ht="14.4" hidden="1" x14ac:dyDescent="0.3"/>
    <row r="404" ht="14.4" hidden="1" x14ac:dyDescent="0.3"/>
    <row r="405" ht="14.4" hidden="1" x14ac:dyDescent="0.3"/>
    <row r="406" ht="14.4" hidden="1" x14ac:dyDescent="0.3"/>
    <row r="407" ht="14.4" hidden="1" x14ac:dyDescent="0.3"/>
    <row r="408" ht="14.4" hidden="1" x14ac:dyDescent="0.3"/>
    <row r="409" ht="14.4" hidden="1" x14ac:dyDescent="0.3"/>
    <row r="410" ht="14.4" hidden="1" x14ac:dyDescent="0.3"/>
    <row r="411" ht="14.4" hidden="1" x14ac:dyDescent="0.3"/>
    <row r="412" ht="14.4" hidden="1" x14ac:dyDescent="0.3"/>
    <row r="413" ht="14.4" hidden="1" x14ac:dyDescent="0.3"/>
    <row r="414" ht="14.4" hidden="1" x14ac:dyDescent="0.3"/>
    <row r="415" ht="14.4" hidden="1" x14ac:dyDescent="0.3"/>
    <row r="416" ht="14.4" hidden="1" x14ac:dyDescent="0.3"/>
    <row r="417" ht="14.4" hidden="1" x14ac:dyDescent="0.3"/>
    <row r="418" ht="14.4" hidden="1" x14ac:dyDescent="0.3"/>
    <row r="419" ht="14.4" hidden="1" x14ac:dyDescent="0.3"/>
    <row r="420" ht="14.4" hidden="1" x14ac:dyDescent="0.3"/>
    <row r="421" ht="14.4" hidden="1" x14ac:dyDescent="0.3"/>
    <row r="422" ht="14.4" hidden="1" x14ac:dyDescent="0.3"/>
    <row r="423" ht="14.4" hidden="1" x14ac:dyDescent="0.3"/>
    <row r="424" ht="14.4" hidden="1" x14ac:dyDescent="0.3"/>
    <row r="425" ht="21" hidden="1" customHeight="1" x14ac:dyDescent="0.3"/>
    <row r="426" ht="14.4" hidden="1" x14ac:dyDescent="0.3"/>
    <row r="427" ht="14.4" hidden="1" x14ac:dyDescent="0.3"/>
    <row r="428" ht="14.4" hidden="1" x14ac:dyDescent="0.3"/>
    <row r="429" ht="14.4" hidden="1" x14ac:dyDescent="0.3"/>
    <row r="430" ht="14.4" hidden="1" x14ac:dyDescent="0.3"/>
    <row r="431" ht="14.4" hidden="1" x14ac:dyDescent="0.3"/>
    <row r="432" ht="14.4" hidden="1" x14ac:dyDescent="0.3"/>
    <row r="433" ht="14.4" hidden="1" x14ac:dyDescent="0.3"/>
    <row r="434" ht="14.4" hidden="1" x14ac:dyDescent="0.3"/>
    <row r="435" ht="15" hidden="1" customHeight="1" x14ac:dyDescent="0.3"/>
    <row r="436" ht="14.4" hidden="1" x14ac:dyDescent="0.3"/>
    <row r="437" ht="14.4" hidden="1" x14ac:dyDescent="0.3"/>
    <row r="438" ht="14.4" hidden="1" x14ac:dyDescent="0.3"/>
    <row r="439" ht="14.4" hidden="1" x14ac:dyDescent="0.3"/>
    <row r="440" ht="14.4" hidden="1" x14ac:dyDescent="0.3"/>
    <row r="441" ht="14.4" hidden="1" x14ac:dyDescent="0.3"/>
    <row r="442" ht="14.4" hidden="1" x14ac:dyDescent="0.3"/>
    <row r="443" ht="14.4" hidden="1" x14ac:dyDescent="0.3"/>
    <row r="444" ht="14.4" hidden="1" x14ac:dyDescent="0.3"/>
    <row r="445" ht="14.4" hidden="1" x14ac:dyDescent="0.3"/>
    <row r="446" ht="14.4" hidden="1" x14ac:dyDescent="0.3"/>
    <row r="447" ht="14.4" hidden="1" x14ac:dyDescent="0.3"/>
    <row r="448" ht="14.4" hidden="1" x14ac:dyDescent="0.3"/>
    <row r="449" ht="14.4" hidden="1" x14ac:dyDescent="0.3"/>
    <row r="450" ht="14.4" hidden="1" x14ac:dyDescent="0.3"/>
    <row r="451" ht="14.4" hidden="1" x14ac:dyDescent="0.3"/>
    <row r="452" ht="14.4" hidden="1" x14ac:dyDescent="0.3"/>
    <row r="453" ht="14.4" hidden="1" x14ac:dyDescent="0.3"/>
    <row r="454" ht="14.4" hidden="1" x14ac:dyDescent="0.3"/>
    <row r="455" ht="14.4" hidden="1" x14ac:dyDescent="0.3"/>
    <row r="456" ht="14.4" hidden="1" x14ac:dyDescent="0.3"/>
    <row r="457" ht="14.4" hidden="1" x14ac:dyDescent="0.3"/>
    <row r="458" ht="14.4" hidden="1" x14ac:dyDescent="0.3"/>
    <row r="459" ht="14.4" hidden="1" x14ac:dyDescent="0.3"/>
    <row r="460" ht="14.4" hidden="1" x14ac:dyDescent="0.3"/>
    <row r="461" ht="14.4" hidden="1" x14ac:dyDescent="0.3"/>
    <row r="462" ht="14.4" hidden="1" x14ac:dyDescent="0.3"/>
    <row r="463" ht="14.4" hidden="1" x14ac:dyDescent="0.3"/>
    <row r="464" ht="14.4" hidden="1" x14ac:dyDescent="0.3"/>
    <row r="465" ht="14.4" hidden="1" x14ac:dyDescent="0.3"/>
    <row r="466" ht="14.4" hidden="1" x14ac:dyDescent="0.3"/>
    <row r="467" ht="14.4" hidden="1" x14ac:dyDescent="0.3"/>
    <row r="468" ht="14.4" hidden="1" x14ac:dyDescent="0.3"/>
    <row r="469" ht="14.4" hidden="1" x14ac:dyDescent="0.3"/>
    <row r="470" ht="14.4" hidden="1" x14ac:dyDescent="0.3"/>
    <row r="471" ht="14.4" hidden="1" x14ac:dyDescent="0.3"/>
    <row r="472" ht="14.4" hidden="1" x14ac:dyDescent="0.3"/>
    <row r="473" ht="14.4" hidden="1" x14ac:dyDescent="0.3"/>
    <row r="474" ht="14.4" hidden="1" x14ac:dyDescent="0.3"/>
    <row r="475" ht="14.4" hidden="1" x14ac:dyDescent="0.3"/>
    <row r="476" ht="14.4" hidden="1" x14ac:dyDescent="0.3"/>
    <row r="477" ht="14.4" hidden="1" x14ac:dyDescent="0.3"/>
    <row r="478" ht="14.4" hidden="1" x14ac:dyDescent="0.3"/>
    <row r="479" ht="21" hidden="1" customHeight="1" x14ac:dyDescent="0.3"/>
    <row r="480" ht="14.4" hidden="1" x14ac:dyDescent="0.3"/>
    <row r="481" ht="14.4" hidden="1" x14ac:dyDescent="0.3"/>
    <row r="482" ht="14.4" hidden="1" x14ac:dyDescent="0.3"/>
    <row r="483" ht="14.4" hidden="1" x14ac:dyDescent="0.3"/>
    <row r="484" ht="14.4" hidden="1" x14ac:dyDescent="0.3"/>
    <row r="485" ht="14.4" hidden="1" x14ac:dyDescent="0.3"/>
    <row r="486" ht="14.4" hidden="1" x14ac:dyDescent="0.3"/>
    <row r="487" ht="14.4" hidden="1" x14ac:dyDescent="0.3"/>
    <row r="488" ht="14.4" hidden="1" x14ac:dyDescent="0.3"/>
    <row r="489" ht="15" hidden="1" customHeight="1" x14ac:dyDescent="0.3"/>
    <row r="490" ht="14.4" hidden="1" x14ac:dyDescent="0.3"/>
    <row r="491" ht="14.4" hidden="1" x14ac:dyDescent="0.3"/>
    <row r="492" ht="14.4" hidden="1" x14ac:dyDescent="0.3"/>
    <row r="493" ht="14.4" hidden="1" x14ac:dyDescent="0.3"/>
    <row r="494" ht="14.4" hidden="1" x14ac:dyDescent="0.3"/>
    <row r="495" ht="14.4" hidden="1" x14ac:dyDescent="0.3"/>
    <row r="496" ht="14.4" hidden="1" x14ac:dyDescent="0.3"/>
    <row r="497" ht="14.4" hidden="1" x14ac:dyDescent="0.3"/>
    <row r="498" ht="14.4" hidden="1" x14ac:dyDescent="0.3"/>
    <row r="499" ht="14.4" hidden="1" x14ac:dyDescent="0.3"/>
    <row r="500" ht="14.4" hidden="1" x14ac:dyDescent="0.3"/>
    <row r="501" ht="14.4" hidden="1" x14ac:dyDescent="0.3"/>
    <row r="502" ht="14.4" hidden="1" x14ac:dyDescent="0.3"/>
    <row r="503" ht="14.4" hidden="1" x14ac:dyDescent="0.3"/>
    <row r="504" ht="14.4" hidden="1" x14ac:dyDescent="0.3"/>
    <row r="505" ht="14.4" hidden="1" x14ac:dyDescent="0.3"/>
    <row r="506" ht="14.4" hidden="1" x14ac:dyDescent="0.3"/>
    <row r="507" ht="14.4" hidden="1" x14ac:dyDescent="0.3"/>
    <row r="508" ht="14.4" hidden="1" x14ac:dyDescent="0.3"/>
    <row r="509" ht="14.4" hidden="1" x14ac:dyDescent="0.3"/>
    <row r="510" ht="14.4" hidden="1" x14ac:dyDescent="0.3"/>
    <row r="511" ht="14.4" hidden="1" x14ac:dyDescent="0.3"/>
    <row r="512" ht="14.4" hidden="1" x14ac:dyDescent="0.3"/>
    <row r="513" ht="14.4" hidden="1" x14ac:dyDescent="0.3"/>
    <row r="514" ht="14.4" hidden="1" x14ac:dyDescent="0.3"/>
    <row r="515" ht="14.4" hidden="1" x14ac:dyDescent="0.3"/>
    <row r="516" ht="14.4" hidden="1" x14ac:dyDescent="0.3"/>
    <row r="517" ht="14.4" hidden="1" x14ac:dyDescent="0.3"/>
    <row r="518" ht="14.4" hidden="1" x14ac:dyDescent="0.3"/>
    <row r="519" ht="14.4" hidden="1" x14ac:dyDescent="0.3"/>
    <row r="520" ht="14.4" hidden="1" x14ac:dyDescent="0.3"/>
    <row r="521" ht="14.4" hidden="1" x14ac:dyDescent="0.3"/>
    <row r="522" ht="14.4" hidden="1" x14ac:dyDescent="0.3"/>
    <row r="523" ht="14.4" hidden="1" x14ac:dyDescent="0.3"/>
    <row r="524" ht="14.4" hidden="1" x14ac:dyDescent="0.3"/>
    <row r="525" ht="14.4" hidden="1" x14ac:dyDescent="0.3"/>
    <row r="526" ht="14.4" hidden="1" x14ac:dyDescent="0.3"/>
    <row r="527" ht="14.4" hidden="1" x14ac:dyDescent="0.3"/>
    <row r="528" ht="14.4" hidden="1" x14ac:dyDescent="0.3"/>
    <row r="529" ht="14.4" hidden="1" x14ac:dyDescent="0.3"/>
    <row r="530" ht="14.4" hidden="1" x14ac:dyDescent="0.3"/>
    <row r="531" ht="14.4" hidden="1" x14ac:dyDescent="0.3"/>
    <row r="532" ht="14.4" hidden="1" x14ac:dyDescent="0.3"/>
    <row r="533" ht="21" hidden="1" customHeight="1" x14ac:dyDescent="0.3"/>
    <row r="534" ht="14.4" hidden="1" x14ac:dyDescent="0.3"/>
    <row r="535" ht="14.4" hidden="1" x14ac:dyDescent="0.3"/>
    <row r="536" ht="14.4" hidden="1" x14ac:dyDescent="0.3"/>
    <row r="537" ht="14.4" hidden="1" x14ac:dyDescent="0.3"/>
    <row r="538" ht="14.4" hidden="1" x14ac:dyDescent="0.3"/>
    <row r="539" ht="14.4" hidden="1" x14ac:dyDescent="0.3"/>
    <row r="540" ht="14.4" hidden="1" x14ac:dyDescent="0.3"/>
    <row r="541" ht="14.4" hidden="1" x14ac:dyDescent="0.3"/>
    <row r="542" ht="14.4" hidden="1" x14ac:dyDescent="0.3"/>
    <row r="543" ht="15" hidden="1" customHeight="1" x14ac:dyDescent="0.3"/>
    <row r="544" ht="14.4" hidden="1" x14ac:dyDescent="0.3"/>
    <row r="545" ht="14.4" hidden="1" x14ac:dyDescent="0.3"/>
    <row r="546" ht="14.4" hidden="1" x14ac:dyDescent="0.3"/>
    <row r="547" ht="14.4" hidden="1" x14ac:dyDescent="0.3"/>
    <row r="548" ht="14.4" hidden="1" x14ac:dyDescent="0.3"/>
    <row r="549" ht="14.4" hidden="1" x14ac:dyDescent="0.3"/>
    <row r="550" ht="14.4" hidden="1" x14ac:dyDescent="0.3"/>
    <row r="551" ht="14.4" hidden="1" x14ac:dyDescent="0.3"/>
    <row r="552" ht="14.4" hidden="1" x14ac:dyDescent="0.3"/>
    <row r="553" ht="14.4" hidden="1" x14ac:dyDescent="0.3"/>
    <row r="554" ht="14.4" hidden="1" x14ac:dyDescent="0.3"/>
    <row r="555" ht="14.4" hidden="1" x14ac:dyDescent="0.3"/>
    <row r="556" ht="14.4" hidden="1" x14ac:dyDescent="0.3"/>
    <row r="557" ht="14.4" hidden="1" x14ac:dyDescent="0.3"/>
    <row r="558" ht="14.4" hidden="1" x14ac:dyDescent="0.3"/>
    <row r="559" ht="14.4" hidden="1" x14ac:dyDescent="0.3"/>
    <row r="560" ht="14.4" hidden="1" x14ac:dyDescent="0.3"/>
    <row r="561" ht="14.4" hidden="1" x14ac:dyDescent="0.3"/>
    <row r="562" ht="14.4" hidden="1" x14ac:dyDescent="0.3"/>
    <row r="563" ht="14.4" hidden="1" x14ac:dyDescent="0.3"/>
    <row r="564" ht="14.4" hidden="1" x14ac:dyDescent="0.3"/>
    <row r="565" ht="14.4" hidden="1" x14ac:dyDescent="0.3"/>
    <row r="566" ht="14.4" hidden="1" x14ac:dyDescent="0.3"/>
    <row r="567" ht="14.4" hidden="1" x14ac:dyDescent="0.3"/>
    <row r="568" ht="14.4" hidden="1" x14ac:dyDescent="0.3"/>
    <row r="569" ht="14.4" hidden="1" x14ac:dyDescent="0.3"/>
    <row r="570" ht="14.4" hidden="1" x14ac:dyDescent="0.3"/>
    <row r="571" ht="14.4" hidden="1" x14ac:dyDescent="0.3"/>
    <row r="572" ht="14.4" hidden="1" x14ac:dyDescent="0.3"/>
    <row r="573" ht="14.4" hidden="1" x14ac:dyDescent="0.3"/>
    <row r="574" ht="14.4" hidden="1" x14ac:dyDescent="0.3"/>
    <row r="575" ht="14.4" hidden="1" x14ac:dyDescent="0.3"/>
    <row r="576" ht="14.4" hidden="1" x14ac:dyDescent="0.3"/>
    <row r="577" ht="14.4" hidden="1" x14ac:dyDescent="0.3"/>
    <row r="578" ht="14.4" hidden="1" x14ac:dyDescent="0.3"/>
    <row r="579" ht="14.4" hidden="1" x14ac:dyDescent="0.3"/>
    <row r="580" ht="14.4" hidden="1" x14ac:dyDescent="0.3"/>
    <row r="581" ht="14.4" hidden="1" x14ac:dyDescent="0.3"/>
    <row r="582" ht="14.4" hidden="1" x14ac:dyDescent="0.3"/>
    <row r="583" ht="14.4" hidden="1" x14ac:dyDescent="0.3"/>
    <row r="584" ht="14.4" hidden="1" x14ac:dyDescent="0.3"/>
    <row r="585" ht="14.4" hidden="1" x14ac:dyDescent="0.3"/>
    <row r="586" ht="14.4" hidden="1" x14ac:dyDescent="0.3"/>
    <row r="587" ht="21" hidden="1" customHeight="1" x14ac:dyDescent="0.3"/>
    <row r="588" ht="14.4" hidden="1" x14ac:dyDescent="0.3"/>
    <row r="589" ht="14.4" hidden="1" x14ac:dyDescent="0.3"/>
    <row r="590" ht="14.4" hidden="1" x14ac:dyDescent="0.3"/>
    <row r="591" ht="14.4" hidden="1" x14ac:dyDescent="0.3"/>
    <row r="592" ht="14.4" hidden="1" x14ac:dyDescent="0.3"/>
    <row r="593" ht="14.4" hidden="1" x14ac:dyDescent="0.3"/>
    <row r="594" ht="14.4" hidden="1" x14ac:dyDescent="0.3"/>
    <row r="595" ht="14.4" hidden="1" x14ac:dyDescent="0.3"/>
    <row r="596" ht="14.4" hidden="1" x14ac:dyDescent="0.3"/>
    <row r="597" ht="15" hidden="1" customHeight="1" x14ac:dyDescent="0.3"/>
    <row r="598" ht="14.4" hidden="1" x14ac:dyDescent="0.3"/>
    <row r="599" ht="14.4" hidden="1" x14ac:dyDescent="0.3"/>
    <row r="600" ht="14.4" hidden="1" x14ac:dyDescent="0.3"/>
    <row r="601" ht="14.4" hidden="1" x14ac:dyDescent="0.3"/>
    <row r="602" ht="14.4" hidden="1" x14ac:dyDescent="0.3"/>
    <row r="603" ht="14.4" hidden="1" x14ac:dyDescent="0.3"/>
    <row r="604" ht="14.4" hidden="1" x14ac:dyDescent="0.3"/>
    <row r="605" ht="14.4" hidden="1" x14ac:dyDescent="0.3"/>
    <row r="606" ht="14.4" hidden="1" x14ac:dyDescent="0.3"/>
    <row r="607" ht="14.4" hidden="1" x14ac:dyDescent="0.3"/>
    <row r="608" ht="14.4" hidden="1" x14ac:dyDescent="0.3"/>
    <row r="609" ht="14.4" hidden="1" x14ac:dyDescent="0.3"/>
    <row r="610" ht="14.4" hidden="1" x14ac:dyDescent="0.3"/>
    <row r="611" ht="14.4" hidden="1" x14ac:dyDescent="0.3"/>
    <row r="612" ht="14.4" hidden="1" x14ac:dyDescent="0.3"/>
    <row r="613" ht="14.4" hidden="1" x14ac:dyDescent="0.3"/>
    <row r="614" ht="14.4" hidden="1" x14ac:dyDescent="0.3"/>
    <row r="615" ht="14.4" hidden="1" x14ac:dyDescent="0.3"/>
    <row r="616" ht="14.4" hidden="1" x14ac:dyDescent="0.3"/>
    <row r="617" ht="14.4" hidden="1" x14ac:dyDescent="0.3"/>
    <row r="618" ht="14.4" hidden="1" x14ac:dyDescent="0.3"/>
    <row r="619" ht="14.4" hidden="1" x14ac:dyDescent="0.3"/>
    <row r="620" ht="14.4" hidden="1" x14ac:dyDescent="0.3"/>
    <row r="621" ht="14.4" hidden="1" x14ac:dyDescent="0.3"/>
    <row r="622" ht="14.4" hidden="1" x14ac:dyDescent="0.3"/>
    <row r="623" ht="14.4" hidden="1" x14ac:dyDescent="0.3"/>
    <row r="624" ht="14.4" hidden="1" x14ac:dyDescent="0.3"/>
    <row r="625" ht="14.4" hidden="1" x14ac:dyDescent="0.3"/>
    <row r="626" ht="14.4" hidden="1" x14ac:dyDescent="0.3"/>
    <row r="627" ht="14.4" hidden="1" x14ac:dyDescent="0.3"/>
    <row r="628" ht="14.4" hidden="1" x14ac:dyDescent="0.3"/>
    <row r="629" ht="14.4" hidden="1" x14ac:dyDescent="0.3"/>
    <row r="630" ht="14.4" hidden="1" x14ac:dyDescent="0.3"/>
    <row r="631" ht="14.4" hidden="1" x14ac:dyDescent="0.3"/>
    <row r="632" ht="14.4" hidden="1" x14ac:dyDescent="0.3"/>
    <row r="633" ht="14.4" hidden="1" x14ac:dyDescent="0.3"/>
    <row r="634" ht="14.4" hidden="1" x14ac:dyDescent="0.3"/>
    <row r="635" ht="14.4" hidden="1" x14ac:dyDescent="0.3"/>
    <row r="636" ht="14.4" hidden="1" x14ac:dyDescent="0.3"/>
    <row r="637" ht="14.4" hidden="1" x14ac:dyDescent="0.3"/>
    <row r="638" ht="14.4" hidden="1" x14ac:dyDescent="0.3"/>
    <row r="639" ht="14.4" hidden="1" x14ac:dyDescent="0.3"/>
    <row r="640" ht="14.4" hidden="1" x14ac:dyDescent="0.3"/>
    <row r="641" ht="21" hidden="1" customHeight="1" x14ac:dyDescent="0.3"/>
    <row r="642" ht="14.4" hidden="1" x14ac:dyDescent="0.3"/>
    <row r="643" ht="14.4" hidden="1" x14ac:dyDescent="0.3"/>
    <row r="644" ht="14.4" hidden="1" x14ac:dyDescent="0.3"/>
    <row r="645" ht="14.4" hidden="1" x14ac:dyDescent="0.3"/>
    <row r="646" ht="14.4" hidden="1" x14ac:dyDescent="0.3"/>
    <row r="647" ht="14.4" hidden="1" x14ac:dyDescent="0.3"/>
    <row r="648" ht="14.4" hidden="1" x14ac:dyDescent="0.3"/>
    <row r="649" ht="14.4" hidden="1" x14ac:dyDescent="0.3"/>
    <row r="650" ht="14.4" hidden="1" x14ac:dyDescent="0.3"/>
    <row r="651" ht="15" hidden="1" customHeight="1" x14ac:dyDescent="0.3"/>
    <row r="652" ht="15" hidden="1" customHeight="1" x14ac:dyDescent="0.3"/>
    <row r="653" ht="14.4" hidden="1" x14ac:dyDescent="0.3"/>
    <row r="654" ht="15" hidden="1" customHeight="1" x14ac:dyDescent="0.3"/>
    <row r="655" ht="14.4" hidden="1" x14ac:dyDescent="0.3"/>
    <row r="656" ht="14.4" hidden="1" x14ac:dyDescent="0.3"/>
    <row r="657" ht="14.4" hidden="1" x14ac:dyDescent="0.3"/>
    <row r="658" ht="14.4" hidden="1" x14ac:dyDescent="0.3"/>
    <row r="659" ht="14.4" hidden="1" x14ac:dyDescent="0.3"/>
    <row r="660" ht="14.4" hidden="1" x14ac:dyDescent="0.3"/>
    <row r="661" ht="14.4" hidden="1" x14ac:dyDescent="0.3"/>
    <row r="662" ht="14.4" hidden="1" x14ac:dyDescent="0.3"/>
    <row r="663" ht="14.4" hidden="1" x14ac:dyDescent="0.3"/>
    <row r="664" ht="14.4" hidden="1" x14ac:dyDescent="0.3"/>
    <row r="665" ht="14.4" hidden="1" x14ac:dyDescent="0.3"/>
    <row r="666" ht="14.4" hidden="1" x14ac:dyDescent="0.3"/>
    <row r="667" ht="14.4" hidden="1" x14ac:dyDescent="0.3"/>
    <row r="668" ht="14.4" hidden="1" x14ac:dyDescent="0.3"/>
    <row r="669" ht="14.4" hidden="1" x14ac:dyDescent="0.3"/>
    <row r="670" ht="14.4" hidden="1" x14ac:dyDescent="0.3"/>
    <row r="671" ht="14.4" hidden="1" x14ac:dyDescent="0.3"/>
    <row r="672" ht="14.4" hidden="1" x14ac:dyDescent="0.3"/>
    <row r="673" ht="14.4" hidden="1" x14ac:dyDescent="0.3"/>
    <row r="674" ht="14.4" hidden="1" x14ac:dyDescent="0.3"/>
    <row r="675" ht="14.4" hidden="1" x14ac:dyDescent="0.3"/>
    <row r="676" ht="14.4" hidden="1" x14ac:dyDescent="0.3"/>
    <row r="677" ht="14.4" hidden="1" x14ac:dyDescent="0.3"/>
    <row r="678" ht="14.4" hidden="1" x14ac:dyDescent="0.3"/>
    <row r="679" ht="14.4" hidden="1" x14ac:dyDescent="0.3"/>
    <row r="680" ht="14.4" hidden="1" x14ac:dyDescent="0.3"/>
    <row r="681" ht="14.4" hidden="1" x14ac:dyDescent="0.3"/>
    <row r="682" ht="14.4" hidden="1" x14ac:dyDescent="0.3"/>
    <row r="683" ht="14.4" hidden="1" x14ac:dyDescent="0.3"/>
    <row r="684" ht="14.4" hidden="1" x14ac:dyDescent="0.3"/>
    <row r="685" ht="14.4" hidden="1" x14ac:dyDescent="0.3"/>
    <row r="686" ht="14.4" hidden="1" x14ac:dyDescent="0.3"/>
    <row r="687" ht="14.4" hidden="1" x14ac:dyDescent="0.3"/>
    <row r="688" ht="14.4" hidden="1" x14ac:dyDescent="0.3"/>
    <row r="689" ht="14.4" hidden="1" x14ac:dyDescent="0.3"/>
    <row r="690" ht="14.4" hidden="1" x14ac:dyDescent="0.3"/>
    <row r="691" ht="14.4" hidden="1" x14ac:dyDescent="0.3"/>
    <row r="692" ht="14.4" hidden="1" x14ac:dyDescent="0.3"/>
    <row r="693" ht="14.4" hidden="1" x14ac:dyDescent="0.3"/>
    <row r="694" ht="14.4" hidden="1" x14ac:dyDescent="0.3"/>
    <row r="695" ht="21" hidden="1" customHeight="1" x14ac:dyDescent="0.3"/>
    <row r="696" ht="14.4" hidden="1" x14ac:dyDescent="0.3"/>
    <row r="697" ht="14.4" hidden="1" x14ac:dyDescent="0.3"/>
    <row r="698" ht="14.4" hidden="1" x14ac:dyDescent="0.3"/>
    <row r="699" ht="14.4" hidden="1" x14ac:dyDescent="0.3"/>
    <row r="700" ht="14.4" hidden="1" x14ac:dyDescent="0.3"/>
    <row r="701" ht="14.4" hidden="1" x14ac:dyDescent="0.3"/>
    <row r="702" ht="14.4" hidden="1" x14ac:dyDescent="0.3"/>
    <row r="703" ht="14.4" hidden="1" x14ac:dyDescent="0.3"/>
    <row r="704" ht="14.4" hidden="1" x14ac:dyDescent="0.3"/>
    <row r="705" ht="15" hidden="1" customHeight="1" x14ac:dyDescent="0.3"/>
    <row r="706" ht="14.4" hidden="1" x14ac:dyDescent="0.3"/>
    <row r="707" ht="14.4" hidden="1" x14ac:dyDescent="0.3"/>
    <row r="708" ht="14.4" hidden="1" x14ac:dyDescent="0.3"/>
    <row r="709" ht="14.4" hidden="1" x14ac:dyDescent="0.3"/>
    <row r="710" ht="14.4" hidden="1" x14ac:dyDescent="0.3"/>
    <row r="711" ht="14.4" hidden="1" x14ac:dyDescent="0.3"/>
    <row r="712" ht="14.4" hidden="1" x14ac:dyDescent="0.3"/>
    <row r="713" ht="14.4" hidden="1" x14ac:dyDescent="0.3"/>
    <row r="714" ht="14.4" hidden="1" x14ac:dyDescent="0.3"/>
    <row r="715" ht="14.4" hidden="1" x14ac:dyDescent="0.3"/>
    <row r="716" ht="14.4" hidden="1" x14ac:dyDescent="0.3"/>
    <row r="717" ht="14.4" hidden="1" x14ac:dyDescent="0.3"/>
    <row r="718" ht="14.4" hidden="1" x14ac:dyDescent="0.3"/>
    <row r="719" ht="14.4" hidden="1" x14ac:dyDescent="0.3"/>
    <row r="720" ht="14.4" hidden="1" x14ac:dyDescent="0.3"/>
    <row r="721" ht="14.4" hidden="1" x14ac:dyDescent="0.3"/>
    <row r="722" ht="14.4" hidden="1" x14ac:dyDescent="0.3"/>
    <row r="723" ht="14.4" hidden="1" x14ac:dyDescent="0.3"/>
    <row r="724" ht="14.4" hidden="1" x14ac:dyDescent="0.3"/>
    <row r="725" ht="14.4" hidden="1" x14ac:dyDescent="0.3"/>
    <row r="726" ht="14.4" hidden="1" x14ac:dyDescent="0.3"/>
    <row r="727" ht="14.4" hidden="1" x14ac:dyDescent="0.3"/>
    <row r="728" ht="14.4" hidden="1" x14ac:dyDescent="0.3"/>
    <row r="729" ht="14.4" hidden="1" x14ac:dyDescent="0.3"/>
    <row r="730" ht="14.4" hidden="1" x14ac:dyDescent="0.3"/>
    <row r="731" ht="14.4" hidden="1" x14ac:dyDescent="0.3"/>
    <row r="732" ht="14.4" hidden="1" x14ac:dyDescent="0.3"/>
    <row r="733" ht="14.4" hidden="1" x14ac:dyDescent="0.3"/>
    <row r="734" ht="14.4" hidden="1" x14ac:dyDescent="0.3"/>
    <row r="735" ht="14.4" hidden="1" x14ac:dyDescent="0.3"/>
    <row r="736" ht="14.4" hidden="1" x14ac:dyDescent="0.3"/>
    <row r="737" ht="14.4" hidden="1" x14ac:dyDescent="0.3"/>
    <row r="738" ht="14.4" hidden="1" x14ac:dyDescent="0.3"/>
    <row r="739" ht="14.4" hidden="1" x14ac:dyDescent="0.3"/>
    <row r="740" ht="14.4" hidden="1" x14ac:dyDescent="0.3"/>
    <row r="741" ht="14.4" hidden="1" x14ac:dyDescent="0.3"/>
    <row r="742" ht="14.4" hidden="1" x14ac:dyDescent="0.3"/>
    <row r="743" ht="14.4" hidden="1" x14ac:dyDescent="0.3"/>
    <row r="744" ht="14.4" hidden="1" x14ac:dyDescent="0.3"/>
    <row r="745" ht="14.4" hidden="1" x14ac:dyDescent="0.3"/>
    <row r="746" ht="14.4" hidden="1" x14ac:dyDescent="0.3"/>
    <row r="747" ht="14.4" hidden="1" x14ac:dyDescent="0.3"/>
    <row r="748" ht="14.4" hidden="1" x14ac:dyDescent="0.3"/>
    <row r="749" ht="21" hidden="1" customHeight="1" x14ac:dyDescent="0.3"/>
    <row r="750" ht="14.4" hidden="1" x14ac:dyDescent="0.3"/>
    <row r="751" ht="14.4" hidden="1" x14ac:dyDescent="0.3"/>
    <row r="752" ht="14.4" hidden="1" x14ac:dyDescent="0.3"/>
    <row r="753" ht="14.4" hidden="1" x14ac:dyDescent="0.3"/>
    <row r="754" ht="14.4" hidden="1" x14ac:dyDescent="0.3"/>
    <row r="755" ht="14.4" hidden="1" x14ac:dyDescent="0.3"/>
    <row r="756" ht="14.4" hidden="1" x14ac:dyDescent="0.3"/>
    <row r="757" ht="14.4" hidden="1" x14ac:dyDescent="0.3"/>
    <row r="758" ht="14.4" hidden="1" x14ac:dyDescent="0.3"/>
    <row r="759" ht="15" hidden="1" customHeight="1" x14ac:dyDescent="0.3"/>
    <row r="760" ht="14.4" hidden="1" x14ac:dyDescent="0.3"/>
    <row r="761" ht="14.4" hidden="1" x14ac:dyDescent="0.3"/>
    <row r="762" ht="14.4" hidden="1" x14ac:dyDescent="0.3"/>
    <row r="763" ht="14.4" hidden="1" x14ac:dyDescent="0.3"/>
    <row r="764" ht="14.4" hidden="1" x14ac:dyDescent="0.3"/>
    <row r="765" ht="14.4" hidden="1" x14ac:dyDescent="0.3"/>
    <row r="766" ht="14.4" hidden="1" x14ac:dyDescent="0.3"/>
    <row r="767" ht="14.4" hidden="1" x14ac:dyDescent="0.3"/>
    <row r="768" ht="14.4" hidden="1" x14ac:dyDescent="0.3"/>
    <row r="769" ht="14.4" hidden="1" x14ac:dyDescent="0.3"/>
    <row r="770" ht="14.4" hidden="1" x14ac:dyDescent="0.3"/>
    <row r="771" ht="14.4" hidden="1" x14ac:dyDescent="0.3"/>
    <row r="772" ht="14.4" hidden="1" x14ac:dyDescent="0.3"/>
    <row r="773" ht="14.4" hidden="1" x14ac:dyDescent="0.3"/>
    <row r="774" ht="14.4" hidden="1" x14ac:dyDescent="0.3"/>
    <row r="775" ht="14.4" hidden="1" x14ac:dyDescent="0.3"/>
    <row r="776" ht="14.4" hidden="1" x14ac:dyDescent="0.3"/>
    <row r="777" ht="14.4" hidden="1" x14ac:dyDescent="0.3"/>
    <row r="778" ht="14.4" hidden="1" x14ac:dyDescent="0.3"/>
    <row r="779" ht="14.4" hidden="1" x14ac:dyDescent="0.3"/>
    <row r="780" ht="14.4" hidden="1" x14ac:dyDescent="0.3"/>
    <row r="781" ht="14.4" hidden="1" x14ac:dyDescent="0.3"/>
    <row r="782" ht="14.4" hidden="1" x14ac:dyDescent="0.3"/>
    <row r="783" ht="14.4" hidden="1" x14ac:dyDescent="0.3"/>
    <row r="784" ht="14.4" hidden="1" x14ac:dyDescent="0.3"/>
    <row r="785" ht="14.4" hidden="1" x14ac:dyDescent="0.3"/>
    <row r="786" ht="14.4" hidden="1" x14ac:dyDescent="0.3"/>
    <row r="787" ht="14.4" hidden="1" x14ac:dyDescent="0.3"/>
    <row r="788" ht="14.4" hidden="1" x14ac:dyDescent="0.3"/>
    <row r="789" ht="14.4" hidden="1" x14ac:dyDescent="0.3"/>
    <row r="790" ht="14.4" hidden="1" x14ac:dyDescent="0.3"/>
    <row r="791" ht="14.4" hidden="1" x14ac:dyDescent="0.3"/>
    <row r="792" ht="14.4" hidden="1" x14ac:dyDescent="0.3"/>
    <row r="793" ht="14.4" hidden="1" x14ac:dyDescent="0.3"/>
    <row r="794" ht="14.4" hidden="1" x14ac:dyDescent="0.3"/>
    <row r="795" ht="14.4" hidden="1" x14ac:dyDescent="0.3"/>
    <row r="796" ht="14.4" hidden="1" x14ac:dyDescent="0.3"/>
    <row r="797" ht="14.4" hidden="1" x14ac:dyDescent="0.3"/>
    <row r="798" ht="14.4" hidden="1" x14ac:dyDescent="0.3"/>
    <row r="799" ht="14.4" hidden="1" x14ac:dyDescent="0.3"/>
    <row r="800" ht="14.4" hidden="1" x14ac:dyDescent="0.3"/>
    <row r="801" ht="14.4" hidden="1" x14ac:dyDescent="0.3"/>
    <row r="802" ht="15" hidden="1" customHeight="1" x14ac:dyDescent="0.3"/>
    <row r="803" ht="15" hidden="1" customHeight="1" x14ac:dyDescent="0.3"/>
    <row r="804" ht="15" hidden="1" customHeight="1" x14ac:dyDescent="0.3"/>
    <row r="805" ht="15" hidden="1" customHeight="1" x14ac:dyDescent="0.3"/>
    <row r="806" ht="15" hidden="1" customHeight="1" x14ac:dyDescent="0.3"/>
    <row r="807" ht="15" hidden="1" customHeight="1" x14ac:dyDescent="0.3"/>
    <row r="808" ht="15" hidden="1" customHeight="1" x14ac:dyDescent="0.3"/>
    <row r="809" ht="15" hidden="1" customHeight="1" x14ac:dyDescent="0.3"/>
  </sheetData>
  <sheetProtection sheet="1" objects="1" scenarios="1"/>
  <mergeCells count="77">
    <mergeCell ref="B58:E58"/>
    <mergeCell ref="B49:E49"/>
    <mergeCell ref="B50:E50"/>
    <mergeCell ref="B43:E43"/>
    <mergeCell ref="B44:E44"/>
    <mergeCell ref="B45:E45"/>
    <mergeCell ref="B46:E46"/>
    <mergeCell ref="B55:E55"/>
    <mergeCell ref="B56:E56"/>
    <mergeCell ref="A48:E48"/>
    <mergeCell ref="B51:E51"/>
    <mergeCell ref="B52:E52"/>
    <mergeCell ref="A54:E54"/>
    <mergeCell ref="B37:E37"/>
    <mergeCell ref="B34:E34"/>
    <mergeCell ref="B35:E35"/>
    <mergeCell ref="B36:E36"/>
    <mergeCell ref="B57:E57"/>
    <mergeCell ref="B83:E83"/>
    <mergeCell ref="B12:E12"/>
    <mergeCell ref="B13:E13"/>
    <mergeCell ref="B14:E14"/>
    <mergeCell ref="A16:E16"/>
    <mergeCell ref="A32:E32"/>
    <mergeCell ref="A42:E42"/>
    <mergeCell ref="B29:E29"/>
    <mergeCell ref="A20:E20"/>
    <mergeCell ref="B22:E22"/>
    <mergeCell ref="B23:E23"/>
    <mergeCell ref="B24:E24"/>
    <mergeCell ref="B40:E40"/>
    <mergeCell ref="B33:E33"/>
    <mergeCell ref="B38:E38"/>
    <mergeCell ref="B39:E39"/>
    <mergeCell ref="A78:E78"/>
    <mergeCell ref="B79:E79"/>
    <mergeCell ref="B80:E80"/>
    <mergeCell ref="B81:E81"/>
    <mergeCell ref="B82:E82"/>
    <mergeCell ref="A69:E69"/>
    <mergeCell ref="B70:E70"/>
    <mergeCell ref="B71:E71"/>
    <mergeCell ref="A60:E60"/>
    <mergeCell ref="B64:E64"/>
    <mergeCell ref="B65:E65"/>
    <mergeCell ref="B66:E66"/>
    <mergeCell ref="B67:E67"/>
    <mergeCell ref="B68:E68"/>
    <mergeCell ref="A61:E61"/>
    <mergeCell ref="B62:E62"/>
    <mergeCell ref="B63:E63"/>
    <mergeCell ref="A90:B90"/>
    <mergeCell ref="D90:E90"/>
    <mergeCell ref="B84:E84"/>
    <mergeCell ref="B85:E85"/>
    <mergeCell ref="A87:E87"/>
    <mergeCell ref="A88:B88"/>
    <mergeCell ref="D88:E88"/>
    <mergeCell ref="A89:B89"/>
    <mergeCell ref="D89:E89"/>
    <mergeCell ref="A86:E86"/>
    <mergeCell ref="B76:E76"/>
    <mergeCell ref="B77:E77"/>
    <mergeCell ref="B72:E72"/>
    <mergeCell ref="B73:E73"/>
    <mergeCell ref="B74:E74"/>
    <mergeCell ref="B75:E75"/>
    <mergeCell ref="A2:E2"/>
    <mergeCell ref="A26:E26"/>
    <mergeCell ref="B27:E27"/>
    <mergeCell ref="B28:E28"/>
    <mergeCell ref="B30:E30"/>
    <mergeCell ref="A10:E10"/>
    <mergeCell ref="B18:E18"/>
    <mergeCell ref="B21:E21"/>
    <mergeCell ref="B17:E17"/>
    <mergeCell ref="B11:E11"/>
  </mergeCells>
  <printOptions horizontalCentered="1"/>
  <pageMargins left="0.56000000000000005" right="0.18" top="0.33" bottom="0.31" header="0.55000000000000004" footer="0.31496062992125984"/>
  <pageSetup paperSize="9" scale="92" orientation="portrait" horizontalDpi="4294967293" verticalDpi="0" r:id="rId1"/>
  <rowBreaks count="1" manualBreakCount="1">
    <brk id="41" max="5" man="1"/>
  </rowBreaks>
  <colBreaks count="1" manualBreakCount="1">
    <brk id="6" max="53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 tint="-0.249977111117893"/>
  </sheetPr>
  <dimension ref="A1:AB68"/>
  <sheetViews>
    <sheetView showGridLines="0" zoomScale="85" zoomScaleNormal="85" zoomScaleSheetLayoutView="85" workbookViewId="0">
      <pane ySplit="1" topLeftCell="A2" activePane="bottomLeft" state="frozen"/>
      <selection sqref="A1:XFD1"/>
      <selection pane="bottomLeft" sqref="A1:XFD1"/>
    </sheetView>
  </sheetViews>
  <sheetFormatPr defaultColWidth="0" defaultRowHeight="0" customHeight="1" zeroHeight="1" x14ac:dyDescent="0.3"/>
  <cols>
    <col min="1" max="1" width="4.88671875" style="5" customWidth="1"/>
    <col min="2" max="2" width="60.5546875" style="5" customWidth="1"/>
    <col min="3" max="6" width="14" style="5" customWidth="1"/>
    <col min="7" max="7" width="0.88671875" style="5" customWidth="1"/>
    <col min="8" max="28" width="0" style="5" hidden="1" customWidth="1"/>
    <col min="29" max="16384" width="9.109375" style="5" hidden="1"/>
  </cols>
  <sheetData>
    <row r="1" spans="1:27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3.4" x14ac:dyDescent="0.3">
      <c r="A2" s="265" t="s">
        <v>82</v>
      </c>
      <c r="B2" s="265"/>
      <c r="C2" s="265"/>
      <c r="D2" s="265"/>
      <c r="E2" s="265"/>
      <c r="F2" s="265"/>
    </row>
    <row r="3" spans="1:27" ht="23.4" x14ac:dyDescent="0.3">
      <c r="A3" s="265" t="e">
        <f>#REF!</f>
        <v>#REF!</v>
      </c>
      <c r="B3" s="265"/>
      <c r="C3" s="265"/>
      <c r="D3" s="265"/>
      <c r="E3" s="265"/>
      <c r="F3" s="265"/>
    </row>
    <row r="4" spans="1:27" ht="23.4" x14ac:dyDescent="0.3">
      <c r="A4" s="265" t="e">
        <f>#REF!</f>
        <v>#REF!</v>
      </c>
      <c r="B4" s="265"/>
      <c r="C4" s="265"/>
      <c r="D4" s="265"/>
      <c r="E4" s="265"/>
      <c r="F4" s="265"/>
    </row>
    <row r="5" spans="1:27" ht="23.4" x14ac:dyDescent="0.3">
      <c r="A5" s="265" t="e">
        <f>'Program Tahunan'!A5:D5</f>
        <v>#REF!</v>
      </c>
      <c r="B5" s="265"/>
      <c r="C5" s="265"/>
      <c r="D5" s="265"/>
      <c r="E5" s="265"/>
      <c r="F5" s="265"/>
    </row>
    <row r="6" spans="1:27" ht="23.4" x14ac:dyDescent="0.3">
      <c r="A6" s="265" t="e">
        <f>#REF!</f>
        <v>#REF!</v>
      </c>
      <c r="B6" s="265"/>
      <c r="C6" s="265"/>
      <c r="D6" s="265"/>
      <c r="E6" s="265"/>
      <c r="F6" s="265"/>
    </row>
    <row r="7" spans="1:27" ht="15" customHeight="1" x14ac:dyDescent="0.3"/>
    <row r="8" spans="1:27" ht="15" customHeight="1" x14ac:dyDescent="0.3"/>
    <row r="9" spans="1:27" ht="21" customHeight="1" x14ac:dyDescent="0.3">
      <c r="A9" s="10" t="s">
        <v>12</v>
      </c>
      <c r="B9" s="2"/>
    </row>
    <row r="10" spans="1:27" ht="28.8" x14ac:dyDescent="0.3">
      <c r="A10" s="8" t="s">
        <v>13</v>
      </c>
      <c r="B10" s="26" t="s">
        <v>14</v>
      </c>
      <c r="C10" s="8" t="s">
        <v>81</v>
      </c>
      <c r="D10" s="27" t="s">
        <v>80</v>
      </c>
      <c r="E10" s="27" t="s">
        <v>79</v>
      </c>
      <c r="F10" s="8" t="s">
        <v>78</v>
      </c>
    </row>
    <row r="11" spans="1:27" ht="45" customHeight="1" x14ac:dyDescent="0.3">
      <c r="A11" s="18"/>
      <c r="B11" s="58"/>
      <c r="C11" s="57"/>
      <c r="D11" s="57"/>
      <c r="E11" s="57"/>
      <c r="F11" s="56" t="str">
        <f t="shared" ref="F11:F24" si="0">IFERROR(IF(B11=0,"",AVERAGE(C11:E11)),"")</f>
        <v/>
      </c>
    </row>
    <row r="12" spans="1:27" ht="45" customHeight="1" x14ac:dyDescent="0.3">
      <c r="A12" s="18"/>
      <c r="B12" s="58"/>
      <c r="C12" s="57"/>
      <c r="D12" s="57"/>
      <c r="E12" s="57"/>
      <c r="F12" s="56" t="str">
        <f t="shared" si="0"/>
        <v/>
      </c>
    </row>
    <row r="13" spans="1:27" ht="45" customHeight="1" x14ac:dyDescent="0.3">
      <c r="A13" s="18"/>
      <c r="B13" s="58"/>
      <c r="C13" s="57"/>
      <c r="D13" s="57"/>
      <c r="E13" s="57"/>
      <c r="F13" s="56" t="str">
        <f t="shared" si="0"/>
        <v/>
      </c>
    </row>
    <row r="14" spans="1:27" ht="45" customHeight="1" x14ac:dyDescent="0.3">
      <c r="A14" s="18"/>
      <c r="B14" s="58"/>
      <c r="C14" s="57"/>
      <c r="D14" s="57"/>
      <c r="E14" s="57"/>
      <c r="F14" s="56" t="str">
        <f t="shared" si="0"/>
        <v/>
      </c>
    </row>
    <row r="15" spans="1:27" ht="45" customHeight="1" x14ac:dyDescent="0.3">
      <c r="A15" s="18"/>
      <c r="B15" s="58"/>
      <c r="C15" s="57"/>
      <c r="D15" s="57"/>
      <c r="E15" s="57"/>
      <c r="F15" s="56" t="str">
        <f t="shared" si="0"/>
        <v/>
      </c>
    </row>
    <row r="16" spans="1:27" ht="45" customHeight="1" x14ac:dyDescent="0.3">
      <c r="A16" s="18"/>
      <c r="B16" s="58"/>
      <c r="C16" s="57"/>
      <c r="D16" s="57"/>
      <c r="E16" s="57"/>
      <c r="F16" s="56" t="str">
        <f t="shared" si="0"/>
        <v/>
      </c>
    </row>
    <row r="17" spans="1:6" ht="45" customHeight="1" x14ac:dyDescent="0.3">
      <c r="A17" s="18"/>
      <c r="B17" s="58"/>
      <c r="C17" s="57"/>
      <c r="D17" s="57"/>
      <c r="E17" s="57"/>
      <c r="F17" s="56" t="str">
        <f t="shared" si="0"/>
        <v/>
      </c>
    </row>
    <row r="18" spans="1:6" ht="45" customHeight="1" x14ac:dyDescent="0.3">
      <c r="A18" s="18"/>
      <c r="B18" s="58"/>
      <c r="C18" s="57"/>
      <c r="D18" s="57"/>
      <c r="E18" s="57"/>
      <c r="F18" s="56" t="str">
        <f t="shared" si="0"/>
        <v/>
      </c>
    </row>
    <row r="19" spans="1:6" ht="45" customHeight="1" x14ac:dyDescent="0.3">
      <c r="A19" s="18"/>
      <c r="B19" s="58"/>
      <c r="C19" s="57"/>
      <c r="D19" s="57"/>
      <c r="E19" s="57"/>
      <c r="F19" s="56" t="str">
        <f t="shared" si="0"/>
        <v/>
      </c>
    </row>
    <row r="20" spans="1:6" ht="45" customHeight="1" x14ac:dyDescent="0.3">
      <c r="A20" s="18"/>
      <c r="B20" s="58"/>
      <c r="C20" s="57"/>
      <c r="D20" s="57"/>
      <c r="E20" s="57"/>
      <c r="F20" s="56" t="str">
        <f t="shared" si="0"/>
        <v/>
      </c>
    </row>
    <row r="21" spans="1:6" ht="45" customHeight="1" x14ac:dyDescent="0.3">
      <c r="A21" s="18"/>
      <c r="B21" s="58"/>
      <c r="C21" s="57"/>
      <c r="D21" s="57"/>
      <c r="E21" s="57"/>
      <c r="F21" s="56" t="str">
        <f t="shared" si="0"/>
        <v/>
      </c>
    </row>
    <row r="22" spans="1:6" ht="45" customHeight="1" x14ac:dyDescent="0.3">
      <c r="A22" s="18"/>
      <c r="B22" s="58"/>
      <c r="C22" s="57"/>
      <c r="D22" s="57"/>
      <c r="E22" s="57"/>
      <c r="F22" s="56" t="str">
        <f t="shared" si="0"/>
        <v/>
      </c>
    </row>
    <row r="23" spans="1:6" ht="45" customHeight="1" x14ac:dyDescent="0.3">
      <c r="A23" s="18"/>
      <c r="B23" s="58"/>
      <c r="C23" s="57"/>
      <c r="D23" s="57"/>
      <c r="E23" s="57"/>
      <c r="F23" s="56" t="str">
        <f t="shared" si="0"/>
        <v/>
      </c>
    </row>
    <row r="24" spans="1:6" ht="45" customHeight="1" x14ac:dyDescent="0.3">
      <c r="A24" s="18"/>
      <c r="B24" s="58"/>
      <c r="C24" s="57"/>
      <c r="D24" s="57"/>
      <c r="E24" s="57"/>
      <c r="F24" s="56" t="str">
        <f t="shared" si="0"/>
        <v/>
      </c>
    </row>
    <row r="25" spans="1:6" ht="30" customHeight="1" x14ac:dyDescent="0.3">
      <c r="A25" s="189" t="s">
        <v>15</v>
      </c>
      <c r="B25" s="190"/>
      <c r="C25" s="190"/>
      <c r="D25" s="190"/>
      <c r="E25" s="191"/>
      <c r="F25" s="55">
        <f>IFERROR(AVERAGE(F11:F24),0)</f>
        <v>0</v>
      </c>
    </row>
    <row r="26" spans="1:6" ht="15" customHeight="1" x14ac:dyDescent="0.3"/>
    <row r="27" spans="1:6" ht="14.4" x14ac:dyDescent="0.3">
      <c r="C27" s="6"/>
      <c r="D27" s="53"/>
      <c r="E27" s="6"/>
    </row>
    <row r="28" spans="1:6" ht="14.4" x14ac:dyDescent="0.3">
      <c r="B28" s="2" t="e">
        <f>#REF!</f>
        <v>#REF!</v>
      </c>
      <c r="C28" s="6"/>
      <c r="D28" s="53" t="e">
        <f>"Bandung Barat,      Juli "&amp;MID(#REF!,1,4)</f>
        <v>#REF!</v>
      </c>
      <c r="E28" s="6"/>
    </row>
    <row r="29" spans="1:6" ht="14.4" x14ac:dyDescent="0.3">
      <c r="B29" s="2" t="e">
        <f>#REF!</f>
        <v>#REF!</v>
      </c>
      <c r="C29" s="6"/>
      <c r="D29" s="53" t="e">
        <f>#REF!</f>
        <v>#REF!</v>
      </c>
      <c r="E29" s="6"/>
    </row>
    <row r="30" spans="1:6" ht="14.4" x14ac:dyDescent="0.3">
      <c r="B30" s="2"/>
      <c r="C30" s="6"/>
      <c r="D30" s="53"/>
      <c r="E30" s="6"/>
    </row>
    <row r="31" spans="1:6" ht="14.4" x14ac:dyDescent="0.3">
      <c r="B31" s="2"/>
      <c r="C31" s="6"/>
      <c r="D31" s="53"/>
      <c r="E31" s="6"/>
    </row>
    <row r="32" spans="1:6" ht="14.4" x14ac:dyDescent="0.3">
      <c r="B32" s="2"/>
      <c r="C32" s="6"/>
      <c r="D32" s="53"/>
      <c r="E32" s="6"/>
    </row>
    <row r="33" spans="1:6" ht="14.4" x14ac:dyDescent="0.3">
      <c r="B33" s="3" t="e">
        <f>#REF!</f>
        <v>#REF!</v>
      </c>
      <c r="C33" s="7"/>
      <c r="D33" s="54" t="e">
        <f>#REF!</f>
        <v>#REF!</v>
      </c>
      <c r="E33" s="7"/>
    </row>
    <row r="34" spans="1:6" ht="14.4" x14ac:dyDescent="0.3">
      <c r="B34" s="2" t="e">
        <f>#REF!</f>
        <v>#REF!</v>
      </c>
      <c r="C34" s="6"/>
      <c r="D34" s="53" t="e">
        <f>#REF!</f>
        <v>#REF!</v>
      </c>
      <c r="E34" s="6"/>
    </row>
    <row r="35" spans="1:6" ht="14.4" x14ac:dyDescent="0.3">
      <c r="B35" s="2"/>
      <c r="C35" s="6"/>
      <c r="D35" s="53"/>
      <c r="E35" s="6"/>
    </row>
    <row r="36" spans="1:6" ht="23.4" x14ac:dyDescent="0.3">
      <c r="A36" s="265" t="str">
        <f>A2</f>
        <v>KRITERIA KETUNTASAN MINIMAL (KKM)</v>
      </c>
      <c r="B36" s="265"/>
      <c r="C36" s="265"/>
      <c r="D36" s="265"/>
      <c r="E36" s="265"/>
      <c r="F36" s="265"/>
    </row>
    <row r="37" spans="1:6" ht="23.4" x14ac:dyDescent="0.3">
      <c r="A37" s="265" t="e">
        <f>A3</f>
        <v>#REF!</v>
      </c>
      <c r="B37" s="265"/>
      <c r="C37" s="265"/>
      <c r="D37" s="265"/>
      <c r="E37" s="265"/>
      <c r="F37" s="265"/>
    </row>
    <row r="38" spans="1:6" ht="23.4" x14ac:dyDescent="0.3">
      <c r="A38" s="265" t="e">
        <f>A4</f>
        <v>#REF!</v>
      </c>
      <c r="B38" s="265"/>
      <c r="C38" s="265"/>
      <c r="D38" s="265"/>
      <c r="E38" s="265"/>
      <c r="F38" s="265"/>
    </row>
    <row r="39" spans="1:6" ht="23.4" x14ac:dyDescent="0.3">
      <c r="A39" s="265" t="e">
        <f>A5</f>
        <v>#REF!</v>
      </c>
      <c r="B39" s="265"/>
      <c r="C39" s="265"/>
      <c r="D39" s="265"/>
      <c r="E39" s="265"/>
      <c r="F39" s="265"/>
    </row>
    <row r="40" spans="1:6" ht="23.4" x14ac:dyDescent="0.3">
      <c r="A40" s="265" t="e">
        <f>A6</f>
        <v>#REF!</v>
      </c>
      <c r="B40" s="265"/>
      <c r="C40" s="265"/>
      <c r="D40" s="265"/>
      <c r="E40" s="265"/>
      <c r="F40" s="265"/>
    </row>
    <row r="41" spans="1:6" ht="15" customHeight="1" x14ac:dyDescent="0.3"/>
    <row r="42" spans="1:6" ht="15" customHeight="1" x14ac:dyDescent="0.3"/>
    <row r="43" spans="1:6" ht="21" customHeight="1" x14ac:dyDescent="0.3">
      <c r="A43" s="10" t="s">
        <v>16</v>
      </c>
      <c r="B43" s="2"/>
    </row>
    <row r="44" spans="1:6" ht="28.8" x14ac:dyDescent="0.3">
      <c r="A44" s="8" t="s">
        <v>13</v>
      </c>
      <c r="B44" s="26" t="s">
        <v>14</v>
      </c>
      <c r="C44" s="8" t="s">
        <v>81</v>
      </c>
      <c r="D44" s="27" t="s">
        <v>80</v>
      </c>
      <c r="E44" s="27" t="s">
        <v>79</v>
      </c>
      <c r="F44" s="8" t="s">
        <v>78</v>
      </c>
    </row>
    <row r="45" spans="1:6" ht="45" customHeight="1" x14ac:dyDescent="0.3">
      <c r="A45" s="18"/>
      <c r="B45" s="58"/>
      <c r="C45" s="57"/>
      <c r="D45" s="57"/>
      <c r="E45" s="57"/>
      <c r="F45" s="56" t="str">
        <f t="shared" ref="F45:F58" si="1">IFERROR(IF(B45=0,"",AVERAGE(C45:E45)),"")</f>
        <v/>
      </c>
    </row>
    <row r="46" spans="1:6" ht="45" customHeight="1" x14ac:dyDescent="0.3">
      <c r="A46" s="18"/>
      <c r="B46" s="58"/>
      <c r="C46" s="57"/>
      <c r="D46" s="57"/>
      <c r="E46" s="57"/>
      <c r="F46" s="56" t="str">
        <f t="shared" si="1"/>
        <v/>
      </c>
    </row>
    <row r="47" spans="1:6" ht="45" customHeight="1" x14ac:dyDescent="0.3">
      <c r="A47" s="18"/>
      <c r="B47" s="58"/>
      <c r="C47" s="57"/>
      <c r="D47" s="57"/>
      <c r="E47" s="57"/>
      <c r="F47" s="56" t="str">
        <f t="shared" si="1"/>
        <v/>
      </c>
    </row>
    <row r="48" spans="1:6" ht="45" customHeight="1" x14ac:dyDescent="0.3">
      <c r="A48" s="18"/>
      <c r="B48" s="58"/>
      <c r="C48" s="57"/>
      <c r="D48" s="57"/>
      <c r="E48" s="57"/>
      <c r="F48" s="56" t="str">
        <f t="shared" si="1"/>
        <v/>
      </c>
    </row>
    <row r="49" spans="1:6" ht="45" customHeight="1" x14ac:dyDescent="0.3">
      <c r="A49" s="18"/>
      <c r="B49" s="58"/>
      <c r="C49" s="57"/>
      <c r="D49" s="57"/>
      <c r="E49" s="57"/>
      <c r="F49" s="56" t="str">
        <f t="shared" si="1"/>
        <v/>
      </c>
    </row>
    <row r="50" spans="1:6" ht="45" customHeight="1" x14ac:dyDescent="0.3">
      <c r="A50" s="18"/>
      <c r="B50" s="58"/>
      <c r="C50" s="57"/>
      <c r="D50" s="57"/>
      <c r="E50" s="57"/>
      <c r="F50" s="56" t="str">
        <f t="shared" si="1"/>
        <v/>
      </c>
    </row>
    <row r="51" spans="1:6" ht="45" customHeight="1" x14ac:dyDescent="0.3">
      <c r="A51" s="18"/>
      <c r="B51" s="58"/>
      <c r="C51" s="57"/>
      <c r="D51" s="57"/>
      <c r="E51" s="57"/>
      <c r="F51" s="56" t="str">
        <f t="shared" si="1"/>
        <v/>
      </c>
    </row>
    <row r="52" spans="1:6" ht="45" customHeight="1" x14ac:dyDescent="0.3">
      <c r="A52" s="18"/>
      <c r="B52" s="58"/>
      <c r="C52" s="57"/>
      <c r="D52" s="57"/>
      <c r="E52" s="57"/>
      <c r="F52" s="56" t="str">
        <f t="shared" si="1"/>
        <v/>
      </c>
    </row>
    <row r="53" spans="1:6" ht="45" customHeight="1" x14ac:dyDescent="0.3">
      <c r="A53" s="18"/>
      <c r="B53" s="58"/>
      <c r="C53" s="57"/>
      <c r="D53" s="57"/>
      <c r="E53" s="57"/>
      <c r="F53" s="56" t="str">
        <f t="shared" si="1"/>
        <v/>
      </c>
    </row>
    <row r="54" spans="1:6" ht="45" customHeight="1" x14ac:dyDescent="0.3">
      <c r="A54" s="18"/>
      <c r="B54" s="58"/>
      <c r="C54" s="57"/>
      <c r="D54" s="57"/>
      <c r="E54" s="57"/>
      <c r="F54" s="56" t="str">
        <f t="shared" si="1"/>
        <v/>
      </c>
    </row>
    <row r="55" spans="1:6" ht="45" customHeight="1" x14ac:dyDescent="0.3">
      <c r="A55" s="18"/>
      <c r="B55" s="58"/>
      <c r="C55" s="57"/>
      <c r="D55" s="57"/>
      <c r="E55" s="57"/>
      <c r="F55" s="56" t="str">
        <f t="shared" si="1"/>
        <v/>
      </c>
    </row>
    <row r="56" spans="1:6" ht="45" customHeight="1" x14ac:dyDescent="0.3">
      <c r="A56" s="18"/>
      <c r="B56" s="58"/>
      <c r="C56" s="57"/>
      <c r="D56" s="57"/>
      <c r="E56" s="57"/>
      <c r="F56" s="56" t="str">
        <f t="shared" si="1"/>
        <v/>
      </c>
    </row>
    <row r="57" spans="1:6" ht="45" customHeight="1" x14ac:dyDescent="0.3">
      <c r="A57" s="18"/>
      <c r="B57" s="58"/>
      <c r="C57" s="57"/>
      <c r="D57" s="57"/>
      <c r="E57" s="57"/>
      <c r="F57" s="56" t="str">
        <f t="shared" si="1"/>
        <v/>
      </c>
    </row>
    <row r="58" spans="1:6" ht="45" customHeight="1" x14ac:dyDescent="0.3">
      <c r="A58" s="18"/>
      <c r="B58" s="58"/>
      <c r="C58" s="57"/>
      <c r="D58" s="57"/>
      <c r="E58" s="57"/>
      <c r="F58" s="56" t="str">
        <f t="shared" si="1"/>
        <v/>
      </c>
    </row>
    <row r="59" spans="1:6" ht="30" customHeight="1" x14ac:dyDescent="0.3">
      <c r="A59" s="189" t="s">
        <v>15</v>
      </c>
      <c r="B59" s="190"/>
      <c r="C59" s="190"/>
      <c r="D59" s="190"/>
      <c r="E59" s="191"/>
      <c r="F59" s="55">
        <f>IFERROR(AVERAGE(F45:F58),0)</f>
        <v>0</v>
      </c>
    </row>
    <row r="60" spans="1:6" ht="15" customHeight="1" x14ac:dyDescent="0.3"/>
    <row r="61" spans="1:6" ht="14.4" x14ac:dyDescent="0.3">
      <c r="C61" s="6"/>
      <c r="D61" s="53"/>
      <c r="E61" s="6"/>
    </row>
    <row r="62" spans="1:6" ht="14.4" x14ac:dyDescent="0.3">
      <c r="B62" s="2" t="e">
        <f>#REF!</f>
        <v>#REF!</v>
      </c>
      <c r="C62" s="6"/>
      <c r="D62" s="53" t="e">
        <f>"Bandung Barat,      Desember "&amp;MID(#REF!,6,4)</f>
        <v>#REF!</v>
      </c>
      <c r="E62" s="6"/>
    </row>
    <row r="63" spans="1:6" ht="14.4" x14ac:dyDescent="0.3">
      <c r="B63" s="2" t="e">
        <f>#REF!</f>
        <v>#REF!</v>
      </c>
      <c r="C63" s="6"/>
      <c r="D63" s="53" t="e">
        <f>#REF!</f>
        <v>#REF!</v>
      </c>
      <c r="E63" s="6"/>
    </row>
    <row r="64" spans="1:6" ht="14.4" x14ac:dyDescent="0.3">
      <c r="B64" s="2"/>
      <c r="C64" s="6"/>
      <c r="D64" s="53"/>
      <c r="E64" s="6"/>
    </row>
    <row r="65" spans="2:5" ht="14.4" x14ac:dyDescent="0.3">
      <c r="B65" s="2"/>
      <c r="C65" s="6"/>
      <c r="D65" s="53"/>
      <c r="E65" s="6"/>
    </row>
    <row r="66" spans="2:5" ht="14.4" x14ac:dyDescent="0.3">
      <c r="B66" s="2"/>
      <c r="C66" s="6"/>
      <c r="D66" s="53"/>
      <c r="E66" s="6"/>
    </row>
    <row r="67" spans="2:5" ht="14.4" x14ac:dyDescent="0.3">
      <c r="B67" s="3" t="e">
        <f>#REF!</f>
        <v>#REF!</v>
      </c>
      <c r="C67" s="7"/>
      <c r="D67" s="54" t="e">
        <f>#REF!</f>
        <v>#REF!</v>
      </c>
      <c r="E67" s="7"/>
    </row>
    <row r="68" spans="2:5" ht="14.4" x14ac:dyDescent="0.3">
      <c r="B68" s="2" t="e">
        <f>#REF!</f>
        <v>#REF!</v>
      </c>
      <c r="C68" s="6"/>
      <c r="D68" s="53" t="e">
        <f>#REF!</f>
        <v>#REF!</v>
      </c>
      <c r="E68" s="6"/>
    </row>
  </sheetData>
  <sheetProtection sheet="1" objects="1" scenarios="1"/>
  <mergeCells count="12">
    <mergeCell ref="A59:E59"/>
    <mergeCell ref="A36:F36"/>
    <mergeCell ref="A37:F37"/>
    <mergeCell ref="A38:F38"/>
    <mergeCell ref="A39:F39"/>
    <mergeCell ref="A40:F40"/>
    <mergeCell ref="A25:E25"/>
    <mergeCell ref="A2:F2"/>
    <mergeCell ref="A3:F3"/>
    <mergeCell ref="A4:F4"/>
    <mergeCell ref="A5:F5"/>
    <mergeCell ref="A6:F6"/>
  </mergeCells>
  <conditionalFormatting sqref="F25">
    <cfRule type="cellIs" dxfId="31" priority="8" operator="equal">
      <formula>0</formula>
    </cfRule>
  </conditionalFormatting>
  <conditionalFormatting sqref="B11:B24">
    <cfRule type="cellIs" dxfId="30" priority="7" operator="equal">
      <formula>0</formula>
    </cfRule>
  </conditionalFormatting>
  <conditionalFormatting sqref="F59">
    <cfRule type="cellIs" dxfId="29" priority="3" operator="equal">
      <formula>0</formula>
    </cfRule>
  </conditionalFormatting>
  <conditionalFormatting sqref="B45:B58">
    <cfRule type="cellIs" dxfId="28" priority="2" operator="equal">
      <formula>0</formula>
    </cfRule>
  </conditionalFormatting>
  <conditionalFormatting sqref="A11:A24">
    <cfRule type="cellIs" dxfId="27" priority="4" operator="equal">
      <formula>0</formula>
    </cfRule>
  </conditionalFormatting>
  <conditionalFormatting sqref="A45:A58">
    <cfRule type="cellIs" dxfId="26" priority="1" operator="equal">
      <formula>0</formula>
    </cfRule>
  </conditionalFormatting>
  <printOptions horizontalCentered="1"/>
  <pageMargins left="0.43" right="0.13" top="0.28999999999999998" bottom="0.2" header="0.31496062992125984" footer="0.31496062992125984"/>
  <pageSetup paperSize="9" scale="76" fitToWidth="0" fitToHeight="0" orientation="portrait" horizontalDpi="4294967293" verticalDpi="0" r:id="rId1"/>
  <rowBreaks count="1" manualBreakCount="1">
    <brk id="35" max="6" man="1"/>
  </rowBreaks>
  <colBreaks count="1" manualBreakCount="1">
    <brk id="7" min="1" max="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5">
    <tabColor theme="6" tint="-0.499984740745262"/>
  </sheetPr>
  <dimension ref="A1:Y52"/>
  <sheetViews>
    <sheetView showGridLines="0" zoomScale="85" zoomScaleNormal="85" zoomScaleSheetLayoutView="85" workbookViewId="0">
      <pane ySplit="1" topLeftCell="A32" activePane="bottomLeft" state="frozen"/>
      <selection activeCell="C45" sqref="C45"/>
      <selection pane="bottomLeft" activeCell="C45" sqref="C45"/>
    </sheetView>
  </sheetViews>
  <sheetFormatPr defaultColWidth="0" defaultRowHeight="14.4" zeroHeight="1" x14ac:dyDescent="0.3"/>
  <cols>
    <col min="1" max="1" width="4.88671875" style="5" customWidth="1"/>
    <col min="2" max="3" width="53.5546875" style="5" customWidth="1"/>
    <col min="4" max="4" width="11.44140625" style="5" customWidth="1"/>
    <col min="5" max="5" width="0.88671875" style="5" customWidth="1"/>
    <col min="6" max="25" width="0" style="5" hidden="1" customWidth="1"/>
    <col min="26" max="16384" width="9.109375" style="5" hidden="1"/>
  </cols>
  <sheetData>
    <row r="1" spans="1:25" s="11" customFormat="1" ht="35.1" customHeight="1" x14ac:dyDescent="0.3">
      <c r="A1" s="13"/>
      <c r="B1" s="1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3.4" x14ac:dyDescent="0.3">
      <c r="A2" s="265" t="s">
        <v>4</v>
      </c>
      <c r="B2" s="265"/>
      <c r="C2" s="265"/>
      <c r="D2" s="265"/>
    </row>
    <row r="3" spans="1:25" ht="23.4" x14ac:dyDescent="0.3">
      <c r="A3" s="265" t="e">
        <f>#REF!</f>
        <v>#REF!</v>
      </c>
      <c r="B3" s="265"/>
      <c r="C3" s="265"/>
      <c r="D3" s="265"/>
    </row>
    <row r="4" spans="1:25" ht="23.4" x14ac:dyDescent="0.3">
      <c r="A4" s="265" t="e">
        <f>#REF!</f>
        <v>#REF!</v>
      </c>
      <c r="B4" s="265"/>
      <c r="C4" s="265"/>
      <c r="D4" s="265"/>
    </row>
    <row r="5" spans="1:25" ht="23.4" x14ac:dyDescent="0.3">
      <c r="A5" s="265" t="e">
        <f>"KELAS "&amp;#REF!</f>
        <v>#REF!</v>
      </c>
      <c r="B5" s="265"/>
      <c r="C5" s="265"/>
      <c r="D5" s="265"/>
    </row>
    <row r="6" spans="1:25" ht="23.4" x14ac:dyDescent="0.3">
      <c r="A6" s="265" t="e">
        <f>#REF!</f>
        <v>#REF!</v>
      </c>
      <c r="B6" s="265"/>
      <c r="C6" s="265"/>
      <c r="D6" s="265"/>
    </row>
    <row r="7" spans="1:25" x14ac:dyDescent="0.3"/>
    <row r="8" spans="1:25" ht="21" customHeight="1" x14ac:dyDescent="0.3">
      <c r="A8" s="10" t="s">
        <v>12</v>
      </c>
      <c r="B8" s="2"/>
    </row>
    <row r="9" spans="1:25" ht="28.8" x14ac:dyDescent="0.3">
      <c r="A9" s="8" t="s">
        <v>13</v>
      </c>
      <c r="B9" s="184" t="s">
        <v>14</v>
      </c>
      <c r="C9" s="185"/>
      <c r="D9" s="8" t="s">
        <v>3</v>
      </c>
    </row>
    <row r="10" spans="1:25" ht="24.75" customHeight="1" x14ac:dyDescent="0.3">
      <c r="A10" s="59" t="str">
        <f>IF(KKM!A11="","",KKM!A11)</f>
        <v/>
      </c>
      <c r="B10" s="266" t="str">
        <f>IF(KKM!B11="","",KKM!B11)</f>
        <v/>
      </c>
      <c r="C10" s="267" t="str">
        <f>IF(KKM!C11="","",KKM!C11)</f>
        <v/>
      </c>
      <c r="D10" s="9"/>
    </row>
    <row r="11" spans="1:25" ht="24.75" customHeight="1" x14ac:dyDescent="0.3">
      <c r="A11" s="60" t="str">
        <f>IF(KKM!A12="","",KKM!A12)</f>
        <v/>
      </c>
      <c r="B11" s="266" t="str">
        <f>IF(KKM!B12="","",KKM!B12)</f>
        <v/>
      </c>
      <c r="C11" s="267" t="str">
        <f>IF(KKM!C12="","",KKM!C12)</f>
        <v/>
      </c>
      <c r="D11" s="9"/>
    </row>
    <row r="12" spans="1:25" ht="24.75" customHeight="1" x14ac:dyDescent="0.3">
      <c r="A12" s="60" t="str">
        <f>IF(KKM!A13="","",KKM!A13)</f>
        <v/>
      </c>
      <c r="B12" s="266" t="str">
        <f>IF(KKM!B13="","",KKM!B13)</f>
        <v/>
      </c>
      <c r="C12" s="267" t="str">
        <f>IF(KKM!C13="","",KKM!C13)</f>
        <v/>
      </c>
      <c r="D12" s="9"/>
    </row>
    <row r="13" spans="1:25" ht="24.75" customHeight="1" x14ac:dyDescent="0.3">
      <c r="A13" s="60" t="str">
        <f>IF(KKM!A14="","",KKM!A14)</f>
        <v/>
      </c>
      <c r="B13" s="266" t="str">
        <f>IF(KKM!B14="","",KKM!B14)</f>
        <v/>
      </c>
      <c r="C13" s="267" t="str">
        <f>IF(KKM!C14="","",KKM!C14)</f>
        <v/>
      </c>
      <c r="D13" s="9"/>
    </row>
    <row r="14" spans="1:25" ht="24.75" customHeight="1" x14ac:dyDescent="0.3">
      <c r="A14" s="60" t="str">
        <f>IF(KKM!A15="","",KKM!A15)</f>
        <v/>
      </c>
      <c r="B14" s="266" t="str">
        <f>IF(KKM!B15="","",KKM!B15)</f>
        <v/>
      </c>
      <c r="C14" s="267" t="str">
        <f>IF(KKM!C15="","",KKM!C15)</f>
        <v/>
      </c>
      <c r="D14" s="9"/>
    </row>
    <row r="15" spans="1:25" ht="24.75" customHeight="1" x14ac:dyDescent="0.3">
      <c r="A15" s="60" t="str">
        <f>IF(KKM!A16="","",KKM!A16)</f>
        <v/>
      </c>
      <c r="B15" s="266" t="str">
        <f>IF(KKM!B16="","",KKM!B16)</f>
        <v/>
      </c>
      <c r="C15" s="267" t="str">
        <f>IF(KKM!C16="","",KKM!C16)</f>
        <v/>
      </c>
      <c r="D15" s="9"/>
    </row>
    <row r="16" spans="1:25" ht="24.75" customHeight="1" x14ac:dyDescent="0.3">
      <c r="A16" s="60" t="str">
        <f>IF(KKM!A17="","",KKM!A17)</f>
        <v/>
      </c>
      <c r="B16" s="266" t="str">
        <f>IF(KKM!B17="","",KKM!B17)</f>
        <v/>
      </c>
      <c r="C16" s="267" t="str">
        <f>IF(KKM!C17="","",KKM!C17)</f>
        <v/>
      </c>
      <c r="D16" s="9"/>
    </row>
    <row r="17" spans="1:4" ht="24.75" customHeight="1" x14ac:dyDescent="0.3">
      <c r="A17" s="60" t="str">
        <f>IF(KKM!A18="","",KKM!A18)</f>
        <v/>
      </c>
      <c r="B17" s="266" t="str">
        <f>IF(KKM!B18="","",KKM!B18)</f>
        <v/>
      </c>
      <c r="C17" s="267" t="str">
        <f>IF(KKM!C18="","",KKM!C18)</f>
        <v/>
      </c>
      <c r="D17" s="9"/>
    </row>
    <row r="18" spans="1:4" ht="24.75" customHeight="1" x14ac:dyDescent="0.3">
      <c r="A18" s="60" t="str">
        <f>IF(KKM!A19="","",KKM!A19)</f>
        <v/>
      </c>
      <c r="B18" s="266" t="str">
        <f>IF(KKM!B19="","",KKM!B19)</f>
        <v/>
      </c>
      <c r="C18" s="267" t="str">
        <f>IF(KKM!C19="","",KKM!C19)</f>
        <v/>
      </c>
      <c r="D18" s="9"/>
    </row>
    <row r="19" spans="1:4" ht="24.75" customHeight="1" x14ac:dyDescent="0.3">
      <c r="A19" s="60" t="str">
        <f>IF(KKM!A20="","",KKM!A20)</f>
        <v/>
      </c>
      <c r="B19" s="266" t="str">
        <f>IF(KKM!B20="","",KKM!B20)</f>
        <v/>
      </c>
      <c r="C19" s="267" t="str">
        <f>IF(KKM!C20="","",KKM!C20)</f>
        <v/>
      </c>
      <c r="D19" s="9"/>
    </row>
    <row r="20" spans="1:4" ht="24.75" customHeight="1" x14ac:dyDescent="0.3">
      <c r="A20" s="60" t="str">
        <f>IF(KKM!A21="","",KKM!A21)</f>
        <v/>
      </c>
      <c r="B20" s="266" t="str">
        <f>IF(KKM!B21="","",KKM!B21)</f>
        <v/>
      </c>
      <c r="C20" s="267" t="str">
        <f>IF(KKM!C21="","",KKM!C21)</f>
        <v/>
      </c>
      <c r="D20" s="9"/>
    </row>
    <row r="21" spans="1:4" ht="24.75" customHeight="1" x14ac:dyDescent="0.3">
      <c r="A21" s="60" t="str">
        <f>IF(KKM!A22="","",KKM!A22)</f>
        <v/>
      </c>
      <c r="B21" s="266" t="str">
        <f>IF(KKM!B22="","",KKM!B22)</f>
        <v/>
      </c>
      <c r="C21" s="267" t="str">
        <f>IF(KKM!C22="","",KKM!C22)</f>
        <v/>
      </c>
      <c r="D21" s="9"/>
    </row>
    <row r="22" spans="1:4" ht="24.75" customHeight="1" x14ac:dyDescent="0.3">
      <c r="A22" s="60" t="str">
        <f>IF(KKM!A23="","",KKM!A23)</f>
        <v/>
      </c>
      <c r="B22" s="266" t="str">
        <f>IF(KKM!B23="","",KKM!B23)</f>
        <v/>
      </c>
      <c r="C22" s="267" t="str">
        <f>IF(KKM!C23="","",KKM!C23)</f>
        <v/>
      </c>
      <c r="D22" s="9"/>
    </row>
    <row r="23" spans="1:4" ht="24.75" customHeight="1" x14ac:dyDescent="0.3">
      <c r="A23" s="60" t="str">
        <f>IF(KKM!A24="","",KKM!A24)</f>
        <v/>
      </c>
      <c r="B23" s="266" t="str">
        <f>IF(KKM!B24="","",KKM!B24)</f>
        <v/>
      </c>
      <c r="C23" s="267" t="str">
        <f>IF(KKM!C24="","",KKM!C24)</f>
        <v/>
      </c>
      <c r="D23" s="9"/>
    </row>
    <row r="24" spans="1:4" ht="36" customHeight="1" x14ac:dyDescent="0.3">
      <c r="A24" s="189" t="s">
        <v>15</v>
      </c>
      <c r="B24" s="190"/>
      <c r="C24" s="191"/>
      <c r="D24" s="8" t="e">
        <f>SUM(D10:D23)&amp;" JP"&amp;"            (x "&amp;#REF!&amp;" Menit)"</f>
        <v>#REF!</v>
      </c>
    </row>
    <row r="25" spans="1:4" x14ac:dyDescent="0.3"/>
    <row r="26" spans="1:4" ht="21" customHeight="1" x14ac:dyDescent="0.3">
      <c r="A26" s="10" t="s">
        <v>16</v>
      </c>
      <c r="B26" s="2"/>
    </row>
    <row r="27" spans="1:4" ht="28.8" x14ac:dyDescent="0.3">
      <c r="A27" s="8" t="s">
        <v>13</v>
      </c>
      <c r="B27" s="184" t="s">
        <v>14</v>
      </c>
      <c r="C27" s="185"/>
      <c r="D27" s="8" t="s">
        <v>3</v>
      </c>
    </row>
    <row r="28" spans="1:4" ht="24.75" customHeight="1" x14ac:dyDescent="0.3">
      <c r="A28" s="59" t="str">
        <f>IF(KKM!A45="","",KKM!A45)</f>
        <v/>
      </c>
      <c r="B28" s="266" t="str">
        <f>IF(KKM!B45="","",KKM!B45)</f>
        <v/>
      </c>
      <c r="C28" s="267" t="str">
        <f>IF(KKM!C45="","",KKM!C45)</f>
        <v/>
      </c>
      <c r="D28" s="9"/>
    </row>
    <row r="29" spans="1:4" ht="24.75" customHeight="1" x14ac:dyDescent="0.3">
      <c r="A29" s="60" t="str">
        <f>IF(KKM!A46="","",KKM!A46)</f>
        <v/>
      </c>
      <c r="B29" s="266" t="str">
        <f>IF(KKM!B46="","",KKM!B46)</f>
        <v/>
      </c>
      <c r="C29" s="267" t="str">
        <f>IF(KKM!C46="","",KKM!C46)</f>
        <v/>
      </c>
      <c r="D29" s="9"/>
    </row>
    <row r="30" spans="1:4" ht="24.75" customHeight="1" x14ac:dyDescent="0.3">
      <c r="A30" s="60" t="str">
        <f>IF(KKM!A47="","",KKM!A47)</f>
        <v/>
      </c>
      <c r="B30" s="266" t="str">
        <f>IF(KKM!B47="","",KKM!B47)</f>
        <v/>
      </c>
      <c r="C30" s="267" t="str">
        <f>IF(KKM!C47="","",KKM!C47)</f>
        <v/>
      </c>
      <c r="D30" s="9"/>
    </row>
    <row r="31" spans="1:4" ht="24.75" customHeight="1" x14ac:dyDescent="0.3">
      <c r="A31" s="60" t="str">
        <f>IF(KKM!A48="","",KKM!A48)</f>
        <v/>
      </c>
      <c r="B31" s="266" t="str">
        <f>IF(KKM!B48="","",KKM!B48)</f>
        <v/>
      </c>
      <c r="C31" s="267" t="str">
        <f>IF(KKM!C48="","",KKM!C48)</f>
        <v/>
      </c>
      <c r="D31" s="9"/>
    </row>
    <row r="32" spans="1:4" ht="24.75" customHeight="1" x14ac:dyDescent="0.3">
      <c r="A32" s="60" t="str">
        <f>IF(KKM!A49="","",KKM!A49)</f>
        <v/>
      </c>
      <c r="B32" s="266" t="str">
        <f>IF(KKM!B49="","",KKM!B49)</f>
        <v/>
      </c>
      <c r="C32" s="267" t="str">
        <f>IF(KKM!C49="","",KKM!C49)</f>
        <v/>
      </c>
      <c r="D32" s="9"/>
    </row>
    <row r="33" spans="1:4" ht="24.75" customHeight="1" x14ac:dyDescent="0.3">
      <c r="A33" s="60" t="str">
        <f>IF(KKM!A50="","",KKM!A50)</f>
        <v/>
      </c>
      <c r="B33" s="266" t="str">
        <f>IF(KKM!B50="","",KKM!B50)</f>
        <v/>
      </c>
      <c r="C33" s="267" t="str">
        <f>IF(KKM!C50="","",KKM!C50)</f>
        <v/>
      </c>
      <c r="D33" s="9"/>
    </row>
    <row r="34" spans="1:4" ht="24.75" customHeight="1" x14ac:dyDescent="0.3">
      <c r="A34" s="60" t="str">
        <f>IF(KKM!A51="","",KKM!A51)</f>
        <v/>
      </c>
      <c r="B34" s="266" t="str">
        <f>IF(KKM!B51="","",KKM!B51)</f>
        <v/>
      </c>
      <c r="C34" s="267" t="str">
        <f>IF(KKM!C51="","",KKM!C51)</f>
        <v/>
      </c>
      <c r="D34" s="9"/>
    </row>
    <row r="35" spans="1:4" ht="24.75" customHeight="1" x14ac:dyDescent="0.3">
      <c r="A35" s="60" t="str">
        <f>IF(KKM!A52="","",KKM!A52)</f>
        <v/>
      </c>
      <c r="B35" s="266" t="str">
        <f>IF(KKM!B52="","",KKM!B52)</f>
        <v/>
      </c>
      <c r="C35" s="267" t="str">
        <f>IF(KKM!C52="","",KKM!C52)</f>
        <v/>
      </c>
      <c r="D35" s="9"/>
    </row>
    <row r="36" spans="1:4" ht="24.75" customHeight="1" x14ac:dyDescent="0.3">
      <c r="A36" s="60" t="str">
        <f>IF(KKM!A53="","",KKM!A53)</f>
        <v/>
      </c>
      <c r="B36" s="266" t="str">
        <f>IF(KKM!B53="","",KKM!B53)</f>
        <v/>
      </c>
      <c r="C36" s="267" t="str">
        <f>IF(KKM!C53="","",KKM!C53)</f>
        <v/>
      </c>
      <c r="D36" s="9"/>
    </row>
    <row r="37" spans="1:4" ht="24.75" customHeight="1" x14ac:dyDescent="0.3">
      <c r="A37" s="60" t="str">
        <f>IF(KKM!A54="","",KKM!A54)</f>
        <v/>
      </c>
      <c r="B37" s="266" t="str">
        <f>IF(KKM!B54="","",KKM!B54)</f>
        <v/>
      </c>
      <c r="C37" s="267" t="str">
        <f>IF(KKM!C54="","",KKM!C54)</f>
        <v/>
      </c>
      <c r="D37" s="9"/>
    </row>
    <row r="38" spans="1:4" ht="24.75" customHeight="1" x14ac:dyDescent="0.3">
      <c r="A38" s="60" t="str">
        <f>IF(KKM!A55="","",KKM!A55)</f>
        <v/>
      </c>
      <c r="B38" s="266" t="str">
        <f>IF(KKM!B55="","",KKM!B55)</f>
        <v/>
      </c>
      <c r="C38" s="267" t="str">
        <f>IF(KKM!C55="","",KKM!C55)</f>
        <v/>
      </c>
      <c r="D38" s="9"/>
    </row>
    <row r="39" spans="1:4" ht="24.75" customHeight="1" x14ac:dyDescent="0.3">
      <c r="A39" s="60" t="str">
        <f>IF(KKM!A56="","",KKM!A56)</f>
        <v/>
      </c>
      <c r="B39" s="266" t="str">
        <f>IF(KKM!B56="","",KKM!B56)</f>
        <v/>
      </c>
      <c r="C39" s="267" t="str">
        <f>IF(KKM!C56="","",KKM!C56)</f>
        <v/>
      </c>
      <c r="D39" s="9"/>
    </row>
    <row r="40" spans="1:4" ht="24.75" customHeight="1" x14ac:dyDescent="0.3">
      <c r="A40" s="60" t="str">
        <f>IF(KKM!A57="","",KKM!A57)</f>
        <v/>
      </c>
      <c r="B40" s="266" t="str">
        <f>IF(KKM!B57="","",KKM!B57)</f>
        <v/>
      </c>
      <c r="C40" s="267" t="str">
        <f>IF(KKM!C57="","",KKM!C57)</f>
        <v/>
      </c>
      <c r="D40" s="9"/>
    </row>
    <row r="41" spans="1:4" ht="24.75" customHeight="1" x14ac:dyDescent="0.3">
      <c r="A41" s="60" t="str">
        <f>IF(KKM!A58="","",KKM!A58)</f>
        <v/>
      </c>
      <c r="B41" s="266" t="str">
        <f>IF(KKM!B58="","",KKM!B58)</f>
        <v/>
      </c>
      <c r="C41" s="267" t="str">
        <f>IF(KKM!C58="","",KKM!C58)</f>
        <v/>
      </c>
      <c r="D41" s="9"/>
    </row>
    <row r="42" spans="1:4" ht="36" customHeight="1" x14ac:dyDescent="0.3">
      <c r="A42" s="189" t="s">
        <v>15</v>
      </c>
      <c r="B42" s="190"/>
      <c r="C42" s="191"/>
      <c r="D42" s="8" t="e">
        <f>SUM(D28:D41)&amp;" JP"&amp;"            (x "&amp;#REF!&amp;" Menit)"</f>
        <v>#REF!</v>
      </c>
    </row>
    <row r="43" spans="1:4" x14ac:dyDescent="0.3"/>
    <row r="44" spans="1:4" x14ac:dyDescent="0.3"/>
    <row r="45" spans="1:4" x14ac:dyDescent="0.3">
      <c r="B45" s="2" t="e">
        <f>#REF!</f>
        <v>#REF!</v>
      </c>
      <c r="C45" s="6" t="e">
        <f>"Bandung Barat,      Juli "&amp;MID(#REF!,1,4)</f>
        <v>#REF!</v>
      </c>
    </row>
    <row r="46" spans="1:4" x14ac:dyDescent="0.3">
      <c r="B46" s="2" t="e">
        <f>#REF!</f>
        <v>#REF!</v>
      </c>
      <c r="C46" s="6" t="e">
        <f>#REF!</f>
        <v>#REF!</v>
      </c>
    </row>
    <row r="47" spans="1:4" x14ac:dyDescent="0.3">
      <c r="B47" s="2"/>
      <c r="C47" s="6"/>
    </row>
    <row r="48" spans="1:4" x14ac:dyDescent="0.3">
      <c r="B48" s="2"/>
      <c r="C48" s="6"/>
    </row>
    <row r="49" spans="2:3" x14ac:dyDescent="0.3">
      <c r="B49" s="2"/>
      <c r="C49" s="6"/>
    </row>
    <row r="50" spans="2:3" x14ac:dyDescent="0.3">
      <c r="B50" s="3" t="e">
        <f>#REF!</f>
        <v>#REF!</v>
      </c>
      <c r="C50" s="7" t="e">
        <f>#REF!</f>
        <v>#REF!</v>
      </c>
    </row>
    <row r="51" spans="2:3" x14ac:dyDescent="0.3">
      <c r="B51" s="2" t="e">
        <f>#REF!</f>
        <v>#REF!</v>
      </c>
      <c r="C51" s="6" t="e">
        <f>#REF!</f>
        <v>#REF!</v>
      </c>
    </row>
    <row r="52" spans="2:3" hidden="1" x14ac:dyDescent="0.3">
      <c r="C52" s="6" t="e">
        <f>#REF!</f>
        <v>#REF!</v>
      </c>
    </row>
  </sheetData>
  <sheetProtection sheet="1" objects="1" scenarios="1"/>
  <mergeCells count="37">
    <mergeCell ref="B19:C19"/>
    <mergeCell ref="B37:C37"/>
    <mergeCell ref="B20:C20"/>
    <mergeCell ref="B41:C41"/>
    <mergeCell ref="B34:C34"/>
    <mergeCell ref="B38:C38"/>
    <mergeCell ref="B39:C39"/>
    <mergeCell ref="B40:C40"/>
    <mergeCell ref="B35:C35"/>
    <mergeCell ref="B36:C36"/>
    <mergeCell ref="B21:C21"/>
    <mergeCell ref="B22:C22"/>
    <mergeCell ref="B27:C27"/>
    <mergeCell ref="B28:C28"/>
    <mergeCell ref="B23:C23"/>
    <mergeCell ref="A24:C24"/>
    <mergeCell ref="A42:C42"/>
    <mergeCell ref="B29:C29"/>
    <mergeCell ref="B30:C30"/>
    <mergeCell ref="B31:C31"/>
    <mergeCell ref="B32:C32"/>
    <mergeCell ref="B33:C33"/>
    <mergeCell ref="A2:D2"/>
    <mergeCell ref="A3:D3"/>
    <mergeCell ref="A4:D4"/>
    <mergeCell ref="A6:D6"/>
    <mergeCell ref="A5:D5"/>
    <mergeCell ref="B9:C9"/>
    <mergeCell ref="B10:C10"/>
    <mergeCell ref="B16:C16"/>
    <mergeCell ref="B17:C17"/>
    <mergeCell ref="B18:C18"/>
    <mergeCell ref="B11:C11"/>
    <mergeCell ref="B12:C12"/>
    <mergeCell ref="B13:C13"/>
    <mergeCell ref="B14:C14"/>
    <mergeCell ref="B15:C15"/>
  </mergeCells>
  <conditionalFormatting sqref="D24 D42">
    <cfRule type="cellIs" dxfId="25" priority="1" operator="equal">
      <formula>0</formula>
    </cfRule>
  </conditionalFormatting>
  <printOptions horizontalCentered="1"/>
  <pageMargins left="0.14000000000000001" right="0.13" top="0.2" bottom="0.2" header="0.18" footer="0.22"/>
  <pageSetup paperSize="9" scale="73" fitToWidth="0" fitToHeight="0" orientation="portrait" horizontalDpi="4294967293" verticalDpi="0" r:id="rId1"/>
  <colBreaks count="1" manualBreakCount="1">
    <brk id="5" min="1" max="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6">
    <tabColor theme="6" tint="-0.499984740745262"/>
  </sheetPr>
  <dimension ref="A1:AI67"/>
  <sheetViews>
    <sheetView showGridLines="0" zoomScale="85" zoomScaleNormal="85" zoomScaleSheetLayoutView="85" workbookViewId="0">
      <pane ySplit="1" topLeftCell="A17" activePane="bottomLeft" state="frozen"/>
      <selection activeCell="C45" sqref="C45"/>
      <selection pane="bottomLeft" activeCell="C45" sqref="C45"/>
    </sheetView>
  </sheetViews>
  <sheetFormatPr defaultColWidth="0" defaultRowHeight="0" customHeight="1" zeroHeight="1" x14ac:dyDescent="0.3"/>
  <cols>
    <col min="1" max="1" width="4.88671875" style="5" customWidth="1"/>
    <col min="2" max="2" width="53.5546875" style="5" customWidth="1"/>
    <col min="3" max="3" width="11.44140625" style="5" customWidth="1"/>
    <col min="4" max="33" width="3.44140625" style="5" customWidth="1"/>
    <col min="34" max="34" width="13.109375" style="5" bestFit="1" customWidth="1"/>
    <col min="35" max="35" width="0.5546875" style="5" customWidth="1"/>
    <col min="36" max="16384" width="9.109375" style="5" hidden="1"/>
  </cols>
  <sheetData>
    <row r="1" spans="1:34" s="12" customFormat="1" ht="27.75" customHeight="1" x14ac:dyDescent="0.3">
      <c r="A1" s="13"/>
      <c r="B1" s="13"/>
    </row>
    <row r="2" spans="1:34" ht="23.4" x14ac:dyDescent="0.3">
      <c r="A2" s="265" t="s">
        <v>5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</row>
    <row r="3" spans="1:34" ht="23.4" x14ac:dyDescent="0.3">
      <c r="A3" s="265" t="e">
        <f>'Program Tahunan'!$A$3:$D$3</f>
        <v>#REF!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</row>
    <row r="4" spans="1:34" ht="23.4" x14ac:dyDescent="0.3">
      <c r="A4" s="265" t="e">
        <f>'Program Tahunan'!A4:$D$4</f>
        <v>#REF!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</row>
    <row r="5" spans="1:34" ht="23.4" x14ac:dyDescent="0.3">
      <c r="A5" s="265" t="e">
        <f>'Program Tahunan'!A5:$D$5</f>
        <v>#REF!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</row>
    <row r="6" spans="1:34" ht="23.4" x14ac:dyDescent="0.3">
      <c r="A6" s="265" t="e">
        <f>'Program Tahunan'!A6:$D$6</f>
        <v>#REF!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</row>
    <row r="7" spans="1:34" ht="15" customHeight="1" x14ac:dyDescent="0.3"/>
    <row r="8" spans="1:34" ht="15" customHeight="1" x14ac:dyDescent="0.3"/>
    <row r="9" spans="1:34" ht="21" customHeight="1" x14ac:dyDescent="0.3">
      <c r="A9" s="10" t="s">
        <v>29</v>
      </c>
      <c r="B9" s="2"/>
    </row>
    <row r="10" spans="1:34" ht="18" customHeight="1" x14ac:dyDescent="0.3">
      <c r="A10" s="271" t="s">
        <v>13</v>
      </c>
      <c r="B10" s="271" t="s">
        <v>14</v>
      </c>
      <c r="C10" s="271" t="s">
        <v>3</v>
      </c>
      <c r="D10" s="236" t="s">
        <v>28</v>
      </c>
      <c r="E10" s="236"/>
      <c r="F10" s="236"/>
      <c r="G10" s="236"/>
      <c r="H10" s="236"/>
      <c r="I10" s="236" t="s">
        <v>27</v>
      </c>
      <c r="J10" s="236"/>
      <c r="K10" s="236"/>
      <c r="L10" s="236"/>
      <c r="M10" s="236"/>
      <c r="N10" s="236" t="s">
        <v>26</v>
      </c>
      <c r="O10" s="236"/>
      <c r="P10" s="236"/>
      <c r="Q10" s="236"/>
      <c r="R10" s="236"/>
      <c r="S10" s="236" t="s">
        <v>25</v>
      </c>
      <c r="T10" s="236"/>
      <c r="U10" s="236"/>
      <c r="V10" s="236"/>
      <c r="W10" s="236"/>
      <c r="X10" s="236" t="s">
        <v>24</v>
      </c>
      <c r="Y10" s="236"/>
      <c r="Z10" s="236"/>
      <c r="AA10" s="236"/>
      <c r="AB10" s="236"/>
      <c r="AC10" s="236" t="s">
        <v>23</v>
      </c>
      <c r="AD10" s="236"/>
      <c r="AE10" s="236"/>
      <c r="AF10" s="236"/>
      <c r="AG10" s="236"/>
      <c r="AH10" s="236" t="s">
        <v>11</v>
      </c>
    </row>
    <row r="11" spans="1:34" ht="18" customHeight="1" x14ac:dyDescent="0.3">
      <c r="A11" s="271"/>
      <c r="B11" s="271"/>
      <c r="C11" s="271"/>
      <c r="D11" s="18">
        <v>1</v>
      </c>
      <c r="E11" s="18">
        <v>2</v>
      </c>
      <c r="F11" s="18">
        <v>3</v>
      </c>
      <c r="G11" s="18">
        <v>4</v>
      </c>
      <c r="H11" s="18">
        <v>5</v>
      </c>
      <c r="I11" s="18">
        <v>1</v>
      </c>
      <c r="J11" s="18">
        <v>2</v>
      </c>
      <c r="K11" s="18">
        <v>3</v>
      </c>
      <c r="L11" s="18">
        <v>4</v>
      </c>
      <c r="M11" s="18">
        <v>5</v>
      </c>
      <c r="N11" s="18">
        <v>1</v>
      </c>
      <c r="O11" s="18">
        <v>2</v>
      </c>
      <c r="P11" s="18">
        <v>3</v>
      </c>
      <c r="Q11" s="18">
        <v>4</v>
      </c>
      <c r="R11" s="18">
        <v>5</v>
      </c>
      <c r="S11" s="18">
        <v>1</v>
      </c>
      <c r="T11" s="18">
        <v>2</v>
      </c>
      <c r="U11" s="18">
        <v>3</v>
      </c>
      <c r="V11" s="18">
        <v>4</v>
      </c>
      <c r="W11" s="18">
        <v>5</v>
      </c>
      <c r="X11" s="18">
        <v>1</v>
      </c>
      <c r="Y11" s="18">
        <v>2</v>
      </c>
      <c r="Z11" s="18">
        <v>3</v>
      </c>
      <c r="AA11" s="18">
        <v>4</v>
      </c>
      <c r="AB11" s="18">
        <v>5</v>
      </c>
      <c r="AC11" s="18">
        <v>1</v>
      </c>
      <c r="AD11" s="18">
        <v>2</v>
      </c>
      <c r="AE11" s="18">
        <v>3</v>
      </c>
      <c r="AF11" s="18">
        <v>4</v>
      </c>
      <c r="AG11" s="18">
        <v>5</v>
      </c>
      <c r="AH11" s="236"/>
    </row>
    <row r="12" spans="1:34" ht="30" customHeight="1" x14ac:dyDescent="0.3">
      <c r="A12" s="18" t="str">
        <f>IF('Program Tahunan'!A10="","",'Program Tahunan'!A10)</f>
        <v/>
      </c>
      <c r="B12" s="19" t="str">
        <f>IF('Program Tahunan'!B10="","",'Program Tahunan'!B10)</f>
        <v/>
      </c>
      <c r="C12" s="18" t="str">
        <f>IF('Program Tahunan'!D10="","",'Program Tahunan'!D10)</f>
        <v/>
      </c>
      <c r="D12" s="17"/>
      <c r="E12" s="17"/>
      <c r="F12" s="17"/>
      <c r="G12" s="17"/>
      <c r="H12" s="17" t="s">
        <v>33</v>
      </c>
      <c r="I12" s="17" t="s">
        <v>33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6" t="str">
        <f>IF(B12="","",COUNTIF(D12:AG12,"P")&amp;" JP")</f>
        <v/>
      </c>
    </row>
    <row r="13" spans="1:34" ht="30" customHeight="1" x14ac:dyDescent="0.3">
      <c r="A13" s="18" t="str">
        <f>IF('Program Tahunan'!A11="","",'Program Tahunan'!A11)</f>
        <v/>
      </c>
      <c r="B13" s="19" t="str">
        <f>IF('Program Tahunan'!B11="","",'Program Tahunan'!B11)</f>
        <v/>
      </c>
      <c r="C13" s="18" t="str">
        <f>IF('Program Tahunan'!D11="","",'Program Tahunan'!D11)</f>
        <v/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6" t="str">
        <f t="shared" ref="AH13:AH25" si="0">IF(B13="","",COUNTIF(D13:AG13,"P")&amp;" JP")</f>
        <v/>
      </c>
    </row>
    <row r="14" spans="1:34" ht="30" customHeight="1" x14ac:dyDescent="0.3">
      <c r="A14" s="18" t="str">
        <f>IF('Program Tahunan'!A12="","",'Program Tahunan'!A12)</f>
        <v/>
      </c>
      <c r="B14" s="19" t="str">
        <f>IF('Program Tahunan'!B12="","",'Program Tahunan'!B12)</f>
        <v/>
      </c>
      <c r="C14" s="18" t="str">
        <f>IF('Program Tahunan'!D12="","",'Program Tahunan'!D12)</f>
        <v/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6" t="str">
        <f t="shared" si="0"/>
        <v/>
      </c>
    </row>
    <row r="15" spans="1:34" ht="30" customHeight="1" x14ac:dyDescent="0.3">
      <c r="A15" s="18" t="str">
        <f>IF('Program Tahunan'!A13="","",'Program Tahunan'!A13)</f>
        <v/>
      </c>
      <c r="B15" s="19" t="str">
        <f>IF('Program Tahunan'!B13="","",'Program Tahunan'!B13)</f>
        <v/>
      </c>
      <c r="C15" s="18" t="str">
        <f>IF('Program Tahunan'!D13="","",'Program Tahunan'!D13)</f>
        <v/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6" t="str">
        <f t="shared" si="0"/>
        <v/>
      </c>
    </row>
    <row r="16" spans="1:34" ht="30" customHeight="1" x14ac:dyDescent="0.3">
      <c r="A16" s="18" t="str">
        <f>IF('Program Tahunan'!A14="","",'Program Tahunan'!A14)</f>
        <v/>
      </c>
      <c r="B16" s="19" t="str">
        <f>IF('Program Tahunan'!B14="","",'Program Tahunan'!B14)</f>
        <v/>
      </c>
      <c r="C16" s="18" t="str">
        <f>IF('Program Tahunan'!D14="","",'Program Tahunan'!D14)</f>
        <v/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6" t="str">
        <f t="shared" si="0"/>
        <v/>
      </c>
    </row>
    <row r="17" spans="1:34" ht="30" customHeight="1" x14ac:dyDescent="0.3">
      <c r="A17" s="18" t="str">
        <f>IF('Program Tahunan'!A15="","",'Program Tahunan'!A15)</f>
        <v/>
      </c>
      <c r="B17" s="19" t="str">
        <f>IF('Program Tahunan'!B15="","",'Program Tahunan'!B15)</f>
        <v/>
      </c>
      <c r="C17" s="18" t="str">
        <f>IF('Program Tahunan'!D15="","",'Program Tahunan'!D15)</f>
        <v/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6" t="str">
        <f t="shared" si="0"/>
        <v/>
      </c>
    </row>
    <row r="18" spans="1:34" ht="30" customHeight="1" x14ac:dyDescent="0.3">
      <c r="A18" s="18" t="str">
        <f>IF('Program Tahunan'!A16="","",'Program Tahunan'!A16)</f>
        <v/>
      </c>
      <c r="B18" s="19" t="str">
        <f>IF('Program Tahunan'!B16="","",'Program Tahunan'!B16)</f>
        <v/>
      </c>
      <c r="C18" s="18" t="str">
        <f>IF('Program Tahunan'!D16="","",'Program Tahunan'!D16)</f>
        <v/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6" t="str">
        <f t="shared" si="0"/>
        <v/>
      </c>
    </row>
    <row r="19" spans="1:34" ht="30" customHeight="1" x14ac:dyDescent="0.3">
      <c r="A19" s="18" t="str">
        <f>IF('Program Tahunan'!A17="","",'Program Tahunan'!A17)</f>
        <v/>
      </c>
      <c r="B19" s="19" t="str">
        <f>IF('Program Tahunan'!B17="","",'Program Tahunan'!B17)</f>
        <v/>
      </c>
      <c r="C19" s="18" t="str">
        <f>IF('Program Tahunan'!D17="","",'Program Tahunan'!D17)</f>
        <v/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6" t="str">
        <f t="shared" si="0"/>
        <v/>
      </c>
    </row>
    <row r="20" spans="1:34" ht="30" customHeight="1" x14ac:dyDescent="0.3">
      <c r="A20" s="18" t="str">
        <f>IF('Program Tahunan'!A18="","",'Program Tahunan'!A18)</f>
        <v/>
      </c>
      <c r="B20" s="19" t="str">
        <f>IF('Program Tahunan'!B18="","",'Program Tahunan'!B18)</f>
        <v/>
      </c>
      <c r="C20" s="18" t="str">
        <f>IF('Program Tahunan'!D18="","",'Program Tahunan'!D18)</f>
        <v/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6" t="str">
        <f t="shared" si="0"/>
        <v/>
      </c>
    </row>
    <row r="21" spans="1:34" ht="30" customHeight="1" x14ac:dyDescent="0.3">
      <c r="A21" s="18" t="str">
        <f>IF('Program Tahunan'!A19="","",'Program Tahunan'!A19)</f>
        <v/>
      </c>
      <c r="B21" s="19" t="str">
        <f>IF('Program Tahunan'!B19="","",'Program Tahunan'!B19)</f>
        <v/>
      </c>
      <c r="C21" s="18" t="str">
        <f>IF('Program Tahunan'!D19="","",'Program Tahunan'!D19)</f>
        <v/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6" t="str">
        <f t="shared" si="0"/>
        <v/>
      </c>
    </row>
    <row r="22" spans="1:34" ht="30" customHeight="1" x14ac:dyDescent="0.3">
      <c r="A22" s="18" t="str">
        <f>IF('Program Tahunan'!A20="","",'Program Tahunan'!A20)</f>
        <v/>
      </c>
      <c r="B22" s="19" t="str">
        <f>IF('Program Tahunan'!B20="","",'Program Tahunan'!B20)</f>
        <v/>
      </c>
      <c r="C22" s="18" t="str">
        <f>IF('Program Tahunan'!D20="","",'Program Tahunan'!D20)</f>
        <v/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6" t="str">
        <f t="shared" si="0"/>
        <v/>
      </c>
    </row>
    <row r="23" spans="1:34" ht="30" customHeight="1" x14ac:dyDescent="0.3">
      <c r="A23" s="18" t="str">
        <f>IF('Program Tahunan'!A21="","",'Program Tahunan'!A21)</f>
        <v/>
      </c>
      <c r="B23" s="19" t="str">
        <f>IF('Program Tahunan'!B21="","",'Program Tahunan'!B21)</f>
        <v/>
      </c>
      <c r="C23" s="18" t="str">
        <f>IF('Program Tahunan'!D21="","",'Program Tahunan'!D21)</f>
        <v/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6" t="str">
        <f t="shared" si="0"/>
        <v/>
      </c>
    </row>
    <row r="24" spans="1:34" ht="30" customHeight="1" x14ac:dyDescent="0.3">
      <c r="A24" s="18" t="str">
        <f>IF('Program Tahunan'!A22="","",'Program Tahunan'!A22)</f>
        <v/>
      </c>
      <c r="B24" s="19" t="str">
        <f>IF('Program Tahunan'!B22="","",'Program Tahunan'!B22)</f>
        <v/>
      </c>
      <c r="C24" s="18" t="str">
        <f>IF('Program Tahunan'!D22="","",'Program Tahunan'!D22)</f>
        <v/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6" t="str">
        <f t="shared" si="0"/>
        <v/>
      </c>
    </row>
    <row r="25" spans="1:34" ht="30" customHeight="1" x14ac:dyDescent="0.3">
      <c r="A25" s="18" t="str">
        <f>IF('Program Tahunan'!A23="","",'Program Tahunan'!A23)</f>
        <v/>
      </c>
      <c r="B25" s="19" t="str">
        <f>IF('Program Tahunan'!B23="","",'Program Tahunan'!B23)</f>
        <v/>
      </c>
      <c r="C25" s="18" t="str">
        <f>IF('Program Tahunan'!D23="","",'Program Tahunan'!D23)</f>
        <v/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6" t="str">
        <f t="shared" si="0"/>
        <v/>
      </c>
    </row>
    <row r="26" spans="1:34" ht="15" customHeight="1" x14ac:dyDescent="0.3"/>
    <row r="27" spans="1:34" ht="15" customHeight="1" x14ac:dyDescent="0.3">
      <c r="Y27" s="2"/>
    </row>
    <row r="28" spans="1:34" ht="14.4" x14ac:dyDescent="0.3">
      <c r="B28" s="14" t="e">
        <f>#REF!</f>
        <v>#REF!</v>
      </c>
      <c r="Y28" s="2" t="e">
        <f>"Bandung Barat,      Juli "&amp;MID(#REF!,1,4)</f>
        <v>#REF!</v>
      </c>
    </row>
    <row r="29" spans="1:34" ht="14.4" x14ac:dyDescent="0.3">
      <c r="B29" s="14" t="e">
        <f>#REF!</f>
        <v>#REF!</v>
      </c>
      <c r="Y29" s="2" t="e">
        <f>#REF!</f>
        <v>#REF!</v>
      </c>
    </row>
    <row r="30" spans="1:34" ht="14.4" x14ac:dyDescent="0.3">
      <c r="B30" s="14"/>
      <c r="Y30" s="2"/>
    </row>
    <row r="31" spans="1:34" ht="14.4" x14ac:dyDescent="0.3">
      <c r="B31" s="14"/>
      <c r="Y31" s="2"/>
    </row>
    <row r="32" spans="1:34" ht="14.4" x14ac:dyDescent="0.3">
      <c r="B32" s="14"/>
      <c r="Y32" s="2"/>
    </row>
    <row r="33" spans="1:34" ht="14.4" x14ac:dyDescent="0.3">
      <c r="B33" s="15" t="e">
        <f>#REF!</f>
        <v>#REF!</v>
      </c>
      <c r="Y33" s="3" t="e">
        <f>#REF!</f>
        <v>#REF!</v>
      </c>
    </row>
    <row r="34" spans="1:34" ht="14.4" x14ac:dyDescent="0.3">
      <c r="B34" s="14" t="e">
        <f>#REF!</f>
        <v>#REF!</v>
      </c>
      <c r="Y34" s="2" t="e">
        <f>#REF!</f>
        <v>#REF!</v>
      </c>
    </row>
    <row r="35" spans="1:34" ht="23.4" x14ac:dyDescent="0.3">
      <c r="A35" s="265" t="s">
        <v>5</v>
      </c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H35" s="265"/>
    </row>
    <row r="36" spans="1:34" ht="23.4" x14ac:dyDescent="0.3">
      <c r="A36" s="265" t="s">
        <v>9</v>
      </c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  <c r="AA36" s="265"/>
      <c r="AB36" s="265"/>
      <c r="AC36" s="265"/>
      <c r="AD36" s="265"/>
      <c r="AE36" s="265"/>
      <c r="AF36" s="265"/>
      <c r="AG36" s="265"/>
      <c r="AH36" s="265"/>
    </row>
    <row r="37" spans="1:34" ht="23.4" x14ac:dyDescent="0.3">
      <c r="A37" s="265" t="s">
        <v>8</v>
      </c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H37" s="265"/>
    </row>
    <row r="38" spans="1:34" ht="23.4" x14ac:dyDescent="0.3">
      <c r="A38" s="265" t="s">
        <v>31</v>
      </c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</row>
    <row r="39" spans="1:34" ht="23.4" x14ac:dyDescent="0.3">
      <c r="A39" s="265" t="s">
        <v>32</v>
      </c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  <c r="AA39" s="265"/>
      <c r="AB39" s="265"/>
      <c r="AC39" s="265"/>
      <c r="AD39" s="265"/>
      <c r="AE39" s="265"/>
      <c r="AF39" s="265"/>
      <c r="AG39" s="265"/>
      <c r="AH39" s="265"/>
    </row>
    <row r="40" spans="1:34" ht="15" customHeight="1" x14ac:dyDescent="0.3"/>
    <row r="41" spans="1:34" ht="15" customHeight="1" x14ac:dyDescent="0.3"/>
    <row r="42" spans="1:34" ht="21" customHeight="1" x14ac:dyDescent="0.3">
      <c r="A42" s="10" t="s">
        <v>22</v>
      </c>
      <c r="B42" s="2"/>
    </row>
    <row r="43" spans="1:34" ht="18" customHeight="1" x14ac:dyDescent="0.3">
      <c r="A43" s="269" t="s">
        <v>13</v>
      </c>
      <c r="B43" s="269" t="s">
        <v>14</v>
      </c>
      <c r="C43" s="269" t="s">
        <v>3</v>
      </c>
      <c r="D43" s="189" t="s">
        <v>21</v>
      </c>
      <c r="E43" s="190"/>
      <c r="F43" s="190"/>
      <c r="G43" s="190"/>
      <c r="H43" s="191"/>
      <c r="I43" s="189" t="s">
        <v>30</v>
      </c>
      <c r="J43" s="190"/>
      <c r="K43" s="190"/>
      <c r="L43" s="190"/>
      <c r="M43" s="191"/>
      <c r="N43" s="189" t="s">
        <v>20</v>
      </c>
      <c r="O43" s="190"/>
      <c r="P43" s="190"/>
      <c r="Q43" s="190"/>
      <c r="R43" s="191"/>
      <c r="S43" s="189" t="s">
        <v>19</v>
      </c>
      <c r="T43" s="190"/>
      <c r="U43" s="190"/>
      <c r="V43" s="190"/>
      <c r="W43" s="191"/>
      <c r="X43" s="189" t="s">
        <v>18</v>
      </c>
      <c r="Y43" s="190"/>
      <c r="Z43" s="190"/>
      <c r="AA43" s="190"/>
      <c r="AB43" s="191"/>
      <c r="AC43" s="189" t="s">
        <v>17</v>
      </c>
      <c r="AD43" s="190"/>
      <c r="AE43" s="190"/>
      <c r="AF43" s="190"/>
      <c r="AG43" s="191"/>
      <c r="AH43" s="237" t="s">
        <v>11</v>
      </c>
    </row>
    <row r="44" spans="1:34" ht="18" customHeight="1" x14ac:dyDescent="0.3">
      <c r="A44" s="270"/>
      <c r="B44" s="270"/>
      <c r="C44" s="270"/>
      <c r="D44" s="18">
        <v>1</v>
      </c>
      <c r="E44" s="18">
        <v>2</v>
      </c>
      <c r="F44" s="18">
        <v>3</v>
      </c>
      <c r="G44" s="18">
        <v>4</v>
      </c>
      <c r="H44" s="18">
        <v>5</v>
      </c>
      <c r="I44" s="18">
        <v>1</v>
      </c>
      <c r="J44" s="18">
        <v>2</v>
      </c>
      <c r="K44" s="18">
        <v>3</v>
      </c>
      <c r="L44" s="18">
        <v>4</v>
      </c>
      <c r="M44" s="18">
        <v>5</v>
      </c>
      <c r="N44" s="18">
        <v>1</v>
      </c>
      <c r="O44" s="18">
        <v>2</v>
      </c>
      <c r="P44" s="18">
        <v>3</v>
      </c>
      <c r="Q44" s="18">
        <v>4</v>
      </c>
      <c r="R44" s="18">
        <v>5</v>
      </c>
      <c r="S44" s="18">
        <v>1</v>
      </c>
      <c r="T44" s="18">
        <v>2</v>
      </c>
      <c r="U44" s="18">
        <v>3</v>
      </c>
      <c r="V44" s="18">
        <v>4</v>
      </c>
      <c r="W44" s="18">
        <v>5</v>
      </c>
      <c r="X44" s="18">
        <v>1</v>
      </c>
      <c r="Y44" s="18">
        <v>2</v>
      </c>
      <c r="Z44" s="18">
        <v>3</v>
      </c>
      <c r="AA44" s="18">
        <v>4</v>
      </c>
      <c r="AB44" s="18">
        <v>5</v>
      </c>
      <c r="AC44" s="18">
        <v>1</v>
      </c>
      <c r="AD44" s="18">
        <v>2</v>
      </c>
      <c r="AE44" s="18">
        <v>3</v>
      </c>
      <c r="AF44" s="18">
        <v>4</v>
      </c>
      <c r="AG44" s="18">
        <v>5</v>
      </c>
      <c r="AH44" s="268"/>
    </row>
    <row r="45" spans="1:34" ht="30" customHeight="1" x14ac:dyDescent="0.3">
      <c r="A45" s="18" t="str">
        <f>IF('Program Tahunan'!A28="","",'Program Tahunan'!A28)</f>
        <v/>
      </c>
      <c r="B45" s="19" t="str">
        <f>IF('Program Tahunan'!B28="","",'Program Tahunan'!B28)</f>
        <v/>
      </c>
      <c r="C45" s="18">
        <f>'Program Tahunan'!D28</f>
        <v>0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6" t="str">
        <f>IF(B45="","",COUNTIF(D45:AG45,"P")&amp;" JP")</f>
        <v/>
      </c>
    </row>
    <row r="46" spans="1:34" ht="30" customHeight="1" x14ac:dyDescent="0.3">
      <c r="A46" s="18" t="str">
        <f>IF('Program Tahunan'!A29="","",'Program Tahunan'!A29)</f>
        <v/>
      </c>
      <c r="B46" s="19" t="str">
        <f>IF('Program Tahunan'!B29="","",'Program Tahunan'!B29)</f>
        <v/>
      </c>
      <c r="C46" s="18">
        <f>'Program Tahunan'!D29</f>
        <v>0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6" t="str">
        <f t="shared" ref="AH46:AH58" si="1">IF(B46="","",COUNTIF(D46:AG46,"P")&amp;" JP")</f>
        <v/>
      </c>
    </row>
    <row r="47" spans="1:34" ht="30" customHeight="1" x14ac:dyDescent="0.3">
      <c r="A47" s="18" t="str">
        <f>IF('Program Tahunan'!A30="","",'Program Tahunan'!A30)</f>
        <v/>
      </c>
      <c r="B47" s="19" t="str">
        <f>IF('Program Tahunan'!B30="","",'Program Tahunan'!B30)</f>
        <v/>
      </c>
      <c r="C47" s="18">
        <f>'Program Tahunan'!D30</f>
        <v>0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6" t="str">
        <f t="shared" si="1"/>
        <v/>
      </c>
    </row>
    <row r="48" spans="1:34" ht="30" customHeight="1" x14ac:dyDescent="0.3">
      <c r="A48" s="18" t="str">
        <f>IF('Program Tahunan'!A31="","",'Program Tahunan'!A31)</f>
        <v/>
      </c>
      <c r="B48" s="19" t="str">
        <f>IF('Program Tahunan'!B31="","",'Program Tahunan'!B31)</f>
        <v/>
      </c>
      <c r="C48" s="18">
        <f>'Program Tahunan'!D31</f>
        <v>0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6" t="str">
        <f t="shared" si="1"/>
        <v/>
      </c>
    </row>
    <row r="49" spans="1:34" ht="30" customHeight="1" x14ac:dyDescent="0.3">
      <c r="A49" s="18" t="str">
        <f>IF('Program Tahunan'!A32="","",'Program Tahunan'!A32)</f>
        <v/>
      </c>
      <c r="B49" s="19" t="str">
        <f>IF('Program Tahunan'!B32="","",'Program Tahunan'!B32)</f>
        <v/>
      </c>
      <c r="C49" s="18">
        <f>'Program Tahunan'!D32</f>
        <v>0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6" t="str">
        <f t="shared" si="1"/>
        <v/>
      </c>
    </row>
    <row r="50" spans="1:34" ht="30" customHeight="1" x14ac:dyDescent="0.3">
      <c r="A50" s="18" t="str">
        <f>IF('Program Tahunan'!A33="","",'Program Tahunan'!A33)</f>
        <v/>
      </c>
      <c r="B50" s="19" t="str">
        <f>IF('Program Tahunan'!B33="","",'Program Tahunan'!B33)</f>
        <v/>
      </c>
      <c r="C50" s="18">
        <f>'Program Tahunan'!D33</f>
        <v>0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6" t="str">
        <f t="shared" si="1"/>
        <v/>
      </c>
    </row>
    <row r="51" spans="1:34" ht="30" customHeight="1" x14ac:dyDescent="0.3">
      <c r="A51" s="18" t="str">
        <f>IF('Program Tahunan'!A34="","",'Program Tahunan'!A34)</f>
        <v/>
      </c>
      <c r="B51" s="19" t="str">
        <f>IF('Program Tahunan'!B34="","",'Program Tahunan'!B34)</f>
        <v/>
      </c>
      <c r="C51" s="18">
        <f>'Program Tahunan'!D34</f>
        <v>0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6" t="str">
        <f t="shared" si="1"/>
        <v/>
      </c>
    </row>
    <row r="52" spans="1:34" ht="30" customHeight="1" x14ac:dyDescent="0.3">
      <c r="A52" s="18" t="str">
        <f>IF('Program Tahunan'!A35="","",'Program Tahunan'!A35)</f>
        <v/>
      </c>
      <c r="B52" s="19" t="str">
        <f>IF('Program Tahunan'!B35="","",'Program Tahunan'!B35)</f>
        <v/>
      </c>
      <c r="C52" s="18">
        <f>'Program Tahunan'!D35</f>
        <v>0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6" t="str">
        <f t="shared" si="1"/>
        <v/>
      </c>
    </row>
    <row r="53" spans="1:34" ht="30" customHeight="1" x14ac:dyDescent="0.3">
      <c r="A53" s="18" t="str">
        <f>IF('Program Tahunan'!A36="","",'Program Tahunan'!A36)</f>
        <v/>
      </c>
      <c r="B53" s="19" t="str">
        <f>IF('Program Tahunan'!B36="","",'Program Tahunan'!B36)</f>
        <v/>
      </c>
      <c r="C53" s="18">
        <f>'Program Tahunan'!D36</f>
        <v>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6" t="str">
        <f t="shared" si="1"/>
        <v/>
      </c>
    </row>
    <row r="54" spans="1:34" ht="30" customHeight="1" x14ac:dyDescent="0.3">
      <c r="A54" s="18" t="str">
        <f>IF('Program Tahunan'!A37="","",'Program Tahunan'!A37)</f>
        <v/>
      </c>
      <c r="B54" s="19" t="str">
        <f>IF('Program Tahunan'!B37="","",'Program Tahunan'!B37)</f>
        <v/>
      </c>
      <c r="C54" s="18">
        <f>'Program Tahunan'!D37</f>
        <v>0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6" t="str">
        <f t="shared" si="1"/>
        <v/>
      </c>
    </row>
    <row r="55" spans="1:34" ht="30" customHeight="1" x14ac:dyDescent="0.3">
      <c r="A55" s="18" t="str">
        <f>IF('Program Tahunan'!A38="","",'Program Tahunan'!A38)</f>
        <v/>
      </c>
      <c r="B55" s="19" t="str">
        <f>IF('Program Tahunan'!B38="","",'Program Tahunan'!B38)</f>
        <v/>
      </c>
      <c r="C55" s="18">
        <f>'Program Tahunan'!D38</f>
        <v>0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6" t="str">
        <f t="shared" si="1"/>
        <v/>
      </c>
    </row>
    <row r="56" spans="1:34" ht="30" customHeight="1" x14ac:dyDescent="0.3">
      <c r="A56" s="18" t="str">
        <f>IF('Program Tahunan'!A39="","",'Program Tahunan'!A39)</f>
        <v/>
      </c>
      <c r="B56" s="19" t="str">
        <f>IF('Program Tahunan'!B39="","",'Program Tahunan'!B39)</f>
        <v/>
      </c>
      <c r="C56" s="18">
        <f>'Program Tahunan'!D39</f>
        <v>0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6" t="str">
        <f t="shared" si="1"/>
        <v/>
      </c>
    </row>
    <row r="57" spans="1:34" ht="30" customHeight="1" x14ac:dyDescent="0.3">
      <c r="A57" s="18" t="str">
        <f>IF('Program Tahunan'!A40="","",'Program Tahunan'!A40)</f>
        <v/>
      </c>
      <c r="B57" s="19" t="str">
        <f>IF('Program Tahunan'!B40="","",'Program Tahunan'!B40)</f>
        <v/>
      </c>
      <c r="C57" s="18">
        <f>'Program Tahunan'!D40</f>
        <v>0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6" t="str">
        <f t="shared" si="1"/>
        <v/>
      </c>
    </row>
    <row r="58" spans="1:34" ht="30" customHeight="1" x14ac:dyDescent="0.3">
      <c r="A58" s="18" t="str">
        <f>IF('Program Tahunan'!A41="","",'Program Tahunan'!A41)</f>
        <v/>
      </c>
      <c r="B58" s="19" t="str">
        <f>IF('Program Tahunan'!B41="","",'Program Tahunan'!B41)</f>
        <v/>
      </c>
      <c r="C58" s="18">
        <f>'Program Tahunan'!D41</f>
        <v>0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6" t="str">
        <f t="shared" si="1"/>
        <v/>
      </c>
    </row>
    <row r="59" spans="1:34" ht="15" customHeight="1" x14ac:dyDescent="0.3"/>
    <row r="60" spans="1:34" ht="15" customHeight="1" x14ac:dyDescent="0.3">
      <c r="Y60" s="2"/>
    </row>
    <row r="61" spans="1:34" ht="14.4" x14ac:dyDescent="0.3">
      <c r="B61" s="14" t="e">
        <f>#REF!</f>
        <v>#REF!</v>
      </c>
      <c r="Y61" s="2" t="e">
        <f>#REF!</f>
        <v>#REF!</v>
      </c>
    </row>
    <row r="62" spans="1:34" ht="14.4" x14ac:dyDescent="0.3">
      <c r="B62" s="14" t="e">
        <f>#REF!</f>
        <v>#REF!</v>
      </c>
      <c r="Y62" s="2" t="e">
        <f>#REF!</f>
        <v>#REF!</v>
      </c>
    </row>
    <row r="63" spans="1:34" ht="14.4" x14ac:dyDescent="0.3">
      <c r="B63" s="14"/>
      <c r="Y63" s="2"/>
    </row>
    <row r="64" spans="1:34" ht="14.4" x14ac:dyDescent="0.3">
      <c r="B64" s="14"/>
      <c r="Y64" s="2"/>
    </row>
    <row r="65" spans="2:25" ht="14.4" x14ac:dyDescent="0.3">
      <c r="B65" s="14"/>
      <c r="Y65" s="2"/>
    </row>
    <row r="66" spans="2:25" ht="14.4" x14ac:dyDescent="0.3">
      <c r="B66" s="15" t="e">
        <f>#REF!</f>
        <v>#REF!</v>
      </c>
      <c r="Y66" s="3" t="e">
        <f>#REF!</f>
        <v>#REF!</v>
      </c>
    </row>
    <row r="67" spans="2:25" ht="14.4" x14ac:dyDescent="0.3">
      <c r="B67" s="14" t="e">
        <f>#REF!</f>
        <v>#REF!</v>
      </c>
      <c r="Y67" s="2" t="e">
        <f>#REF!</f>
        <v>#REF!</v>
      </c>
    </row>
  </sheetData>
  <sheetProtection sheet="1" objects="1" scenarios="1"/>
  <mergeCells count="30">
    <mergeCell ref="A35:AH35"/>
    <mergeCell ref="AH10:AH11"/>
    <mergeCell ref="A2:AH2"/>
    <mergeCell ref="A3:AH3"/>
    <mergeCell ref="A4:AH4"/>
    <mergeCell ref="A5:AH5"/>
    <mergeCell ref="A6:AH6"/>
    <mergeCell ref="D10:H10"/>
    <mergeCell ref="I10:M10"/>
    <mergeCell ref="N10:R10"/>
    <mergeCell ref="S10:W10"/>
    <mergeCell ref="X10:AB10"/>
    <mergeCell ref="AC10:AG10"/>
    <mergeCell ref="A10:A11"/>
    <mergeCell ref="B10:B11"/>
    <mergeCell ref="C10:C11"/>
    <mergeCell ref="S43:W43"/>
    <mergeCell ref="X43:AB43"/>
    <mergeCell ref="AC43:AG43"/>
    <mergeCell ref="AH43:AH44"/>
    <mergeCell ref="A36:AH36"/>
    <mergeCell ref="A37:AH37"/>
    <mergeCell ref="A38:AH38"/>
    <mergeCell ref="A39:AH39"/>
    <mergeCell ref="A43:A44"/>
    <mergeCell ref="B43:B44"/>
    <mergeCell ref="C43:C44"/>
    <mergeCell ref="D43:H43"/>
    <mergeCell ref="I43:M43"/>
    <mergeCell ref="N43:R43"/>
  </mergeCells>
  <conditionalFormatting sqref="B12:C25">
    <cfRule type="cellIs" dxfId="24" priority="4" operator="equal">
      <formula>0</formula>
    </cfRule>
  </conditionalFormatting>
  <conditionalFormatting sqref="C45:C58">
    <cfRule type="cellIs" dxfId="23" priority="2" operator="equal">
      <formula>0</formula>
    </cfRule>
  </conditionalFormatting>
  <conditionalFormatting sqref="B45:B58">
    <cfRule type="cellIs" dxfId="22" priority="3" operator="equal">
      <formula>0</formula>
    </cfRule>
  </conditionalFormatting>
  <conditionalFormatting sqref="A12:A25">
    <cfRule type="cellIs" dxfId="21" priority="1" operator="equal">
      <formula>0</formula>
    </cfRule>
  </conditionalFormatting>
  <printOptions horizontalCentered="1"/>
  <pageMargins left="0.14000000000000001" right="0.13" top="0.43" bottom="0.2" header="0.39" footer="0.31496062992125984"/>
  <pageSetup paperSize="9" scale="73" fitToWidth="0" fitToHeight="0" orientation="landscape" horizontalDpi="4294967293" verticalDpi="0" r:id="rId1"/>
  <rowBreaks count="1" manualBreakCount="1">
    <brk id="34" max="3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N37"/>
  <sheetViews>
    <sheetView showGridLines="0" zoomScaleNormal="100" zoomScaleSheetLayoutView="70" workbookViewId="0">
      <selection activeCell="A5" sqref="A5"/>
    </sheetView>
  </sheetViews>
  <sheetFormatPr defaultColWidth="0" defaultRowHeight="0" customHeight="1" zeroHeight="1" x14ac:dyDescent="0.3"/>
  <cols>
    <col min="1" max="5" width="20.5546875" style="5" customWidth="1"/>
    <col min="6" max="6" width="0.6640625" style="5" customWidth="1"/>
    <col min="7" max="7" width="98.33203125" style="5" hidden="1" customWidth="1"/>
    <col min="8" max="8" width="0.5546875" style="5" hidden="1" customWidth="1"/>
    <col min="9" max="9" width="98.33203125" style="5" hidden="1" customWidth="1"/>
    <col min="10" max="10" width="0.5546875" style="5" hidden="1" customWidth="1"/>
    <col min="11" max="11" width="98.33203125" style="5" hidden="1" customWidth="1"/>
    <col min="12" max="12" width="0.5546875" style="5" hidden="1" customWidth="1"/>
    <col min="13" max="13" width="98.33203125" style="5" hidden="1" customWidth="1"/>
    <col min="14" max="14" width="0.5546875" style="5" hidden="1" customWidth="1"/>
    <col min="15" max="16384" width="0" style="5" hidden="1"/>
  </cols>
  <sheetData>
    <row r="1" spans="1:13" ht="17.25" customHeight="1" x14ac:dyDescent="0.3">
      <c r="G1" s="272"/>
      <c r="I1" s="272"/>
      <c r="K1" s="272"/>
      <c r="M1" s="272"/>
    </row>
    <row r="2" spans="1:13" s="136" customFormat="1" ht="57.75" customHeight="1" x14ac:dyDescent="0.3">
      <c r="A2" s="274" t="s">
        <v>169</v>
      </c>
      <c r="B2" s="274"/>
      <c r="C2" s="274"/>
      <c r="D2" s="274"/>
      <c r="E2" s="274"/>
      <c r="G2" s="273"/>
      <c r="I2" s="273"/>
      <c r="K2" s="273"/>
      <c r="M2" s="273"/>
    </row>
    <row r="3" spans="1:13" ht="43.8" x14ac:dyDescent="0.3">
      <c r="A3" s="275" t="s">
        <v>198</v>
      </c>
      <c r="B3" s="275"/>
      <c r="C3" s="275"/>
      <c r="D3" s="275"/>
      <c r="E3" s="275"/>
      <c r="G3" s="273"/>
      <c r="I3" s="273"/>
      <c r="K3" s="273"/>
      <c r="M3" s="273"/>
    </row>
    <row r="4" spans="1:13" ht="36.6" x14ac:dyDescent="0.3">
      <c r="A4" s="276" t="s">
        <v>299</v>
      </c>
      <c r="B4" s="276"/>
      <c r="C4" s="276"/>
      <c r="D4" s="276"/>
      <c r="E4" s="276"/>
      <c r="G4" s="273"/>
      <c r="I4" s="273"/>
      <c r="K4" s="273"/>
      <c r="M4" s="273"/>
    </row>
    <row r="5" spans="1:13" ht="15" customHeight="1" x14ac:dyDescent="0.3">
      <c r="G5" s="273"/>
      <c r="I5" s="273"/>
      <c r="K5" s="273"/>
      <c r="M5" s="273"/>
    </row>
    <row r="6" spans="1:13" ht="20.100000000000001" customHeight="1" x14ac:dyDescent="0.3">
      <c r="A6" s="137"/>
      <c r="B6" s="137"/>
      <c r="C6" s="137"/>
      <c r="D6" s="137"/>
      <c r="E6" s="137"/>
      <c r="G6" s="273"/>
      <c r="I6" s="273"/>
      <c r="K6" s="273"/>
      <c r="M6" s="273"/>
    </row>
    <row r="7" spans="1:13" ht="20.100000000000001" customHeight="1" x14ac:dyDescent="0.3">
      <c r="G7" s="273"/>
      <c r="I7" s="273"/>
      <c r="K7" s="273"/>
      <c r="M7" s="273"/>
    </row>
    <row r="8" spans="1:13" ht="20.100000000000001" customHeight="1" x14ac:dyDescent="0.3">
      <c r="A8" s="1"/>
      <c r="B8" s="1"/>
      <c r="C8" s="1"/>
      <c r="D8" s="1"/>
      <c r="E8" s="1"/>
      <c r="G8" s="273"/>
      <c r="I8" s="273"/>
      <c r="K8" s="273"/>
      <c r="M8" s="273"/>
    </row>
    <row r="9" spans="1:13" ht="20.100000000000001" customHeight="1" x14ac:dyDescent="0.3">
      <c r="A9" s="1"/>
      <c r="B9" s="1"/>
      <c r="C9" s="1"/>
      <c r="D9" s="1"/>
      <c r="E9" s="1"/>
      <c r="G9" s="273"/>
      <c r="I9" s="273"/>
      <c r="K9" s="273"/>
      <c r="M9" s="273"/>
    </row>
    <row r="10" spans="1:13" ht="20.100000000000001" customHeight="1" x14ac:dyDescent="0.3">
      <c r="A10" s="1"/>
      <c r="B10" s="1"/>
      <c r="C10" s="1"/>
      <c r="D10" s="1"/>
      <c r="E10" s="1"/>
      <c r="G10" s="273"/>
      <c r="I10" s="273"/>
      <c r="K10" s="273"/>
      <c r="M10" s="273"/>
    </row>
    <row r="11" spans="1:13" ht="20.100000000000001" customHeight="1" x14ac:dyDescent="0.3">
      <c r="A11" s="1"/>
      <c r="B11" s="1"/>
      <c r="C11" s="1"/>
      <c r="D11" s="1"/>
      <c r="E11" s="1"/>
      <c r="G11" s="273"/>
      <c r="I11" s="273"/>
      <c r="K11" s="273"/>
      <c r="M11" s="273"/>
    </row>
    <row r="12" spans="1:13" ht="20.100000000000001" customHeight="1" x14ac:dyDescent="0.3">
      <c r="A12" s="1"/>
      <c r="B12" s="1"/>
      <c r="C12" s="1"/>
      <c r="D12" s="1"/>
      <c r="E12" s="1"/>
      <c r="G12" s="277" t="s">
        <v>170</v>
      </c>
      <c r="I12" s="277" t="s">
        <v>171</v>
      </c>
      <c r="K12" s="277" t="s">
        <v>172</v>
      </c>
      <c r="M12" s="277" t="s">
        <v>173</v>
      </c>
    </row>
    <row r="13" spans="1:13" ht="20.100000000000001" customHeight="1" x14ac:dyDescent="0.3">
      <c r="A13" s="1"/>
      <c r="B13" s="1"/>
      <c r="C13" s="1"/>
      <c r="D13" s="1"/>
      <c r="E13" s="1"/>
      <c r="G13" s="278"/>
      <c r="I13" s="278"/>
      <c r="K13" s="278"/>
      <c r="M13" s="278"/>
    </row>
    <row r="14" spans="1:13" ht="20.100000000000001" customHeight="1" x14ac:dyDescent="0.3">
      <c r="A14" s="1"/>
      <c r="B14" s="1"/>
      <c r="C14" s="1"/>
      <c r="D14" s="1"/>
      <c r="E14" s="1"/>
      <c r="G14" s="278"/>
      <c r="I14" s="278"/>
      <c r="K14" s="278"/>
      <c r="M14" s="278"/>
    </row>
    <row r="15" spans="1:13" ht="20.100000000000001" customHeight="1" x14ac:dyDescent="0.3">
      <c r="A15" s="138"/>
      <c r="B15" s="138"/>
      <c r="C15" s="138"/>
      <c r="D15" s="138"/>
      <c r="E15" s="138"/>
      <c r="G15" s="278"/>
      <c r="I15" s="278"/>
      <c r="K15" s="278"/>
      <c r="M15" s="278"/>
    </row>
    <row r="16" spans="1:13" ht="28.5" customHeight="1" x14ac:dyDescent="0.3">
      <c r="A16" s="1"/>
      <c r="B16" s="139"/>
      <c r="C16" s="139"/>
      <c r="D16" s="139"/>
      <c r="E16" s="53"/>
      <c r="G16" s="278"/>
      <c r="I16" s="278"/>
      <c r="K16" s="278"/>
      <c r="M16" s="278"/>
    </row>
    <row r="17" spans="1:13" ht="28.5" customHeight="1" x14ac:dyDescent="0.3">
      <c r="A17" s="1"/>
      <c r="B17" s="139"/>
      <c r="C17" s="139"/>
      <c r="D17" s="139"/>
      <c r="E17" s="53"/>
      <c r="G17" s="278"/>
      <c r="I17" s="278"/>
      <c r="K17" s="278"/>
      <c r="M17" s="278"/>
    </row>
    <row r="18" spans="1:13" ht="28.5" customHeight="1" x14ac:dyDescent="0.3">
      <c r="A18" s="1"/>
      <c r="B18" s="139"/>
      <c r="C18" s="139"/>
      <c r="D18" s="139"/>
      <c r="E18" s="53"/>
      <c r="G18" s="278"/>
      <c r="I18" s="278"/>
      <c r="K18" s="278"/>
      <c r="M18" s="278"/>
    </row>
    <row r="19" spans="1:13" ht="28.5" customHeight="1" x14ac:dyDescent="0.3">
      <c r="A19" s="1"/>
      <c r="B19" s="139"/>
      <c r="C19" s="139"/>
      <c r="D19" s="139"/>
      <c r="E19" s="53"/>
      <c r="G19" s="278"/>
      <c r="I19" s="278"/>
      <c r="K19" s="278"/>
      <c r="M19" s="278"/>
    </row>
    <row r="20" spans="1:13" ht="28.5" customHeight="1" x14ac:dyDescent="0.3">
      <c r="A20" s="1"/>
      <c r="B20" s="139"/>
      <c r="C20" s="139"/>
      <c r="D20" s="139"/>
      <c r="E20" s="53"/>
      <c r="G20" s="278"/>
      <c r="I20" s="278"/>
      <c r="K20" s="278"/>
      <c r="M20" s="278"/>
    </row>
    <row r="21" spans="1:13" ht="21.75" customHeight="1" x14ac:dyDescent="0.3">
      <c r="A21" s="188" t="s">
        <v>174</v>
      </c>
      <c r="B21" s="188"/>
      <c r="C21" s="188"/>
      <c r="D21" s="188"/>
      <c r="E21" s="188"/>
      <c r="G21" s="278"/>
      <c r="I21" s="278"/>
      <c r="K21" s="278"/>
      <c r="M21" s="278"/>
    </row>
    <row r="22" spans="1:13" ht="43.8" x14ac:dyDescent="0.3">
      <c r="A22" s="280" t="s">
        <v>240</v>
      </c>
      <c r="B22" s="280" t="s">
        <v>167</v>
      </c>
      <c r="C22" s="280" t="s">
        <v>167</v>
      </c>
      <c r="D22" s="280" t="s">
        <v>167</v>
      </c>
      <c r="E22" s="280" t="s">
        <v>167</v>
      </c>
      <c r="G22" s="278"/>
      <c r="I22" s="278"/>
      <c r="K22" s="278"/>
      <c r="M22" s="278"/>
    </row>
    <row r="23" spans="1:13" ht="25.8" x14ac:dyDescent="0.3">
      <c r="A23" s="281" t="s">
        <v>200</v>
      </c>
      <c r="B23" s="281" t="s">
        <v>200</v>
      </c>
      <c r="C23" s="281" t="s">
        <v>200</v>
      </c>
      <c r="D23" s="281" t="s">
        <v>200</v>
      </c>
      <c r="E23" s="281" t="s">
        <v>200</v>
      </c>
      <c r="G23" s="278"/>
      <c r="I23" s="278"/>
      <c r="K23" s="278"/>
      <c r="M23" s="278"/>
    </row>
    <row r="24" spans="1:13" ht="20.100000000000001" customHeight="1" x14ac:dyDescent="0.3">
      <c r="A24" s="2"/>
      <c r="B24" s="140"/>
      <c r="C24" s="140"/>
      <c r="D24" s="140"/>
      <c r="E24" s="53"/>
      <c r="G24" s="278"/>
      <c r="I24" s="278"/>
      <c r="K24" s="278"/>
      <c r="M24" s="278"/>
    </row>
    <row r="25" spans="1:13" ht="14.4" x14ac:dyDescent="0.3">
      <c r="A25" s="138"/>
      <c r="B25" s="138"/>
      <c r="C25" s="138"/>
      <c r="D25" s="138"/>
      <c r="E25" s="138"/>
      <c r="G25" s="278"/>
      <c r="I25" s="278"/>
      <c r="K25" s="278"/>
      <c r="M25" s="278"/>
    </row>
    <row r="26" spans="1:13" ht="21.75" customHeight="1" x14ac:dyDescent="0.3">
      <c r="A26" s="188" t="s">
        <v>175</v>
      </c>
      <c r="B26" s="188"/>
      <c r="C26" s="188"/>
      <c r="D26" s="188"/>
      <c r="E26" s="188"/>
      <c r="G26" s="278"/>
      <c r="I26" s="278"/>
      <c r="K26" s="278"/>
      <c r="M26" s="278"/>
    </row>
    <row r="27" spans="1:13" ht="43.8" x14ac:dyDescent="0.3">
      <c r="A27" s="280" t="s">
        <v>136</v>
      </c>
      <c r="B27" s="280"/>
      <c r="C27" s="280"/>
      <c r="D27" s="280"/>
      <c r="E27" s="280"/>
      <c r="G27" s="278"/>
      <c r="I27" s="278"/>
      <c r="K27" s="278"/>
      <c r="M27" s="278"/>
    </row>
    <row r="28" spans="1:13" ht="21" customHeight="1" x14ac:dyDescent="0.3">
      <c r="A28" s="141"/>
      <c r="B28" s="141"/>
      <c r="C28" s="141"/>
      <c r="D28" s="141"/>
      <c r="E28" s="141"/>
      <c r="G28" s="278"/>
      <c r="I28" s="278"/>
      <c r="K28" s="278"/>
      <c r="M28" s="278"/>
    </row>
    <row r="29" spans="1:13" ht="21" customHeight="1" x14ac:dyDescent="0.3">
      <c r="A29" s="141"/>
      <c r="B29" s="141"/>
      <c r="C29" s="141"/>
      <c r="D29" s="141"/>
      <c r="E29" s="141"/>
      <c r="G29" s="278"/>
      <c r="I29" s="278"/>
      <c r="K29" s="278"/>
      <c r="M29" s="278"/>
    </row>
    <row r="30" spans="1:13" ht="21" x14ac:dyDescent="0.3">
      <c r="A30" s="282" t="s">
        <v>195</v>
      </c>
      <c r="B30" s="282"/>
      <c r="C30" s="282"/>
      <c r="D30" s="282"/>
      <c r="E30" s="282"/>
      <c r="G30" s="278"/>
      <c r="I30" s="278"/>
      <c r="K30" s="278"/>
      <c r="M30" s="278"/>
    </row>
    <row r="31" spans="1:13" ht="21" x14ac:dyDescent="0.3">
      <c r="A31" s="282" t="s">
        <v>196</v>
      </c>
      <c r="B31" s="282"/>
      <c r="C31" s="282"/>
      <c r="D31" s="282"/>
      <c r="E31" s="282"/>
      <c r="G31" s="278"/>
      <c r="I31" s="278"/>
      <c r="K31" s="278"/>
      <c r="M31" s="278"/>
    </row>
    <row r="32" spans="1:13" ht="18.75" customHeight="1" x14ac:dyDescent="0.3">
      <c r="A32" s="283" t="s">
        <v>197</v>
      </c>
      <c r="B32" s="283"/>
      <c r="C32" s="283"/>
      <c r="D32" s="283"/>
      <c r="E32" s="283"/>
      <c r="G32" s="278"/>
      <c r="I32" s="278"/>
      <c r="K32" s="278"/>
      <c r="M32" s="278"/>
    </row>
    <row r="33" spans="1:13" ht="18.75" customHeight="1" x14ac:dyDescent="0.3">
      <c r="A33" s="284">
        <v>2026</v>
      </c>
      <c r="B33" s="284"/>
      <c r="C33" s="284"/>
      <c r="D33" s="284"/>
      <c r="E33" s="284"/>
      <c r="G33" s="278"/>
      <c r="I33" s="278"/>
      <c r="K33" s="278"/>
      <c r="M33" s="278"/>
    </row>
    <row r="34" spans="1:13" ht="15" customHeight="1" x14ac:dyDescent="0.3">
      <c r="A34" s="142"/>
      <c r="G34" s="278"/>
      <c r="I34" s="278"/>
      <c r="K34" s="278"/>
      <c r="M34" s="278"/>
    </row>
    <row r="35" spans="1:13" ht="15" hidden="1" customHeight="1" x14ac:dyDescent="0.3">
      <c r="A35" s="142"/>
      <c r="G35" s="278"/>
      <c r="I35" s="278"/>
      <c r="K35" s="278"/>
      <c r="M35" s="278"/>
    </row>
    <row r="36" spans="1:13" ht="15" hidden="1" customHeight="1" x14ac:dyDescent="0.3">
      <c r="A36" s="143"/>
      <c r="G36" s="278"/>
      <c r="I36" s="278"/>
      <c r="K36" s="278"/>
      <c r="M36" s="278"/>
    </row>
    <row r="37" spans="1:13" ht="15.75" hidden="1" customHeight="1" thickBot="1" x14ac:dyDescent="0.35">
      <c r="A37" s="142"/>
      <c r="G37" s="279"/>
      <c r="I37" s="279"/>
      <c r="K37" s="279"/>
      <c r="M37" s="279"/>
    </row>
  </sheetData>
  <mergeCells count="20">
    <mergeCell ref="I12:I37"/>
    <mergeCell ref="K12:K37"/>
    <mergeCell ref="M12:M37"/>
    <mergeCell ref="A21:E21"/>
    <mergeCell ref="A22:E22"/>
    <mergeCell ref="A23:E23"/>
    <mergeCell ref="A26:E26"/>
    <mergeCell ref="A27:E27"/>
    <mergeCell ref="A30:E30"/>
    <mergeCell ref="A31:E31"/>
    <mergeCell ref="A32:E32"/>
    <mergeCell ref="A33:E33"/>
    <mergeCell ref="G12:G37"/>
    <mergeCell ref="G1:G11"/>
    <mergeCell ref="I1:I11"/>
    <mergeCell ref="K1:K11"/>
    <mergeCell ref="M1:M11"/>
    <mergeCell ref="A2:E2"/>
    <mergeCell ref="A3:E3"/>
    <mergeCell ref="A4:E4"/>
  </mergeCells>
  <printOptions horizontalCentered="1"/>
  <pageMargins left="0.92" right="0.31" top="0.74803149606299213" bottom="0.74803149606299213" header="0.31496062992125984" footer="0.31496062992125984"/>
  <pageSetup paperSize="9" scale="83" fitToWidth="0" fitToHeight="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CCF2-7049-470C-85FB-317FC0776F87}">
  <sheetPr>
    <tabColor theme="6" tint="-0.499984740745262"/>
    <pageSetUpPr fitToPage="1"/>
  </sheetPr>
  <dimension ref="A1:L327"/>
  <sheetViews>
    <sheetView showGridLines="0" zoomScale="87" zoomScaleNormal="100" zoomScaleSheetLayoutView="85" workbookViewId="0">
      <pane ySplit="9" topLeftCell="A10" activePane="bottomLeft" state="frozen"/>
      <selection activeCell="F113" sqref="F113"/>
      <selection pane="bottomLeft" activeCell="D15" sqref="D15"/>
    </sheetView>
  </sheetViews>
  <sheetFormatPr defaultColWidth="0" defaultRowHeight="15" customHeight="1" zeroHeight="1" x14ac:dyDescent="0.3"/>
  <cols>
    <col min="1" max="1" width="4.88671875" style="33" customWidth="1"/>
    <col min="2" max="2" width="16.44140625" style="130" customWidth="1"/>
    <col min="3" max="3" width="5.109375" style="33" customWidth="1"/>
    <col min="4" max="4" width="68.5546875" style="33" customWidth="1"/>
    <col min="5" max="6" width="7.5546875" style="33" customWidth="1"/>
    <col min="7" max="7" width="36.5546875" style="33" customWidth="1"/>
    <col min="8" max="8" width="7.5546875" style="33" customWidth="1"/>
    <col min="9" max="9" width="0.33203125" style="24" customWidth="1"/>
    <col min="10" max="12" width="0" style="24" hidden="1" customWidth="1"/>
    <col min="13" max="16383" width="9.109375" style="24" hidden="1"/>
    <col min="16384" max="16384" width="9.109375" style="24" hidden="1" customWidth="1"/>
  </cols>
  <sheetData>
    <row r="1" spans="1:8" s="123" customFormat="1" ht="23.4" x14ac:dyDescent="0.3">
      <c r="A1" s="265" t="str">
        <f>CV!A3</f>
        <v>SMA NEGERI 15 KOTA BANDUNG</v>
      </c>
      <c r="B1" s="265"/>
      <c r="C1" s="265"/>
      <c r="D1" s="265"/>
      <c r="E1" s="265"/>
      <c r="F1" s="265"/>
      <c r="G1" s="265"/>
      <c r="H1" s="265"/>
    </row>
    <row r="2" spans="1:8" s="123" customFormat="1" ht="23.4" x14ac:dyDescent="0.3">
      <c r="A2" s="265" t="s">
        <v>8</v>
      </c>
      <c r="B2" s="265"/>
      <c r="C2" s="265"/>
      <c r="D2" s="265"/>
      <c r="E2" s="265"/>
      <c r="F2" s="265"/>
      <c r="G2" s="265"/>
      <c r="H2" s="265"/>
    </row>
    <row r="3" spans="1:8" s="123" customFormat="1" ht="23.4" x14ac:dyDescent="0.3">
      <c r="A3" s="265" t="str">
        <f>CV!A4</f>
        <v>TAHUN AJARAN 2026/2027</v>
      </c>
      <c r="B3" s="265"/>
      <c r="C3" s="265"/>
      <c r="D3" s="265"/>
      <c r="E3" s="265"/>
      <c r="F3" s="265"/>
      <c r="G3" s="265"/>
      <c r="H3" s="265"/>
    </row>
    <row r="4" spans="1:8" ht="14.4" x14ac:dyDescent="0.3">
      <c r="A4" s="5"/>
      <c r="B4" s="5"/>
      <c r="C4" s="5"/>
      <c r="D4" s="5"/>
      <c r="E4" s="5"/>
      <c r="F4" s="5"/>
      <c r="G4" s="5"/>
      <c r="H4" s="5"/>
    </row>
    <row r="5" spans="1:8" ht="20.25" customHeight="1" x14ac:dyDescent="0.3">
      <c r="A5" s="284" t="s">
        <v>153</v>
      </c>
      <c r="B5" s="284"/>
      <c r="C5" s="284"/>
      <c r="D5" s="284"/>
      <c r="E5" s="284"/>
      <c r="F5" s="284"/>
      <c r="G5" s="284"/>
      <c r="H5" s="284"/>
    </row>
    <row r="6" spans="1:8" ht="17.399999999999999" x14ac:dyDescent="0.3">
      <c r="B6" s="124" t="str">
        <f>"Mata Pelajaran : "&amp;CV!A27</f>
        <v>Mata Pelajaran : INFORMATIKA</v>
      </c>
      <c r="C6" s="125"/>
      <c r="D6" s="125"/>
      <c r="E6" s="125"/>
      <c r="F6" s="125"/>
      <c r="G6" s="2" t="s">
        <v>242</v>
      </c>
      <c r="H6" s="125"/>
    </row>
    <row r="7" spans="1:8" ht="6.75" customHeight="1" x14ac:dyDescent="0.3">
      <c r="B7" s="33"/>
    </row>
    <row r="8" spans="1:8" ht="14.4" x14ac:dyDescent="0.3">
      <c r="A8" s="286" t="s">
        <v>40</v>
      </c>
      <c r="B8" s="286" t="s">
        <v>154</v>
      </c>
      <c r="C8" s="286" t="s">
        <v>155</v>
      </c>
      <c r="D8" s="288" t="s">
        <v>156</v>
      </c>
      <c r="E8" s="285" t="s">
        <v>157</v>
      </c>
      <c r="F8" s="285"/>
      <c r="G8" s="285" t="s">
        <v>158</v>
      </c>
      <c r="H8" s="285" t="s">
        <v>159</v>
      </c>
    </row>
    <row r="9" spans="1:8" ht="28.8" x14ac:dyDescent="0.3">
      <c r="A9" s="287"/>
      <c r="B9" s="287"/>
      <c r="C9" s="287"/>
      <c r="D9" s="289"/>
      <c r="E9" s="175" t="s">
        <v>160</v>
      </c>
      <c r="F9" s="175" t="s">
        <v>161</v>
      </c>
      <c r="G9" s="285"/>
      <c r="H9" s="285"/>
    </row>
    <row r="10" spans="1:8" ht="26.25" customHeight="1" x14ac:dyDescent="0.3">
      <c r="A10" s="16">
        <v>1</v>
      </c>
      <c r="B10" s="126">
        <v>46261</v>
      </c>
      <c r="C10" s="9"/>
      <c r="D10" s="127" t="s">
        <v>298</v>
      </c>
      <c r="E10" s="9">
        <v>41</v>
      </c>
      <c r="F10" s="128">
        <v>5</v>
      </c>
      <c r="G10" s="128"/>
      <c r="H10" s="128"/>
    </row>
    <row r="11" spans="1:8" ht="26.25" customHeight="1" x14ac:dyDescent="0.3">
      <c r="A11" s="16">
        <f>A10+1</f>
        <v>2</v>
      </c>
      <c r="B11" s="126">
        <v>46282</v>
      </c>
      <c r="C11" s="9"/>
      <c r="D11" s="127" t="s">
        <v>302</v>
      </c>
      <c r="E11" s="9">
        <v>45</v>
      </c>
      <c r="F11" s="128">
        <v>1</v>
      </c>
      <c r="G11" s="128"/>
      <c r="H11" s="128"/>
    </row>
    <row r="12" spans="1:8" ht="26.25" customHeight="1" x14ac:dyDescent="0.3">
      <c r="A12" s="16">
        <f t="shared" ref="A12:A75" si="0">A11+1</f>
        <v>3</v>
      </c>
      <c r="B12" s="126">
        <v>46289</v>
      </c>
      <c r="C12" s="9"/>
      <c r="D12" s="127" t="s">
        <v>306</v>
      </c>
      <c r="E12" s="9">
        <v>46</v>
      </c>
      <c r="F12" s="128">
        <v>0</v>
      </c>
      <c r="G12" s="128"/>
      <c r="H12" s="128"/>
    </row>
    <row r="13" spans="1:8" ht="26.25" customHeight="1" x14ac:dyDescent="0.3">
      <c r="A13" s="16">
        <f t="shared" si="0"/>
        <v>4</v>
      </c>
      <c r="B13" s="126">
        <v>46296</v>
      </c>
      <c r="C13" s="9"/>
      <c r="D13" s="127" t="s">
        <v>307</v>
      </c>
      <c r="E13" s="9">
        <v>42</v>
      </c>
      <c r="F13" s="128">
        <v>2</v>
      </c>
      <c r="G13" s="128"/>
      <c r="H13" s="128"/>
    </row>
    <row r="14" spans="1:8" ht="26.25" customHeight="1" x14ac:dyDescent="0.3">
      <c r="A14" s="16">
        <f t="shared" si="0"/>
        <v>5</v>
      </c>
      <c r="B14" s="126">
        <v>46303</v>
      </c>
      <c r="C14" s="9"/>
      <c r="D14" s="127" t="s">
        <v>308</v>
      </c>
      <c r="E14" s="9">
        <v>43</v>
      </c>
      <c r="F14" s="128">
        <v>3</v>
      </c>
      <c r="G14" s="128"/>
      <c r="H14" s="128"/>
    </row>
    <row r="15" spans="1:8" ht="26.25" customHeight="1" x14ac:dyDescent="0.3">
      <c r="A15" s="16">
        <f t="shared" si="0"/>
        <v>6</v>
      </c>
      <c r="B15" s="126">
        <v>46310</v>
      </c>
      <c r="C15" s="9"/>
      <c r="D15" s="127" t="s">
        <v>309</v>
      </c>
      <c r="E15" s="9"/>
      <c r="F15" s="128"/>
      <c r="G15" s="128"/>
      <c r="H15" s="128"/>
    </row>
    <row r="16" spans="1:8" ht="26.25" customHeight="1" x14ac:dyDescent="0.3">
      <c r="A16" s="16">
        <f t="shared" si="0"/>
        <v>7</v>
      </c>
      <c r="B16" s="126"/>
      <c r="C16" s="9"/>
      <c r="D16" s="127"/>
      <c r="E16" s="9"/>
      <c r="F16" s="128"/>
      <c r="G16" s="128"/>
      <c r="H16" s="128"/>
    </row>
    <row r="17" spans="1:8" ht="26.25" customHeight="1" x14ac:dyDescent="0.3">
      <c r="A17" s="16">
        <f t="shared" si="0"/>
        <v>8</v>
      </c>
      <c r="B17" s="126"/>
      <c r="C17" s="9"/>
      <c r="D17" s="127"/>
      <c r="E17" s="9"/>
      <c r="F17" s="128"/>
      <c r="G17" s="128"/>
      <c r="H17" s="128"/>
    </row>
    <row r="18" spans="1:8" ht="26.25" customHeight="1" x14ac:dyDescent="0.3">
      <c r="A18" s="16">
        <f t="shared" si="0"/>
        <v>9</v>
      </c>
      <c r="B18" s="126"/>
      <c r="C18" s="9"/>
      <c r="D18" s="127"/>
      <c r="E18" s="9"/>
      <c r="F18" s="128"/>
      <c r="G18" s="128"/>
      <c r="H18" s="128"/>
    </row>
    <row r="19" spans="1:8" ht="26.25" customHeight="1" x14ac:dyDescent="0.3">
      <c r="A19" s="16">
        <f t="shared" si="0"/>
        <v>10</v>
      </c>
      <c r="B19" s="126"/>
      <c r="C19" s="9"/>
      <c r="D19" s="127"/>
      <c r="E19" s="9"/>
      <c r="F19" s="128"/>
      <c r="G19" s="128"/>
      <c r="H19" s="128"/>
    </row>
    <row r="20" spans="1:8" ht="26.25" customHeight="1" x14ac:dyDescent="0.3">
      <c r="A20" s="16">
        <f t="shared" si="0"/>
        <v>11</v>
      </c>
      <c r="B20" s="126"/>
      <c r="C20" s="9"/>
      <c r="D20" s="127"/>
      <c r="E20" s="9"/>
      <c r="F20" s="128"/>
      <c r="G20" s="128"/>
      <c r="H20" s="128"/>
    </row>
    <row r="21" spans="1:8" ht="26.25" customHeight="1" x14ac:dyDescent="0.3">
      <c r="A21" s="16">
        <f t="shared" si="0"/>
        <v>12</v>
      </c>
      <c r="B21" s="126"/>
      <c r="C21" s="9"/>
      <c r="D21" s="127"/>
      <c r="E21" s="9"/>
      <c r="F21" s="128"/>
      <c r="G21" s="128"/>
      <c r="H21" s="128"/>
    </row>
    <row r="22" spans="1:8" ht="26.25" customHeight="1" x14ac:dyDescent="0.3">
      <c r="A22" s="16">
        <f t="shared" si="0"/>
        <v>13</v>
      </c>
      <c r="B22" s="126"/>
      <c r="C22" s="9"/>
      <c r="D22" s="127"/>
      <c r="E22" s="9"/>
      <c r="F22" s="128"/>
      <c r="G22" s="128"/>
      <c r="H22" s="128"/>
    </row>
    <row r="23" spans="1:8" ht="26.25" customHeight="1" x14ac:dyDescent="0.3">
      <c r="A23" s="16">
        <f t="shared" si="0"/>
        <v>14</v>
      </c>
      <c r="B23" s="126"/>
      <c r="C23" s="9"/>
      <c r="D23" s="127"/>
      <c r="E23" s="9"/>
      <c r="F23" s="128"/>
      <c r="G23" s="128"/>
      <c r="H23" s="128"/>
    </row>
    <row r="24" spans="1:8" ht="26.25" customHeight="1" x14ac:dyDescent="0.3">
      <c r="A24" s="16">
        <f t="shared" si="0"/>
        <v>15</v>
      </c>
      <c r="B24" s="126"/>
      <c r="C24" s="9"/>
      <c r="D24" s="127"/>
      <c r="E24" s="9"/>
      <c r="F24" s="128"/>
      <c r="G24" s="128"/>
      <c r="H24" s="128"/>
    </row>
    <row r="25" spans="1:8" ht="26.25" customHeight="1" x14ac:dyDescent="0.3">
      <c r="A25" s="16">
        <f t="shared" si="0"/>
        <v>16</v>
      </c>
      <c r="B25" s="126"/>
      <c r="C25" s="9"/>
      <c r="D25" s="127"/>
      <c r="E25" s="9"/>
      <c r="F25" s="128"/>
      <c r="G25" s="128"/>
      <c r="H25" s="128"/>
    </row>
    <row r="26" spans="1:8" ht="26.25" customHeight="1" x14ac:dyDescent="0.3">
      <c r="A26" s="16">
        <f t="shared" si="0"/>
        <v>17</v>
      </c>
      <c r="B26" s="126"/>
      <c r="C26" s="9"/>
      <c r="D26" s="127"/>
      <c r="E26" s="9"/>
      <c r="F26" s="128"/>
      <c r="G26" s="128"/>
      <c r="H26" s="128"/>
    </row>
    <row r="27" spans="1:8" ht="26.25" customHeight="1" x14ac:dyDescent="0.3">
      <c r="A27" s="16">
        <f t="shared" si="0"/>
        <v>18</v>
      </c>
      <c r="B27" s="126"/>
      <c r="C27" s="9"/>
      <c r="D27" s="127"/>
      <c r="E27" s="9"/>
      <c r="F27" s="128"/>
      <c r="G27" s="128"/>
      <c r="H27" s="128"/>
    </row>
    <row r="28" spans="1:8" ht="26.25" customHeight="1" x14ac:dyDescent="0.3">
      <c r="A28" s="16">
        <f t="shared" si="0"/>
        <v>19</v>
      </c>
      <c r="B28" s="126"/>
      <c r="C28" s="9"/>
      <c r="D28" s="127"/>
      <c r="E28" s="9"/>
      <c r="F28" s="128"/>
      <c r="G28" s="128"/>
      <c r="H28" s="128"/>
    </row>
    <row r="29" spans="1:8" ht="26.25" customHeight="1" x14ac:dyDescent="0.3">
      <c r="A29" s="16">
        <f t="shared" si="0"/>
        <v>20</v>
      </c>
      <c r="B29" s="126"/>
      <c r="C29" s="9"/>
      <c r="D29" s="127"/>
      <c r="E29" s="9"/>
      <c r="F29" s="128"/>
      <c r="G29" s="128"/>
      <c r="H29" s="128"/>
    </row>
    <row r="30" spans="1:8" ht="26.25" customHeight="1" x14ac:dyDescent="0.3">
      <c r="A30" s="16">
        <f t="shared" si="0"/>
        <v>21</v>
      </c>
      <c r="B30" s="126"/>
      <c r="C30" s="9"/>
      <c r="D30" s="127"/>
      <c r="E30" s="9"/>
      <c r="F30" s="128"/>
      <c r="G30" s="128"/>
      <c r="H30" s="128"/>
    </row>
    <row r="31" spans="1:8" ht="26.25" customHeight="1" x14ac:dyDescent="0.3">
      <c r="A31" s="16">
        <f t="shared" si="0"/>
        <v>22</v>
      </c>
      <c r="B31" s="126"/>
      <c r="C31" s="9"/>
      <c r="D31" s="127"/>
      <c r="E31" s="9"/>
      <c r="F31" s="128"/>
      <c r="G31" s="128"/>
      <c r="H31" s="128"/>
    </row>
    <row r="32" spans="1:8" ht="26.25" customHeight="1" x14ac:dyDescent="0.3">
      <c r="A32" s="16">
        <f t="shared" si="0"/>
        <v>23</v>
      </c>
      <c r="B32" s="126"/>
      <c r="C32" s="9"/>
      <c r="D32" s="127"/>
      <c r="E32" s="9"/>
      <c r="F32" s="128"/>
      <c r="G32" s="128"/>
      <c r="H32" s="128"/>
    </row>
    <row r="33" spans="1:8" ht="26.25" customHeight="1" x14ac:dyDescent="0.3">
      <c r="A33" s="16">
        <f t="shared" si="0"/>
        <v>24</v>
      </c>
      <c r="B33" s="126"/>
      <c r="C33" s="9"/>
      <c r="D33" s="127"/>
      <c r="E33" s="9"/>
      <c r="F33" s="128"/>
      <c r="G33" s="128"/>
      <c r="H33" s="128"/>
    </row>
    <row r="34" spans="1:8" ht="26.25" customHeight="1" x14ac:dyDescent="0.3">
      <c r="A34" s="16">
        <f t="shared" si="0"/>
        <v>25</v>
      </c>
      <c r="B34" s="126"/>
      <c r="C34" s="9"/>
      <c r="D34" s="127"/>
      <c r="E34" s="9"/>
      <c r="F34" s="128"/>
      <c r="G34" s="128"/>
      <c r="H34" s="128"/>
    </row>
    <row r="35" spans="1:8" ht="26.25" customHeight="1" x14ac:dyDescent="0.3">
      <c r="A35" s="16">
        <f t="shared" si="0"/>
        <v>26</v>
      </c>
      <c r="B35" s="126"/>
      <c r="C35" s="9"/>
      <c r="D35" s="127"/>
      <c r="E35" s="9"/>
      <c r="F35" s="128"/>
      <c r="G35" s="128"/>
      <c r="H35" s="128"/>
    </row>
    <row r="36" spans="1:8" ht="26.25" customHeight="1" x14ac:dyDescent="0.3">
      <c r="A36" s="16">
        <f t="shared" si="0"/>
        <v>27</v>
      </c>
      <c r="B36" s="126"/>
      <c r="C36" s="9"/>
      <c r="D36" s="127"/>
      <c r="E36" s="9"/>
      <c r="F36" s="128"/>
      <c r="G36" s="128"/>
      <c r="H36" s="128"/>
    </row>
    <row r="37" spans="1:8" ht="26.25" customHeight="1" x14ac:dyDescent="0.3">
      <c r="A37" s="16">
        <f t="shared" si="0"/>
        <v>28</v>
      </c>
      <c r="B37" s="126"/>
      <c r="C37" s="9"/>
      <c r="D37" s="127"/>
      <c r="E37" s="9"/>
      <c r="F37" s="128"/>
      <c r="G37" s="128"/>
      <c r="H37" s="128"/>
    </row>
    <row r="38" spans="1:8" ht="26.25" customHeight="1" x14ac:dyDescent="0.3">
      <c r="A38" s="16">
        <f t="shared" si="0"/>
        <v>29</v>
      </c>
      <c r="B38" s="126"/>
      <c r="C38" s="9"/>
      <c r="D38" s="127"/>
      <c r="E38" s="9"/>
      <c r="F38" s="128"/>
      <c r="G38" s="128"/>
      <c r="H38" s="128"/>
    </row>
    <row r="39" spans="1:8" ht="26.25" customHeight="1" x14ac:dyDescent="0.3">
      <c r="A39" s="16">
        <f t="shared" si="0"/>
        <v>30</v>
      </c>
      <c r="B39" s="126"/>
      <c r="C39" s="9"/>
      <c r="D39" s="127"/>
      <c r="E39" s="9"/>
      <c r="F39" s="128"/>
      <c r="G39" s="128"/>
      <c r="H39" s="128"/>
    </row>
    <row r="40" spans="1:8" ht="26.25" hidden="1" customHeight="1" x14ac:dyDescent="0.3">
      <c r="A40" s="16">
        <f t="shared" si="0"/>
        <v>31</v>
      </c>
      <c r="B40" s="126"/>
      <c r="C40" s="9"/>
      <c r="D40" s="127"/>
      <c r="E40" s="9"/>
      <c r="F40" s="128"/>
      <c r="G40" s="128"/>
      <c r="H40" s="128"/>
    </row>
    <row r="41" spans="1:8" ht="26.25" hidden="1" customHeight="1" x14ac:dyDescent="0.3">
      <c r="A41" s="16">
        <f t="shared" si="0"/>
        <v>32</v>
      </c>
      <c r="B41" s="126"/>
      <c r="C41" s="9"/>
      <c r="D41" s="127"/>
      <c r="E41" s="9"/>
      <c r="F41" s="128"/>
      <c r="G41" s="128"/>
      <c r="H41" s="128"/>
    </row>
    <row r="42" spans="1:8" ht="26.25" hidden="1" customHeight="1" x14ac:dyDescent="0.3">
      <c r="A42" s="16">
        <f t="shared" si="0"/>
        <v>33</v>
      </c>
      <c r="B42" s="126"/>
      <c r="C42" s="9"/>
      <c r="D42" s="127"/>
      <c r="E42" s="9"/>
      <c r="F42" s="128"/>
      <c r="G42" s="128"/>
      <c r="H42" s="128"/>
    </row>
    <row r="43" spans="1:8" ht="26.25" hidden="1" customHeight="1" x14ac:dyDescent="0.3">
      <c r="A43" s="16">
        <f t="shared" si="0"/>
        <v>34</v>
      </c>
      <c r="B43" s="126"/>
      <c r="C43" s="9"/>
      <c r="D43" s="127"/>
      <c r="E43" s="9"/>
      <c r="F43" s="128"/>
      <c r="G43" s="128"/>
      <c r="H43" s="128"/>
    </row>
    <row r="44" spans="1:8" ht="26.25" hidden="1" customHeight="1" x14ac:dyDescent="0.3">
      <c r="A44" s="16">
        <f t="shared" si="0"/>
        <v>35</v>
      </c>
      <c r="B44" s="126"/>
      <c r="C44" s="9"/>
      <c r="D44" s="127"/>
      <c r="E44" s="9"/>
      <c r="F44" s="128"/>
      <c r="G44" s="128"/>
      <c r="H44" s="128"/>
    </row>
    <row r="45" spans="1:8" ht="26.25" hidden="1" customHeight="1" x14ac:dyDescent="0.3">
      <c r="A45" s="16">
        <f t="shared" si="0"/>
        <v>36</v>
      </c>
      <c r="B45" s="126"/>
      <c r="C45" s="9"/>
      <c r="D45" s="127"/>
      <c r="E45" s="9"/>
      <c r="F45" s="128"/>
      <c r="G45" s="128"/>
      <c r="H45" s="128"/>
    </row>
    <row r="46" spans="1:8" ht="26.25" hidden="1" customHeight="1" x14ac:dyDescent="0.3">
      <c r="A46" s="16">
        <f t="shared" si="0"/>
        <v>37</v>
      </c>
      <c r="B46" s="126"/>
      <c r="C46" s="9"/>
      <c r="D46" s="127"/>
      <c r="E46" s="9"/>
      <c r="F46" s="128"/>
      <c r="G46" s="128"/>
      <c r="H46" s="128"/>
    </row>
    <row r="47" spans="1:8" ht="26.25" hidden="1" customHeight="1" x14ac:dyDescent="0.3">
      <c r="A47" s="16">
        <f t="shared" si="0"/>
        <v>38</v>
      </c>
      <c r="B47" s="126"/>
      <c r="C47" s="9"/>
      <c r="D47" s="127"/>
      <c r="E47" s="9"/>
      <c r="F47" s="128"/>
      <c r="G47" s="128"/>
      <c r="H47" s="128"/>
    </row>
    <row r="48" spans="1:8" ht="26.25" hidden="1" customHeight="1" x14ac:dyDescent="0.3">
      <c r="A48" s="16">
        <f t="shared" si="0"/>
        <v>39</v>
      </c>
      <c r="B48" s="126"/>
      <c r="C48" s="9"/>
      <c r="D48" s="127"/>
      <c r="E48" s="9"/>
      <c r="F48" s="128"/>
      <c r="G48" s="128"/>
      <c r="H48" s="128"/>
    </row>
    <row r="49" spans="1:8" ht="26.25" hidden="1" customHeight="1" x14ac:dyDescent="0.3">
      <c r="A49" s="16">
        <f t="shared" si="0"/>
        <v>40</v>
      </c>
      <c r="B49" s="126"/>
      <c r="C49" s="9"/>
      <c r="D49" s="127"/>
      <c r="E49" s="9"/>
      <c r="F49" s="128"/>
      <c r="G49" s="128"/>
      <c r="H49" s="128"/>
    </row>
    <row r="50" spans="1:8" ht="26.25" hidden="1" customHeight="1" x14ac:dyDescent="0.3">
      <c r="A50" s="16">
        <f t="shared" si="0"/>
        <v>41</v>
      </c>
      <c r="B50" s="126"/>
      <c r="C50" s="9"/>
      <c r="D50" s="127"/>
      <c r="E50" s="9"/>
      <c r="F50" s="128"/>
      <c r="G50" s="128"/>
      <c r="H50" s="128"/>
    </row>
    <row r="51" spans="1:8" ht="26.25" hidden="1" customHeight="1" x14ac:dyDescent="0.3">
      <c r="A51" s="16">
        <f t="shared" si="0"/>
        <v>42</v>
      </c>
      <c r="B51" s="126"/>
      <c r="C51" s="9"/>
      <c r="D51" s="127"/>
      <c r="E51" s="9"/>
      <c r="F51" s="128"/>
      <c r="G51" s="128"/>
      <c r="H51" s="128"/>
    </row>
    <row r="52" spans="1:8" ht="26.25" hidden="1" customHeight="1" x14ac:dyDescent="0.3">
      <c r="A52" s="16">
        <f t="shared" si="0"/>
        <v>43</v>
      </c>
      <c r="B52" s="126"/>
      <c r="C52" s="9"/>
      <c r="D52" s="127"/>
      <c r="E52" s="9"/>
      <c r="F52" s="128"/>
      <c r="G52" s="128"/>
      <c r="H52" s="128"/>
    </row>
    <row r="53" spans="1:8" ht="26.25" hidden="1" customHeight="1" x14ac:dyDescent="0.3">
      <c r="A53" s="16">
        <f t="shared" si="0"/>
        <v>44</v>
      </c>
      <c r="B53" s="126"/>
      <c r="C53" s="9"/>
      <c r="D53" s="127"/>
      <c r="E53" s="9"/>
      <c r="F53" s="128"/>
      <c r="G53" s="128"/>
      <c r="H53" s="128"/>
    </row>
    <row r="54" spans="1:8" ht="26.25" hidden="1" customHeight="1" x14ac:dyDescent="0.3">
      <c r="A54" s="16">
        <f t="shared" si="0"/>
        <v>45</v>
      </c>
      <c r="B54" s="126"/>
      <c r="C54" s="9"/>
      <c r="D54" s="127"/>
      <c r="E54" s="9"/>
      <c r="F54" s="128"/>
      <c r="G54" s="128"/>
      <c r="H54" s="128"/>
    </row>
    <row r="55" spans="1:8" ht="26.25" hidden="1" customHeight="1" x14ac:dyDescent="0.3">
      <c r="A55" s="16">
        <f t="shared" si="0"/>
        <v>46</v>
      </c>
      <c r="B55" s="126"/>
      <c r="C55" s="9"/>
      <c r="D55" s="127"/>
      <c r="E55" s="9"/>
      <c r="F55" s="128"/>
      <c r="G55" s="128"/>
      <c r="H55" s="128"/>
    </row>
    <row r="56" spans="1:8" ht="26.25" hidden="1" customHeight="1" x14ac:dyDescent="0.3">
      <c r="A56" s="16">
        <f t="shared" si="0"/>
        <v>47</v>
      </c>
      <c r="B56" s="126"/>
      <c r="C56" s="9"/>
      <c r="D56" s="127"/>
      <c r="E56" s="9"/>
      <c r="F56" s="128"/>
      <c r="G56" s="128"/>
      <c r="H56" s="128"/>
    </row>
    <row r="57" spans="1:8" ht="26.25" hidden="1" customHeight="1" x14ac:dyDescent="0.3">
      <c r="A57" s="16">
        <f t="shared" si="0"/>
        <v>48</v>
      </c>
      <c r="B57" s="126"/>
      <c r="C57" s="9"/>
      <c r="D57" s="127"/>
      <c r="E57" s="9"/>
      <c r="F57" s="128"/>
      <c r="G57" s="128"/>
      <c r="H57" s="128"/>
    </row>
    <row r="58" spans="1:8" ht="26.25" hidden="1" customHeight="1" x14ac:dyDescent="0.3">
      <c r="A58" s="16">
        <f t="shared" si="0"/>
        <v>49</v>
      </c>
      <c r="B58" s="126"/>
      <c r="C58" s="9"/>
      <c r="D58" s="127"/>
      <c r="E58" s="9"/>
      <c r="F58" s="128"/>
      <c r="G58" s="128"/>
      <c r="H58" s="128"/>
    </row>
    <row r="59" spans="1:8" ht="26.25" hidden="1" customHeight="1" x14ac:dyDescent="0.3">
      <c r="A59" s="16">
        <f t="shared" si="0"/>
        <v>50</v>
      </c>
      <c r="B59" s="126"/>
      <c r="C59" s="9"/>
      <c r="D59" s="127"/>
      <c r="E59" s="9"/>
      <c r="F59" s="128"/>
      <c r="G59" s="128"/>
      <c r="H59" s="128"/>
    </row>
    <row r="60" spans="1:8" ht="26.25" hidden="1" customHeight="1" x14ac:dyDescent="0.3">
      <c r="A60" s="16">
        <f t="shared" si="0"/>
        <v>51</v>
      </c>
      <c r="B60" s="126"/>
      <c r="C60" s="9"/>
      <c r="D60" s="127"/>
      <c r="E60" s="9"/>
      <c r="F60" s="128"/>
      <c r="G60" s="128"/>
      <c r="H60" s="128"/>
    </row>
    <row r="61" spans="1:8" ht="26.25" hidden="1" customHeight="1" x14ac:dyDescent="0.3">
      <c r="A61" s="16">
        <f t="shared" si="0"/>
        <v>52</v>
      </c>
      <c r="B61" s="126"/>
      <c r="C61" s="9"/>
      <c r="D61" s="127"/>
      <c r="E61" s="9"/>
      <c r="F61" s="128"/>
      <c r="G61" s="128"/>
      <c r="H61" s="128"/>
    </row>
    <row r="62" spans="1:8" ht="26.25" hidden="1" customHeight="1" x14ac:dyDescent="0.3">
      <c r="A62" s="16">
        <f t="shared" si="0"/>
        <v>53</v>
      </c>
      <c r="B62" s="126"/>
      <c r="C62" s="9"/>
      <c r="D62" s="127"/>
      <c r="E62" s="9"/>
      <c r="F62" s="128"/>
      <c r="G62" s="128"/>
      <c r="H62" s="128"/>
    </row>
    <row r="63" spans="1:8" ht="26.25" hidden="1" customHeight="1" x14ac:dyDescent="0.3">
      <c r="A63" s="16">
        <f t="shared" si="0"/>
        <v>54</v>
      </c>
      <c r="B63" s="126"/>
      <c r="C63" s="9"/>
      <c r="D63" s="127"/>
      <c r="E63" s="9"/>
      <c r="F63" s="128"/>
      <c r="G63" s="128"/>
      <c r="H63" s="128"/>
    </row>
    <row r="64" spans="1:8" ht="26.25" hidden="1" customHeight="1" x14ac:dyDescent="0.3">
      <c r="A64" s="16">
        <f t="shared" si="0"/>
        <v>55</v>
      </c>
      <c r="B64" s="126"/>
      <c r="C64" s="9"/>
      <c r="D64" s="127"/>
      <c r="E64" s="9"/>
      <c r="F64" s="128"/>
      <c r="G64" s="128"/>
      <c r="H64" s="128"/>
    </row>
    <row r="65" spans="1:8" ht="26.25" hidden="1" customHeight="1" x14ac:dyDescent="0.3">
      <c r="A65" s="16">
        <f t="shared" si="0"/>
        <v>56</v>
      </c>
      <c r="B65" s="126"/>
      <c r="C65" s="9"/>
      <c r="D65" s="127"/>
      <c r="E65" s="9"/>
      <c r="F65" s="128"/>
      <c r="G65" s="128"/>
      <c r="H65" s="128"/>
    </row>
    <row r="66" spans="1:8" ht="26.25" hidden="1" customHeight="1" x14ac:dyDescent="0.3">
      <c r="A66" s="16">
        <f t="shared" si="0"/>
        <v>57</v>
      </c>
      <c r="B66" s="126"/>
      <c r="C66" s="9"/>
      <c r="D66" s="127"/>
      <c r="E66" s="9"/>
      <c r="F66" s="128"/>
      <c r="G66" s="128"/>
      <c r="H66" s="128"/>
    </row>
    <row r="67" spans="1:8" ht="26.25" hidden="1" customHeight="1" x14ac:dyDescent="0.3">
      <c r="A67" s="16">
        <f t="shared" si="0"/>
        <v>58</v>
      </c>
      <c r="B67" s="126"/>
      <c r="C67" s="9"/>
      <c r="D67" s="127"/>
      <c r="E67" s="9"/>
      <c r="F67" s="128"/>
      <c r="G67" s="128"/>
      <c r="H67" s="128"/>
    </row>
    <row r="68" spans="1:8" ht="26.25" hidden="1" customHeight="1" x14ac:dyDescent="0.3">
      <c r="A68" s="16">
        <f t="shared" si="0"/>
        <v>59</v>
      </c>
      <c r="B68" s="126"/>
      <c r="C68" s="9"/>
      <c r="D68" s="127"/>
      <c r="E68" s="9"/>
      <c r="F68" s="128"/>
      <c r="G68" s="128"/>
      <c r="H68" s="128"/>
    </row>
    <row r="69" spans="1:8" ht="26.25" hidden="1" customHeight="1" x14ac:dyDescent="0.3">
      <c r="A69" s="16">
        <f t="shared" si="0"/>
        <v>60</v>
      </c>
      <c r="B69" s="126"/>
      <c r="C69" s="9"/>
      <c r="D69" s="127"/>
      <c r="E69" s="9"/>
      <c r="F69" s="128"/>
      <c r="G69" s="128"/>
      <c r="H69" s="128"/>
    </row>
    <row r="70" spans="1:8" ht="26.25" hidden="1" customHeight="1" x14ac:dyDescent="0.3">
      <c r="A70" s="16">
        <f t="shared" si="0"/>
        <v>61</v>
      </c>
      <c r="B70" s="126"/>
      <c r="C70" s="9"/>
      <c r="D70" s="127"/>
      <c r="E70" s="9"/>
      <c r="F70" s="128"/>
      <c r="G70" s="128"/>
      <c r="H70" s="128"/>
    </row>
    <row r="71" spans="1:8" ht="26.25" hidden="1" customHeight="1" x14ac:dyDescent="0.3">
      <c r="A71" s="16">
        <f t="shared" si="0"/>
        <v>62</v>
      </c>
      <c r="B71" s="126"/>
      <c r="C71" s="9"/>
      <c r="D71" s="127"/>
      <c r="E71" s="9"/>
      <c r="F71" s="128"/>
      <c r="G71" s="128"/>
      <c r="H71" s="128"/>
    </row>
    <row r="72" spans="1:8" ht="26.25" hidden="1" customHeight="1" x14ac:dyDescent="0.3">
      <c r="A72" s="16">
        <f t="shared" si="0"/>
        <v>63</v>
      </c>
      <c r="B72" s="126"/>
      <c r="C72" s="9"/>
      <c r="D72" s="127"/>
      <c r="E72" s="9"/>
      <c r="F72" s="128"/>
      <c r="G72" s="128"/>
      <c r="H72" s="128"/>
    </row>
    <row r="73" spans="1:8" ht="26.25" hidden="1" customHeight="1" x14ac:dyDescent="0.3">
      <c r="A73" s="16">
        <f t="shared" si="0"/>
        <v>64</v>
      </c>
      <c r="B73" s="126"/>
      <c r="C73" s="9"/>
      <c r="D73" s="127"/>
      <c r="E73" s="9"/>
      <c r="F73" s="128"/>
      <c r="G73" s="128"/>
      <c r="H73" s="128"/>
    </row>
    <row r="74" spans="1:8" ht="26.25" hidden="1" customHeight="1" x14ac:dyDescent="0.3">
      <c r="A74" s="16">
        <f t="shared" si="0"/>
        <v>65</v>
      </c>
      <c r="B74" s="126"/>
      <c r="C74" s="9"/>
      <c r="D74" s="127"/>
      <c r="E74" s="9"/>
      <c r="F74" s="128"/>
      <c r="G74" s="128"/>
      <c r="H74" s="128"/>
    </row>
    <row r="75" spans="1:8" ht="26.25" hidden="1" customHeight="1" x14ac:dyDescent="0.3">
      <c r="A75" s="16">
        <f t="shared" si="0"/>
        <v>66</v>
      </c>
      <c r="B75" s="126"/>
      <c r="C75" s="9"/>
      <c r="D75" s="127"/>
      <c r="E75" s="9"/>
      <c r="F75" s="128"/>
      <c r="G75" s="128"/>
      <c r="H75" s="128"/>
    </row>
    <row r="76" spans="1:8" ht="26.25" hidden="1" customHeight="1" x14ac:dyDescent="0.3">
      <c r="A76" s="16">
        <f t="shared" ref="A76:A104" si="1">A75+1</f>
        <v>67</v>
      </c>
      <c r="B76" s="126"/>
      <c r="C76" s="9"/>
      <c r="D76" s="127"/>
      <c r="E76" s="9"/>
      <c r="F76" s="128"/>
      <c r="G76" s="128"/>
      <c r="H76" s="128"/>
    </row>
    <row r="77" spans="1:8" ht="26.25" hidden="1" customHeight="1" x14ac:dyDescent="0.3">
      <c r="A77" s="16">
        <f t="shared" si="1"/>
        <v>68</v>
      </c>
      <c r="B77" s="126"/>
      <c r="C77" s="9"/>
      <c r="D77" s="127"/>
      <c r="E77" s="9"/>
      <c r="F77" s="128"/>
      <c r="G77" s="128"/>
      <c r="H77" s="128"/>
    </row>
    <row r="78" spans="1:8" ht="26.25" hidden="1" customHeight="1" x14ac:dyDescent="0.3">
      <c r="A78" s="16">
        <f t="shared" si="1"/>
        <v>69</v>
      </c>
      <c r="B78" s="126"/>
      <c r="C78" s="9"/>
      <c r="D78" s="127"/>
      <c r="E78" s="9"/>
      <c r="F78" s="128"/>
      <c r="G78" s="128"/>
      <c r="H78" s="128"/>
    </row>
    <row r="79" spans="1:8" ht="26.25" hidden="1" customHeight="1" x14ac:dyDescent="0.3">
      <c r="A79" s="16">
        <f t="shared" si="1"/>
        <v>70</v>
      </c>
      <c r="B79" s="126"/>
      <c r="C79" s="9"/>
      <c r="D79" s="127"/>
      <c r="E79" s="9"/>
      <c r="F79" s="128"/>
      <c r="G79" s="128"/>
      <c r="H79" s="128"/>
    </row>
    <row r="80" spans="1:8" ht="26.25" hidden="1" customHeight="1" x14ac:dyDescent="0.3">
      <c r="A80" s="16">
        <f t="shared" si="1"/>
        <v>71</v>
      </c>
      <c r="B80" s="126"/>
      <c r="C80" s="9"/>
      <c r="D80" s="127"/>
      <c r="E80" s="9"/>
      <c r="F80" s="128"/>
      <c r="G80" s="128"/>
      <c r="H80" s="128"/>
    </row>
    <row r="81" spans="1:8" ht="26.25" hidden="1" customHeight="1" x14ac:dyDescent="0.3">
      <c r="A81" s="16">
        <f t="shared" si="1"/>
        <v>72</v>
      </c>
      <c r="B81" s="126"/>
      <c r="C81" s="9"/>
      <c r="D81" s="127"/>
      <c r="E81" s="9"/>
      <c r="F81" s="128"/>
      <c r="G81" s="128"/>
      <c r="H81" s="128"/>
    </row>
    <row r="82" spans="1:8" ht="26.25" hidden="1" customHeight="1" x14ac:dyDescent="0.3">
      <c r="A82" s="16">
        <f t="shared" si="1"/>
        <v>73</v>
      </c>
      <c r="B82" s="126"/>
      <c r="C82" s="9"/>
      <c r="D82" s="127"/>
      <c r="E82" s="9"/>
      <c r="F82" s="128"/>
      <c r="G82" s="128"/>
      <c r="H82" s="128"/>
    </row>
    <row r="83" spans="1:8" ht="26.25" hidden="1" customHeight="1" x14ac:dyDescent="0.3">
      <c r="A83" s="16">
        <f t="shared" si="1"/>
        <v>74</v>
      </c>
      <c r="B83" s="126"/>
      <c r="C83" s="9"/>
      <c r="D83" s="127"/>
      <c r="E83" s="9"/>
      <c r="F83" s="128"/>
      <c r="G83" s="128"/>
      <c r="H83" s="128"/>
    </row>
    <row r="84" spans="1:8" ht="26.25" hidden="1" customHeight="1" x14ac:dyDescent="0.3">
      <c r="A84" s="16">
        <f t="shared" si="1"/>
        <v>75</v>
      </c>
      <c r="B84" s="126"/>
      <c r="C84" s="9"/>
      <c r="D84" s="127"/>
      <c r="E84" s="9"/>
      <c r="F84" s="128"/>
      <c r="G84" s="128"/>
      <c r="H84" s="128"/>
    </row>
    <row r="85" spans="1:8" ht="26.25" hidden="1" customHeight="1" x14ac:dyDescent="0.3">
      <c r="A85" s="16">
        <f t="shared" si="1"/>
        <v>76</v>
      </c>
      <c r="B85" s="126"/>
      <c r="C85" s="9"/>
      <c r="D85" s="127"/>
      <c r="E85" s="9"/>
      <c r="F85" s="128"/>
      <c r="G85" s="128"/>
      <c r="H85" s="128"/>
    </row>
    <row r="86" spans="1:8" ht="26.25" hidden="1" customHeight="1" x14ac:dyDescent="0.3">
      <c r="A86" s="16">
        <f t="shared" si="1"/>
        <v>77</v>
      </c>
      <c r="B86" s="126"/>
      <c r="C86" s="9"/>
      <c r="D86" s="127"/>
      <c r="E86" s="9"/>
      <c r="F86" s="128"/>
      <c r="G86" s="128"/>
      <c r="H86" s="128"/>
    </row>
    <row r="87" spans="1:8" ht="26.25" hidden="1" customHeight="1" x14ac:dyDescent="0.3">
      <c r="A87" s="16">
        <f t="shared" si="1"/>
        <v>78</v>
      </c>
      <c r="B87" s="126"/>
      <c r="C87" s="9"/>
      <c r="D87" s="127"/>
      <c r="E87" s="9"/>
      <c r="F87" s="128"/>
      <c r="G87" s="128"/>
      <c r="H87" s="128"/>
    </row>
    <row r="88" spans="1:8" ht="26.25" hidden="1" customHeight="1" x14ac:dyDescent="0.3">
      <c r="A88" s="16">
        <f t="shared" si="1"/>
        <v>79</v>
      </c>
      <c r="B88" s="126"/>
      <c r="C88" s="9"/>
      <c r="D88" s="127"/>
      <c r="E88" s="9"/>
      <c r="F88" s="128"/>
      <c r="G88" s="128"/>
      <c r="H88" s="128"/>
    </row>
    <row r="89" spans="1:8" ht="26.25" hidden="1" customHeight="1" x14ac:dyDescent="0.3">
      <c r="A89" s="16">
        <f t="shared" si="1"/>
        <v>80</v>
      </c>
      <c r="B89" s="126"/>
      <c r="C89" s="9"/>
      <c r="D89" s="127"/>
      <c r="E89" s="9"/>
      <c r="F89" s="128"/>
      <c r="G89" s="128"/>
      <c r="H89" s="128"/>
    </row>
    <row r="90" spans="1:8" ht="26.25" hidden="1" customHeight="1" x14ac:dyDescent="0.3">
      <c r="A90" s="16">
        <f t="shared" si="1"/>
        <v>81</v>
      </c>
      <c r="B90" s="126"/>
      <c r="C90" s="9"/>
      <c r="D90" s="127"/>
      <c r="E90" s="9"/>
      <c r="F90" s="128"/>
      <c r="G90" s="128"/>
      <c r="H90" s="128"/>
    </row>
    <row r="91" spans="1:8" ht="26.25" hidden="1" customHeight="1" x14ac:dyDescent="0.3">
      <c r="A91" s="16">
        <f t="shared" si="1"/>
        <v>82</v>
      </c>
      <c r="B91" s="126"/>
      <c r="C91" s="9"/>
      <c r="D91" s="127"/>
      <c r="E91" s="9"/>
      <c r="F91" s="128"/>
      <c r="G91" s="128"/>
      <c r="H91" s="128"/>
    </row>
    <row r="92" spans="1:8" ht="26.25" hidden="1" customHeight="1" x14ac:dyDescent="0.3">
      <c r="A92" s="16">
        <f t="shared" si="1"/>
        <v>83</v>
      </c>
      <c r="B92" s="126"/>
      <c r="C92" s="9"/>
      <c r="D92" s="127"/>
      <c r="E92" s="9"/>
      <c r="F92" s="128"/>
      <c r="G92" s="128"/>
      <c r="H92" s="128"/>
    </row>
    <row r="93" spans="1:8" ht="26.25" hidden="1" customHeight="1" x14ac:dyDescent="0.3">
      <c r="A93" s="16">
        <f t="shared" si="1"/>
        <v>84</v>
      </c>
      <c r="B93" s="126"/>
      <c r="C93" s="9"/>
      <c r="D93" s="127"/>
      <c r="E93" s="9"/>
      <c r="F93" s="128"/>
      <c r="G93" s="128"/>
      <c r="H93" s="128"/>
    </row>
    <row r="94" spans="1:8" ht="26.25" hidden="1" customHeight="1" x14ac:dyDescent="0.3">
      <c r="A94" s="16">
        <f t="shared" si="1"/>
        <v>85</v>
      </c>
      <c r="B94" s="126"/>
      <c r="C94" s="9"/>
      <c r="D94" s="127"/>
      <c r="E94" s="9"/>
      <c r="F94" s="128"/>
      <c r="G94" s="128"/>
      <c r="H94" s="128"/>
    </row>
    <row r="95" spans="1:8" ht="26.25" hidden="1" customHeight="1" x14ac:dyDescent="0.3">
      <c r="A95" s="16">
        <f t="shared" si="1"/>
        <v>86</v>
      </c>
      <c r="B95" s="126"/>
      <c r="C95" s="9"/>
      <c r="D95" s="127"/>
      <c r="E95" s="9"/>
      <c r="F95" s="128"/>
      <c r="G95" s="128"/>
      <c r="H95" s="128"/>
    </row>
    <row r="96" spans="1:8" ht="26.25" hidden="1" customHeight="1" x14ac:dyDescent="0.3">
      <c r="A96" s="16">
        <f t="shared" si="1"/>
        <v>87</v>
      </c>
      <c r="B96" s="126"/>
      <c r="C96" s="9"/>
      <c r="D96" s="127"/>
      <c r="E96" s="9"/>
      <c r="F96" s="128"/>
      <c r="G96" s="128"/>
      <c r="H96" s="128"/>
    </row>
    <row r="97" spans="1:8" ht="26.25" hidden="1" customHeight="1" x14ac:dyDescent="0.3">
      <c r="A97" s="16">
        <f t="shared" si="1"/>
        <v>88</v>
      </c>
      <c r="B97" s="126"/>
      <c r="C97" s="9"/>
      <c r="D97" s="127"/>
      <c r="E97" s="9"/>
      <c r="F97" s="128"/>
      <c r="G97" s="128"/>
      <c r="H97" s="128"/>
    </row>
    <row r="98" spans="1:8" ht="26.25" hidden="1" customHeight="1" x14ac:dyDescent="0.3">
      <c r="A98" s="16">
        <f t="shared" si="1"/>
        <v>89</v>
      </c>
      <c r="B98" s="126"/>
      <c r="C98" s="9"/>
      <c r="D98" s="127"/>
      <c r="E98" s="9"/>
      <c r="F98" s="128"/>
      <c r="G98" s="128"/>
      <c r="H98" s="128"/>
    </row>
    <row r="99" spans="1:8" ht="26.25" hidden="1" customHeight="1" x14ac:dyDescent="0.3">
      <c r="A99" s="16">
        <f t="shared" si="1"/>
        <v>90</v>
      </c>
      <c r="B99" s="126"/>
      <c r="C99" s="9"/>
      <c r="D99" s="127"/>
      <c r="E99" s="9"/>
      <c r="F99" s="128"/>
      <c r="G99" s="128"/>
      <c r="H99" s="128"/>
    </row>
    <row r="100" spans="1:8" ht="26.25" hidden="1" customHeight="1" x14ac:dyDescent="0.3">
      <c r="A100" s="16">
        <f t="shared" si="1"/>
        <v>91</v>
      </c>
      <c r="B100" s="126"/>
      <c r="C100" s="9"/>
      <c r="D100" s="127"/>
      <c r="E100" s="9"/>
      <c r="F100" s="128"/>
      <c r="G100" s="128"/>
      <c r="H100" s="128"/>
    </row>
    <row r="101" spans="1:8" ht="26.25" hidden="1" customHeight="1" x14ac:dyDescent="0.3">
      <c r="A101" s="16">
        <f t="shared" si="1"/>
        <v>92</v>
      </c>
      <c r="B101" s="126"/>
      <c r="C101" s="9"/>
      <c r="D101" s="127"/>
      <c r="E101" s="9"/>
      <c r="F101" s="128"/>
      <c r="G101" s="128"/>
      <c r="H101" s="128"/>
    </row>
    <row r="102" spans="1:8" ht="26.25" hidden="1" customHeight="1" x14ac:dyDescent="0.3">
      <c r="A102" s="16">
        <f t="shared" si="1"/>
        <v>93</v>
      </c>
      <c r="B102" s="126"/>
      <c r="C102" s="9"/>
      <c r="D102" s="127"/>
      <c r="E102" s="9"/>
      <c r="F102" s="128"/>
      <c r="G102" s="128"/>
      <c r="H102" s="128"/>
    </row>
    <row r="103" spans="1:8" ht="26.25" hidden="1" customHeight="1" x14ac:dyDescent="0.3">
      <c r="A103" s="16">
        <f t="shared" si="1"/>
        <v>94</v>
      </c>
      <c r="B103" s="126"/>
      <c r="C103" s="9"/>
      <c r="D103" s="127"/>
      <c r="E103" s="9"/>
      <c r="F103" s="128"/>
      <c r="G103" s="128"/>
      <c r="H103" s="128"/>
    </row>
    <row r="104" spans="1:8" ht="26.25" hidden="1" customHeight="1" x14ac:dyDescent="0.3">
      <c r="A104" s="16">
        <f t="shared" si="1"/>
        <v>95</v>
      </c>
      <c r="B104" s="126"/>
      <c r="C104" s="9"/>
      <c r="D104" s="127"/>
      <c r="E104" s="9"/>
      <c r="F104" s="128"/>
      <c r="G104" s="128"/>
      <c r="H104" s="128"/>
    </row>
    <row r="105" spans="1:8" ht="14.4" x14ac:dyDescent="0.3">
      <c r="B105" s="129">
        <f ca="1">TODAY()</f>
        <v>46311</v>
      </c>
    </row>
    <row r="106" spans="1:8" ht="14.4" x14ac:dyDescent="0.3">
      <c r="B106" s="2" t="s">
        <v>7</v>
      </c>
      <c r="F106" s="14" t="s">
        <v>295</v>
      </c>
      <c r="G106" s="14"/>
      <c r="H106" s="14"/>
    </row>
    <row r="107" spans="1:8" ht="14.4" x14ac:dyDescent="0.3">
      <c r="B107" s="2" t="s">
        <v>199</v>
      </c>
      <c r="F107" s="14" t="s">
        <v>6</v>
      </c>
      <c r="G107" s="14"/>
      <c r="H107" s="14"/>
    </row>
    <row r="108" spans="1:8" ht="14.4" x14ac:dyDescent="0.3">
      <c r="B108" s="5"/>
      <c r="F108" s="14"/>
      <c r="G108" s="14"/>
      <c r="H108" s="14"/>
    </row>
    <row r="109" spans="1:8" ht="14.4" x14ac:dyDescent="0.3">
      <c r="B109" s="5"/>
      <c r="F109" s="14"/>
      <c r="G109" s="14"/>
      <c r="H109" s="14"/>
    </row>
    <row r="110" spans="1:8" ht="14.4" x14ac:dyDescent="0.3">
      <c r="B110" s="5"/>
      <c r="F110" s="14"/>
      <c r="G110" s="14"/>
      <c r="H110" s="14"/>
    </row>
    <row r="111" spans="1:8" ht="14.4" x14ac:dyDescent="0.3">
      <c r="B111" s="3" t="s">
        <v>294</v>
      </c>
      <c r="F111" s="15" t="s">
        <v>241</v>
      </c>
      <c r="G111" s="15"/>
      <c r="H111" s="15"/>
    </row>
    <row r="112" spans="1:8" ht="14.4" x14ac:dyDescent="0.3">
      <c r="B112" s="2" t="s">
        <v>293</v>
      </c>
      <c r="F112" s="14" t="s">
        <v>200</v>
      </c>
      <c r="G112" s="14"/>
      <c r="H112" s="14"/>
    </row>
    <row r="113" spans="2:11" ht="14.4" hidden="1" x14ac:dyDescent="0.3"/>
    <row r="114" spans="2:11" ht="14.4" hidden="1" x14ac:dyDescent="0.3"/>
    <row r="115" spans="2:11" ht="14.4" hidden="1" x14ac:dyDescent="0.3"/>
    <row r="116" spans="2:11" ht="14.4" hidden="1" x14ac:dyDescent="0.3"/>
    <row r="117" spans="2:11" ht="14.4" hidden="1" x14ac:dyDescent="0.3"/>
    <row r="118" spans="2:11" ht="14.4" hidden="1" x14ac:dyDescent="0.3"/>
    <row r="119" spans="2:11" ht="14.4" hidden="1" x14ac:dyDescent="0.3"/>
    <row r="120" spans="2:11" ht="14.4" hidden="1" x14ac:dyDescent="0.3"/>
    <row r="121" spans="2:11" ht="14.4" hidden="1" x14ac:dyDescent="0.3"/>
    <row r="122" spans="2:11" ht="14.4" hidden="1" x14ac:dyDescent="0.3"/>
    <row r="123" spans="2:11" ht="14.4" hidden="1" x14ac:dyDescent="0.3"/>
    <row r="124" spans="2:11" ht="14.4" hidden="1" x14ac:dyDescent="0.3"/>
    <row r="125" spans="2:11" ht="14.4" hidden="1" x14ac:dyDescent="0.3"/>
    <row r="126" spans="2:11" ht="14.4" hidden="1" x14ac:dyDescent="0.3"/>
    <row r="127" spans="2:11" ht="14.4" hidden="1" x14ac:dyDescent="0.3"/>
    <row r="128" spans="2:11" s="33" customFormat="1" ht="14.4" hidden="1" x14ac:dyDescent="0.3">
      <c r="B128" s="130"/>
      <c r="I128" s="24"/>
      <c r="J128" s="24"/>
      <c r="K128" s="24"/>
    </row>
    <row r="129" spans="2:11" s="33" customFormat="1" ht="14.4" hidden="1" x14ac:dyDescent="0.3">
      <c r="B129" s="130"/>
      <c r="I129" s="24"/>
      <c r="J129" s="24"/>
      <c r="K129" s="24"/>
    </row>
    <row r="130" spans="2:11" s="33" customFormat="1" ht="14.4" hidden="1" x14ac:dyDescent="0.3">
      <c r="B130" s="130"/>
      <c r="I130" s="24"/>
      <c r="J130" s="24"/>
      <c r="K130" s="24"/>
    </row>
    <row r="131" spans="2:11" s="33" customFormat="1" ht="14.4" hidden="1" x14ac:dyDescent="0.3">
      <c r="B131" s="130"/>
      <c r="I131" s="24"/>
      <c r="J131" s="24"/>
      <c r="K131" s="24"/>
    </row>
    <row r="132" spans="2:11" s="33" customFormat="1" ht="14.4" hidden="1" x14ac:dyDescent="0.3">
      <c r="B132" s="130"/>
      <c r="I132" s="24"/>
      <c r="J132" s="24"/>
      <c r="K132" s="24"/>
    </row>
    <row r="133" spans="2:11" s="33" customFormat="1" ht="14.4" hidden="1" x14ac:dyDescent="0.3">
      <c r="B133" s="130"/>
      <c r="I133" s="24"/>
      <c r="J133" s="24"/>
      <c r="K133" s="24"/>
    </row>
    <row r="134" spans="2:11" s="33" customFormat="1" ht="14.4" hidden="1" x14ac:dyDescent="0.3">
      <c r="B134" s="130"/>
      <c r="I134" s="24"/>
      <c r="J134" s="24"/>
      <c r="K134" s="24"/>
    </row>
    <row r="135" spans="2:11" s="33" customFormat="1" ht="14.4" hidden="1" x14ac:dyDescent="0.3">
      <c r="B135" s="130"/>
      <c r="I135" s="24"/>
      <c r="J135" s="24"/>
      <c r="K135" s="24"/>
    </row>
    <row r="136" spans="2:11" s="33" customFormat="1" ht="14.4" hidden="1" x14ac:dyDescent="0.3">
      <c r="B136" s="130"/>
      <c r="I136" s="24"/>
      <c r="J136" s="24"/>
      <c r="K136" s="24"/>
    </row>
    <row r="137" spans="2:11" s="33" customFormat="1" ht="14.4" hidden="1" x14ac:dyDescent="0.3">
      <c r="B137" s="130"/>
      <c r="I137" s="24"/>
      <c r="J137" s="24"/>
      <c r="K137" s="24"/>
    </row>
    <row r="138" spans="2:11" s="33" customFormat="1" ht="14.4" hidden="1" x14ac:dyDescent="0.3">
      <c r="B138" s="130"/>
      <c r="I138" s="24"/>
      <c r="J138" s="24"/>
      <c r="K138" s="24"/>
    </row>
    <row r="139" spans="2:11" s="33" customFormat="1" ht="14.4" hidden="1" x14ac:dyDescent="0.3">
      <c r="B139" s="130"/>
      <c r="I139" s="24"/>
      <c r="J139" s="24"/>
      <c r="K139" s="24"/>
    </row>
    <row r="140" spans="2:11" s="33" customFormat="1" ht="14.4" hidden="1" x14ac:dyDescent="0.3">
      <c r="B140" s="130"/>
      <c r="I140" s="24"/>
      <c r="J140" s="24"/>
      <c r="K140" s="24"/>
    </row>
    <row r="141" spans="2:11" s="33" customFormat="1" ht="14.4" hidden="1" x14ac:dyDescent="0.3">
      <c r="B141" s="130"/>
      <c r="I141" s="24"/>
      <c r="J141" s="24"/>
      <c r="K141" s="24"/>
    </row>
    <row r="142" spans="2:11" s="33" customFormat="1" ht="14.4" hidden="1" x14ac:dyDescent="0.3">
      <c r="B142" s="130"/>
      <c r="I142" s="24"/>
      <c r="J142" s="24"/>
      <c r="K142" s="24"/>
    </row>
    <row r="143" spans="2:11" s="33" customFormat="1" ht="14.4" hidden="1" x14ac:dyDescent="0.3">
      <c r="B143" s="130"/>
      <c r="I143" s="24"/>
      <c r="J143" s="24"/>
      <c r="K143" s="24"/>
    </row>
    <row r="144" spans="2:11" s="33" customFormat="1" ht="14.4" hidden="1" x14ac:dyDescent="0.3">
      <c r="B144" s="130"/>
      <c r="I144" s="24"/>
      <c r="J144" s="24"/>
      <c r="K144" s="24"/>
    </row>
    <row r="145" spans="2:11" s="33" customFormat="1" ht="14.4" hidden="1" x14ac:dyDescent="0.3">
      <c r="B145" s="130"/>
      <c r="I145" s="24"/>
      <c r="J145" s="24"/>
      <c r="K145" s="24"/>
    </row>
    <row r="146" spans="2:11" s="33" customFormat="1" ht="14.4" hidden="1" x14ac:dyDescent="0.3">
      <c r="B146" s="130"/>
      <c r="I146" s="24"/>
      <c r="J146" s="24"/>
      <c r="K146" s="24"/>
    </row>
    <row r="147" spans="2:11" s="33" customFormat="1" ht="14.4" hidden="1" x14ac:dyDescent="0.3">
      <c r="B147" s="130"/>
      <c r="I147" s="24"/>
      <c r="J147" s="24"/>
      <c r="K147" s="24"/>
    </row>
    <row r="148" spans="2:11" s="33" customFormat="1" ht="14.4" hidden="1" x14ac:dyDescent="0.3">
      <c r="B148" s="130"/>
      <c r="I148" s="24"/>
      <c r="J148" s="24"/>
      <c r="K148" s="24"/>
    </row>
    <row r="149" spans="2:11" s="33" customFormat="1" ht="14.4" hidden="1" x14ac:dyDescent="0.3">
      <c r="B149" s="130"/>
      <c r="I149" s="24"/>
      <c r="J149" s="24"/>
      <c r="K149" s="24"/>
    </row>
    <row r="150" spans="2:11" s="33" customFormat="1" ht="14.4" hidden="1" x14ac:dyDescent="0.3">
      <c r="B150" s="130"/>
      <c r="I150" s="24"/>
      <c r="J150" s="24"/>
      <c r="K150" s="24"/>
    </row>
    <row r="151" spans="2:11" s="33" customFormat="1" ht="14.4" hidden="1" x14ac:dyDescent="0.3">
      <c r="B151" s="130"/>
      <c r="I151" s="24"/>
      <c r="J151" s="24"/>
      <c r="K151" s="24"/>
    </row>
    <row r="152" spans="2:11" s="33" customFormat="1" ht="14.4" hidden="1" x14ac:dyDescent="0.3">
      <c r="B152" s="130"/>
      <c r="I152" s="24"/>
      <c r="J152" s="24"/>
      <c r="K152" s="24"/>
    </row>
    <row r="153" spans="2:11" s="33" customFormat="1" ht="14.4" hidden="1" x14ac:dyDescent="0.3">
      <c r="B153" s="130"/>
      <c r="I153" s="24"/>
      <c r="J153" s="24"/>
      <c r="K153" s="24"/>
    </row>
    <row r="154" spans="2:11" s="33" customFormat="1" ht="14.4" hidden="1" x14ac:dyDescent="0.3">
      <c r="B154" s="130"/>
      <c r="I154" s="24"/>
      <c r="J154" s="24"/>
      <c r="K154" s="24"/>
    </row>
    <row r="155" spans="2:11" s="33" customFormat="1" ht="14.4" hidden="1" x14ac:dyDescent="0.3">
      <c r="B155" s="130"/>
      <c r="I155" s="24"/>
      <c r="J155" s="24"/>
      <c r="K155" s="24"/>
    </row>
    <row r="156" spans="2:11" s="33" customFormat="1" ht="14.4" hidden="1" x14ac:dyDescent="0.3">
      <c r="B156" s="130"/>
      <c r="I156" s="24"/>
      <c r="J156" s="24"/>
      <c r="K156" s="24"/>
    </row>
    <row r="157" spans="2:11" s="33" customFormat="1" ht="14.4" hidden="1" x14ac:dyDescent="0.3">
      <c r="B157" s="130"/>
      <c r="I157" s="24"/>
      <c r="J157" s="24"/>
      <c r="K157" s="24"/>
    </row>
    <row r="158" spans="2:11" s="33" customFormat="1" ht="14.4" hidden="1" x14ac:dyDescent="0.3">
      <c r="B158" s="130"/>
      <c r="I158" s="24"/>
      <c r="J158" s="24"/>
      <c r="K158" s="24"/>
    </row>
    <row r="159" spans="2:11" s="33" customFormat="1" ht="14.4" hidden="1" x14ac:dyDescent="0.3">
      <c r="B159" s="130"/>
      <c r="I159" s="24"/>
      <c r="J159" s="24"/>
      <c r="K159" s="24"/>
    </row>
    <row r="160" spans="2:11" s="33" customFormat="1" ht="14.4" hidden="1" x14ac:dyDescent="0.3">
      <c r="B160" s="130"/>
      <c r="I160" s="24"/>
      <c r="J160" s="24"/>
      <c r="K160" s="24"/>
    </row>
    <row r="161" spans="2:11" s="33" customFormat="1" ht="14.4" hidden="1" x14ac:dyDescent="0.3">
      <c r="B161" s="130"/>
      <c r="I161" s="24"/>
      <c r="J161" s="24"/>
      <c r="K161" s="24"/>
    </row>
    <row r="162" spans="2:11" s="33" customFormat="1" ht="14.4" hidden="1" x14ac:dyDescent="0.3">
      <c r="B162" s="130"/>
      <c r="I162" s="24"/>
      <c r="J162" s="24"/>
      <c r="K162" s="24"/>
    </row>
    <row r="163" spans="2:11" s="33" customFormat="1" ht="14.4" hidden="1" x14ac:dyDescent="0.3">
      <c r="B163" s="130"/>
      <c r="I163" s="24"/>
      <c r="J163" s="24"/>
      <c r="K163" s="24"/>
    </row>
    <row r="164" spans="2:11" s="33" customFormat="1" ht="14.4" hidden="1" x14ac:dyDescent="0.3">
      <c r="B164" s="130"/>
      <c r="I164" s="24"/>
      <c r="J164" s="24"/>
      <c r="K164" s="24"/>
    </row>
    <row r="165" spans="2:11" s="33" customFormat="1" ht="14.4" hidden="1" x14ac:dyDescent="0.3">
      <c r="B165" s="130"/>
      <c r="I165" s="24"/>
      <c r="J165" s="24"/>
      <c r="K165" s="24"/>
    </row>
    <row r="166" spans="2:11" s="33" customFormat="1" ht="14.4" hidden="1" x14ac:dyDescent="0.3">
      <c r="B166" s="130"/>
      <c r="I166" s="24"/>
      <c r="J166" s="24"/>
      <c r="K166" s="24"/>
    </row>
    <row r="167" spans="2:11" s="33" customFormat="1" ht="14.4" hidden="1" x14ac:dyDescent="0.3">
      <c r="B167" s="130"/>
      <c r="I167" s="24"/>
      <c r="J167" s="24"/>
      <c r="K167" s="24"/>
    </row>
    <row r="168" spans="2:11" s="33" customFormat="1" ht="14.4" hidden="1" x14ac:dyDescent="0.3">
      <c r="B168" s="130"/>
      <c r="I168" s="24"/>
      <c r="J168" s="24"/>
      <c r="K168" s="24"/>
    </row>
    <row r="169" spans="2:11" s="33" customFormat="1" ht="14.4" hidden="1" x14ac:dyDescent="0.3">
      <c r="B169" s="130"/>
      <c r="I169" s="24"/>
      <c r="J169" s="24"/>
      <c r="K169" s="24"/>
    </row>
    <row r="170" spans="2:11" s="33" customFormat="1" ht="14.4" hidden="1" x14ac:dyDescent="0.3">
      <c r="B170" s="130"/>
      <c r="I170" s="24"/>
      <c r="J170" s="24"/>
      <c r="K170" s="24"/>
    </row>
    <row r="171" spans="2:11" s="33" customFormat="1" ht="14.4" hidden="1" x14ac:dyDescent="0.3">
      <c r="B171" s="130"/>
      <c r="I171" s="24"/>
      <c r="J171" s="24"/>
      <c r="K171" s="24"/>
    </row>
    <row r="172" spans="2:11" s="33" customFormat="1" ht="14.4" hidden="1" x14ac:dyDescent="0.3">
      <c r="B172" s="130"/>
      <c r="I172" s="24"/>
      <c r="J172" s="24"/>
      <c r="K172" s="24"/>
    </row>
    <row r="173" spans="2:11" s="33" customFormat="1" ht="14.4" hidden="1" x14ac:dyDescent="0.3">
      <c r="B173" s="130"/>
      <c r="I173" s="24"/>
      <c r="J173" s="24"/>
      <c r="K173" s="24"/>
    </row>
    <row r="174" spans="2:11" s="33" customFormat="1" ht="14.4" hidden="1" x14ac:dyDescent="0.3">
      <c r="B174" s="130"/>
      <c r="I174" s="24"/>
      <c r="J174" s="24"/>
      <c r="K174" s="24"/>
    </row>
    <row r="175" spans="2:11" s="33" customFormat="1" ht="14.4" hidden="1" x14ac:dyDescent="0.3">
      <c r="B175" s="130"/>
      <c r="I175" s="24"/>
      <c r="J175" s="24"/>
      <c r="K175" s="24"/>
    </row>
    <row r="176" spans="2:11" s="33" customFormat="1" ht="14.4" hidden="1" x14ac:dyDescent="0.3">
      <c r="B176" s="130"/>
      <c r="I176" s="24"/>
      <c r="J176" s="24"/>
      <c r="K176" s="24"/>
    </row>
    <row r="177" spans="2:11" s="33" customFormat="1" ht="14.4" hidden="1" x14ac:dyDescent="0.3">
      <c r="B177" s="130"/>
      <c r="I177" s="24"/>
      <c r="J177" s="24"/>
      <c r="K177" s="24"/>
    </row>
    <row r="178" spans="2:11" s="33" customFormat="1" ht="14.4" hidden="1" x14ac:dyDescent="0.3">
      <c r="B178" s="130"/>
      <c r="I178" s="24"/>
      <c r="J178" s="24"/>
      <c r="K178" s="24"/>
    </row>
    <row r="179" spans="2:11" s="33" customFormat="1" ht="14.4" hidden="1" x14ac:dyDescent="0.3">
      <c r="B179" s="130"/>
      <c r="I179" s="24"/>
      <c r="J179" s="24"/>
      <c r="K179" s="24"/>
    </row>
    <row r="180" spans="2:11" s="33" customFormat="1" ht="14.4" hidden="1" x14ac:dyDescent="0.3">
      <c r="B180" s="130"/>
      <c r="I180" s="24"/>
      <c r="J180" s="24"/>
      <c r="K180" s="24"/>
    </row>
    <row r="181" spans="2:11" s="33" customFormat="1" ht="14.4" hidden="1" x14ac:dyDescent="0.3">
      <c r="B181" s="130"/>
      <c r="I181" s="24"/>
      <c r="J181" s="24"/>
      <c r="K181" s="24"/>
    </row>
    <row r="182" spans="2:11" s="33" customFormat="1" ht="14.4" hidden="1" x14ac:dyDescent="0.3">
      <c r="B182" s="130"/>
      <c r="I182" s="24"/>
      <c r="J182" s="24"/>
      <c r="K182" s="24"/>
    </row>
    <row r="183" spans="2:11" s="33" customFormat="1" ht="14.4" hidden="1" x14ac:dyDescent="0.3">
      <c r="B183" s="130"/>
      <c r="I183" s="24"/>
      <c r="J183" s="24"/>
      <c r="K183" s="24"/>
    </row>
    <row r="184" spans="2:11" s="33" customFormat="1" ht="14.4" hidden="1" x14ac:dyDescent="0.3">
      <c r="B184" s="130"/>
      <c r="I184" s="24"/>
      <c r="J184" s="24"/>
      <c r="K184" s="24"/>
    </row>
    <row r="185" spans="2:11" s="33" customFormat="1" ht="14.4" hidden="1" x14ac:dyDescent="0.3">
      <c r="B185" s="130"/>
      <c r="I185" s="24"/>
      <c r="J185" s="24"/>
      <c r="K185" s="24"/>
    </row>
    <row r="186" spans="2:11" s="33" customFormat="1" ht="14.4" hidden="1" x14ac:dyDescent="0.3">
      <c r="B186" s="130"/>
      <c r="I186" s="24"/>
      <c r="J186" s="24"/>
      <c r="K186" s="24"/>
    </row>
    <row r="187" spans="2:11" s="33" customFormat="1" ht="14.4" hidden="1" x14ac:dyDescent="0.3">
      <c r="B187" s="130"/>
      <c r="I187" s="24"/>
      <c r="J187" s="24"/>
      <c r="K187" s="24"/>
    </row>
    <row r="188" spans="2:11" s="33" customFormat="1" ht="14.4" hidden="1" x14ac:dyDescent="0.3">
      <c r="B188" s="130"/>
      <c r="I188" s="24"/>
      <c r="J188" s="24"/>
      <c r="K188" s="24"/>
    </row>
    <row r="189" spans="2:11" s="33" customFormat="1" ht="14.4" hidden="1" x14ac:dyDescent="0.3">
      <c r="B189" s="130"/>
      <c r="I189" s="24"/>
      <c r="J189" s="24"/>
      <c r="K189" s="24"/>
    </row>
    <row r="190" spans="2:11" s="33" customFormat="1" ht="14.4" hidden="1" x14ac:dyDescent="0.3">
      <c r="B190" s="130"/>
      <c r="I190" s="24"/>
      <c r="J190" s="24"/>
      <c r="K190" s="24"/>
    </row>
    <row r="191" spans="2:11" s="33" customFormat="1" ht="14.4" hidden="1" x14ac:dyDescent="0.3">
      <c r="B191" s="130"/>
      <c r="I191" s="24"/>
      <c r="J191" s="24"/>
      <c r="K191" s="24"/>
    </row>
    <row r="192" spans="2:11" s="33" customFormat="1" ht="14.4" hidden="1" x14ac:dyDescent="0.3">
      <c r="B192" s="130"/>
      <c r="I192" s="24"/>
      <c r="J192" s="24"/>
      <c r="K192" s="24"/>
    </row>
    <row r="193" spans="2:11" s="33" customFormat="1" ht="14.4" hidden="1" x14ac:dyDescent="0.3">
      <c r="B193" s="130"/>
      <c r="I193" s="24"/>
      <c r="J193" s="24"/>
      <c r="K193" s="24"/>
    </row>
    <row r="194" spans="2:11" s="33" customFormat="1" ht="14.4" hidden="1" x14ac:dyDescent="0.3">
      <c r="B194" s="130"/>
      <c r="I194" s="24"/>
      <c r="J194" s="24"/>
      <c r="K194" s="24"/>
    </row>
    <row r="195" spans="2:11" s="33" customFormat="1" ht="14.4" hidden="1" x14ac:dyDescent="0.3">
      <c r="B195" s="130"/>
      <c r="I195" s="24"/>
      <c r="J195" s="24"/>
      <c r="K195" s="24"/>
    </row>
    <row r="196" spans="2:11" s="33" customFormat="1" ht="14.4" hidden="1" x14ac:dyDescent="0.3">
      <c r="B196" s="130"/>
      <c r="I196" s="24"/>
      <c r="J196" s="24"/>
      <c r="K196" s="24"/>
    </row>
    <row r="197" spans="2:11" s="33" customFormat="1" ht="14.4" hidden="1" x14ac:dyDescent="0.3">
      <c r="B197" s="130"/>
      <c r="I197" s="24"/>
      <c r="J197" s="24"/>
      <c r="K197" s="24"/>
    </row>
    <row r="198" spans="2:11" s="33" customFormat="1" ht="14.4" hidden="1" x14ac:dyDescent="0.3">
      <c r="B198" s="130"/>
      <c r="I198" s="24"/>
      <c r="J198" s="24"/>
      <c r="K198" s="24"/>
    </row>
    <row r="199" spans="2:11" s="33" customFormat="1" ht="14.4" hidden="1" x14ac:dyDescent="0.3">
      <c r="B199" s="130"/>
      <c r="I199" s="24"/>
      <c r="J199" s="24"/>
      <c r="K199" s="24"/>
    </row>
    <row r="200" spans="2:11" s="33" customFormat="1" ht="14.4" hidden="1" x14ac:dyDescent="0.3">
      <c r="B200" s="130"/>
      <c r="I200" s="24"/>
      <c r="J200" s="24"/>
      <c r="K200" s="24"/>
    </row>
    <row r="201" spans="2:11" s="33" customFormat="1" ht="14.4" hidden="1" x14ac:dyDescent="0.3">
      <c r="B201" s="130"/>
      <c r="I201" s="24"/>
      <c r="J201" s="24"/>
      <c r="K201" s="24"/>
    </row>
    <row r="202" spans="2:11" s="33" customFormat="1" ht="14.4" hidden="1" x14ac:dyDescent="0.3">
      <c r="B202" s="130"/>
      <c r="I202" s="24"/>
      <c r="J202" s="24"/>
      <c r="K202" s="24"/>
    </row>
    <row r="203" spans="2:11" s="33" customFormat="1" ht="14.4" hidden="1" x14ac:dyDescent="0.3">
      <c r="B203" s="130"/>
      <c r="I203" s="24"/>
      <c r="J203" s="24"/>
      <c r="K203" s="24"/>
    </row>
    <row r="204" spans="2:11" s="33" customFormat="1" ht="14.4" hidden="1" x14ac:dyDescent="0.3">
      <c r="B204" s="130"/>
      <c r="I204" s="24"/>
      <c r="J204" s="24"/>
      <c r="K204" s="24"/>
    </row>
    <row r="205" spans="2:11" s="33" customFormat="1" ht="14.4" hidden="1" x14ac:dyDescent="0.3">
      <c r="B205" s="130"/>
      <c r="I205" s="24"/>
      <c r="J205" s="24"/>
      <c r="K205" s="24"/>
    </row>
    <row r="206" spans="2:11" s="33" customFormat="1" ht="14.4" hidden="1" x14ac:dyDescent="0.3">
      <c r="B206" s="130"/>
      <c r="I206" s="24"/>
      <c r="J206" s="24"/>
      <c r="K206" s="24"/>
    </row>
    <row r="207" spans="2:11" s="33" customFormat="1" ht="14.4" hidden="1" x14ac:dyDescent="0.3">
      <c r="B207" s="130"/>
      <c r="I207" s="24"/>
      <c r="J207" s="24"/>
      <c r="K207" s="24"/>
    </row>
    <row r="208" spans="2:11" s="33" customFormat="1" ht="14.4" hidden="1" x14ac:dyDescent="0.3">
      <c r="B208" s="130"/>
      <c r="I208" s="24"/>
      <c r="J208" s="24"/>
      <c r="K208" s="24"/>
    </row>
    <row r="209" spans="2:11" s="33" customFormat="1" ht="14.4" hidden="1" x14ac:dyDescent="0.3">
      <c r="B209" s="130"/>
      <c r="I209" s="24"/>
      <c r="J209" s="24"/>
      <c r="K209" s="24"/>
    </row>
    <row r="210" spans="2:11" s="33" customFormat="1" ht="14.4" hidden="1" x14ac:dyDescent="0.3">
      <c r="B210" s="130"/>
      <c r="I210" s="24"/>
      <c r="J210" s="24"/>
      <c r="K210" s="24"/>
    </row>
    <row r="211" spans="2:11" s="33" customFormat="1" ht="14.4" hidden="1" x14ac:dyDescent="0.3">
      <c r="B211" s="130"/>
      <c r="I211" s="24"/>
      <c r="J211" s="24"/>
      <c r="K211" s="24"/>
    </row>
    <row r="212" spans="2:11" s="33" customFormat="1" ht="14.4" hidden="1" x14ac:dyDescent="0.3">
      <c r="B212" s="130"/>
      <c r="I212" s="24"/>
      <c r="J212" s="24"/>
      <c r="K212" s="24"/>
    </row>
    <row r="213" spans="2:11" s="33" customFormat="1" ht="14.4" hidden="1" x14ac:dyDescent="0.3">
      <c r="B213" s="130"/>
      <c r="I213" s="24"/>
      <c r="J213" s="24"/>
      <c r="K213" s="24"/>
    </row>
    <row r="214" spans="2:11" s="33" customFormat="1" ht="14.4" hidden="1" x14ac:dyDescent="0.3">
      <c r="B214" s="130"/>
      <c r="I214" s="24"/>
      <c r="J214" s="24"/>
      <c r="K214" s="24"/>
    </row>
    <row r="215" spans="2:11" s="33" customFormat="1" ht="14.4" hidden="1" x14ac:dyDescent="0.3">
      <c r="B215" s="130"/>
      <c r="I215" s="24"/>
      <c r="J215" s="24"/>
      <c r="K215" s="24"/>
    </row>
    <row r="216" spans="2:11" s="33" customFormat="1" ht="14.4" hidden="1" x14ac:dyDescent="0.3">
      <c r="B216" s="130"/>
      <c r="I216" s="24"/>
      <c r="J216" s="24"/>
      <c r="K216" s="24"/>
    </row>
    <row r="217" spans="2:11" s="33" customFormat="1" ht="14.4" hidden="1" x14ac:dyDescent="0.3">
      <c r="B217" s="130"/>
      <c r="I217" s="24"/>
      <c r="J217" s="24"/>
      <c r="K217" s="24"/>
    </row>
    <row r="218" spans="2:11" s="33" customFormat="1" ht="14.4" hidden="1" x14ac:dyDescent="0.3">
      <c r="B218" s="130"/>
      <c r="I218" s="24"/>
      <c r="J218" s="24"/>
      <c r="K218" s="24"/>
    </row>
    <row r="219" spans="2:11" s="33" customFormat="1" ht="14.4" hidden="1" x14ac:dyDescent="0.3">
      <c r="B219" s="130"/>
      <c r="I219" s="24"/>
      <c r="J219" s="24"/>
      <c r="K219" s="24"/>
    </row>
    <row r="220" spans="2:11" s="33" customFormat="1" ht="14.4" hidden="1" x14ac:dyDescent="0.3">
      <c r="B220" s="130"/>
      <c r="I220" s="24"/>
      <c r="J220" s="24"/>
      <c r="K220" s="24"/>
    </row>
    <row r="221" spans="2:11" s="33" customFormat="1" ht="14.4" hidden="1" x14ac:dyDescent="0.3">
      <c r="B221" s="130"/>
      <c r="I221" s="24"/>
      <c r="J221" s="24"/>
      <c r="K221" s="24"/>
    </row>
    <row r="222" spans="2:11" s="33" customFormat="1" ht="14.4" hidden="1" x14ac:dyDescent="0.3">
      <c r="B222" s="130"/>
      <c r="I222" s="24"/>
      <c r="J222" s="24"/>
      <c r="K222" s="24"/>
    </row>
    <row r="223" spans="2:11" s="33" customFormat="1" ht="14.4" hidden="1" x14ac:dyDescent="0.3">
      <c r="B223" s="130"/>
      <c r="I223" s="24"/>
      <c r="J223" s="24"/>
      <c r="K223" s="24"/>
    </row>
    <row r="224" spans="2:11" s="33" customFormat="1" ht="14.4" hidden="1" x14ac:dyDescent="0.3">
      <c r="B224" s="130"/>
      <c r="I224" s="24"/>
      <c r="J224" s="24"/>
      <c r="K224" s="24"/>
    </row>
    <row r="225" spans="2:11" s="33" customFormat="1" ht="14.4" hidden="1" x14ac:dyDescent="0.3">
      <c r="B225" s="130"/>
      <c r="I225" s="24"/>
      <c r="J225" s="24"/>
      <c r="K225" s="24"/>
    </row>
    <row r="226" spans="2:11" s="33" customFormat="1" ht="14.4" hidden="1" x14ac:dyDescent="0.3">
      <c r="B226" s="130"/>
      <c r="I226" s="24"/>
      <c r="J226" s="24"/>
      <c r="K226" s="24"/>
    </row>
    <row r="227" spans="2:11" s="33" customFormat="1" ht="14.4" hidden="1" x14ac:dyDescent="0.3">
      <c r="B227" s="130"/>
      <c r="I227" s="24"/>
      <c r="J227" s="24"/>
      <c r="K227" s="24"/>
    </row>
    <row r="228" spans="2:11" s="33" customFormat="1" ht="14.4" hidden="1" x14ac:dyDescent="0.3">
      <c r="B228" s="130"/>
      <c r="I228" s="24"/>
      <c r="J228" s="24"/>
      <c r="K228" s="24"/>
    </row>
    <row r="229" spans="2:11" s="33" customFormat="1" ht="14.4" hidden="1" x14ac:dyDescent="0.3">
      <c r="B229" s="130"/>
      <c r="I229" s="24"/>
      <c r="J229" s="24"/>
      <c r="K229" s="24"/>
    </row>
    <row r="230" spans="2:11" s="33" customFormat="1" ht="14.4" hidden="1" x14ac:dyDescent="0.3">
      <c r="B230" s="130"/>
      <c r="I230" s="24"/>
      <c r="J230" s="24"/>
      <c r="K230" s="24"/>
    </row>
    <row r="231" spans="2:11" s="33" customFormat="1" ht="14.4" hidden="1" x14ac:dyDescent="0.3">
      <c r="B231" s="130"/>
      <c r="I231" s="24"/>
      <c r="J231" s="24"/>
      <c r="K231" s="24"/>
    </row>
    <row r="232" spans="2:11" s="33" customFormat="1" ht="14.4" hidden="1" x14ac:dyDescent="0.3">
      <c r="B232" s="130"/>
      <c r="I232" s="24"/>
      <c r="J232" s="24"/>
      <c r="K232" s="24"/>
    </row>
    <row r="233" spans="2:11" s="33" customFormat="1" ht="14.4" hidden="1" x14ac:dyDescent="0.3">
      <c r="B233" s="130"/>
      <c r="I233" s="24"/>
      <c r="J233" s="24"/>
      <c r="K233" s="24"/>
    </row>
    <row r="234" spans="2:11" s="33" customFormat="1" ht="14.4" hidden="1" x14ac:dyDescent="0.3">
      <c r="B234" s="130"/>
      <c r="I234" s="24"/>
      <c r="J234" s="24"/>
      <c r="K234" s="24"/>
    </row>
    <row r="235" spans="2:11" s="33" customFormat="1" ht="14.4" hidden="1" x14ac:dyDescent="0.3">
      <c r="B235" s="130"/>
      <c r="I235" s="24"/>
      <c r="J235" s="24"/>
      <c r="K235" s="24"/>
    </row>
    <row r="236" spans="2:11" s="33" customFormat="1" ht="14.4" hidden="1" x14ac:dyDescent="0.3">
      <c r="B236" s="130"/>
      <c r="I236" s="24"/>
      <c r="J236" s="24"/>
      <c r="K236" s="24"/>
    </row>
    <row r="237" spans="2:11" s="33" customFormat="1" ht="14.4" hidden="1" x14ac:dyDescent="0.3">
      <c r="B237" s="130"/>
      <c r="I237" s="24"/>
      <c r="J237" s="24"/>
      <c r="K237" s="24"/>
    </row>
    <row r="238" spans="2:11" s="33" customFormat="1" ht="14.4" hidden="1" x14ac:dyDescent="0.3">
      <c r="B238" s="130"/>
      <c r="I238" s="24"/>
      <c r="J238" s="24"/>
      <c r="K238" s="24"/>
    </row>
    <row r="239" spans="2:11" s="33" customFormat="1" ht="14.4" hidden="1" x14ac:dyDescent="0.3">
      <c r="B239" s="130"/>
      <c r="I239" s="24"/>
      <c r="J239" s="24"/>
      <c r="K239" s="24"/>
    </row>
    <row r="240" spans="2:11" s="33" customFormat="1" ht="14.4" hidden="1" x14ac:dyDescent="0.3">
      <c r="B240" s="130"/>
      <c r="I240" s="24"/>
      <c r="J240" s="24"/>
      <c r="K240" s="24"/>
    </row>
    <row r="241" spans="2:11" s="33" customFormat="1" ht="14.4" hidden="1" x14ac:dyDescent="0.3">
      <c r="B241" s="130"/>
      <c r="I241" s="24"/>
      <c r="J241" s="24"/>
      <c r="K241" s="24"/>
    </row>
    <row r="242" spans="2:11" s="33" customFormat="1" ht="14.4" hidden="1" x14ac:dyDescent="0.3">
      <c r="B242" s="130"/>
      <c r="I242" s="24"/>
      <c r="J242" s="24"/>
      <c r="K242" s="24"/>
    </row>
    <row r="243" spans="2:11" s="33" customFormat="1" ht="14.4" hidden="1" x14ac:dyDescent="0.3">
      <c r="B243" s="130"/>
      <c r="I243" s="24"/>
      <c r="J243" s="24"/>
      <c r="K243" s="24"/>
    </row>
    <row r="244" spans="2:11" s="33" customFormat="1" ht="14.4" hidden="1" x14ac:dyDescent="0.3">
      <c r="B244" s="130"/>
      <c r="I244" s="24"/>
      <c r="J244" s="24"/>
      <c r="K244" s="24"/>
    </row>
    <row r="245" spans="2:11" s="33" customFormat="1" ht="14.4" hidden="1" x14ac:dyDescent="0.3">
      <c r="B245" s="130"/>
      <c r="I245" s="24"/>
      <c r="J245" s="24"/>
      <c r="K245" s="24"/>
    </row>
    <row r="246" spans="2:11" s="33" customFormat="1" ht="14.4" hidden="1" x14ac:dyDescent="0.3">
      <c r="B246" s="130"/>
      <c r="I246" s="24"/>
      <c r="J246" s="24"/>
      <c r="K246" s="24"/>
    </row>
    <row r="247" spans="2:11" s="33" customFormat="1" ht="14.4" hidden="1" x14ac:dyDescent="0.3">
      <c r="B247" s="130"/>
      <c r="I247" s="24"/>
      <c r="J247" s="24"/>
      <c r="K247" s="24"/>
    </row>
    <row r="248" spans="2:11" s="33" customFormat="1" ht="14.4" hidden="1" x14ac:dyDescent="0.3">
      <c r="B248" s="130"/>
      <c r="I248" s="24"/>
      <c r="J248" s="24"/>
      <c r="K248" s="24"/>
    </row>
    <row r="249" spans="2:11" s="33" customFormat="1" ht="14.4" hidden="1" x14ac:dyDescent="0.3">
      <c r="B249" s="130"/>
      <c r="I249" s="24"/>
      <c r="J249" s="24"/>
      <c r="K249" s="24"/>
    </row>
    <row r="250" spans="2:11" s="33" customFormat="1" ht="14.4" hidden="1" x14ac:dyDescent="0.3">
      <c r="B250" s="130"/>
      <c r="I250" s="24"/>
      <c r="J250" s="24"/>
      <c r="K250" s="24"/>
    </row>
    <row r="251" spans="2:11" s="33" customFormat="1" ht="14.4" hidden="1" x14ac:dyDescent="0.3">
      <c r="B251" s="130"/>
      <c r="I251" s="24"/>
      <c r="J251" s="24"/>
      <c r="K251" s="24"/>
    </row>
    <row r="252" spans="2:11" s="33" customFormat="1" ht="14.4" hidden="1" x14ac:dyDescent="0.3">
      <c r="B252" s="130"/>
      <c r="I252" s="24"/>
      <c r="J252" s="24"/>
      <c r="K252" s="24"/>
    </row>
    <row r="253" spans="2:11" s="33" customFormat="1" ht="14.4" hidden="1" x14ac:dyDescent="0.3">
      <c r="B253" s="130"/>
      <c r="I253" s="24"/>
      <c r="J253" s="24"/>
      <c r="K253" s="24"/>
    </row>
    <row r="254" spans="2:11" s="33" customFormat="1" ht="14.4" hidden="1" x14ac:dyDescent="0.3">
      <c r="B254" s="130"/>
      <c r="I254" s="24"/>
      <c r="J254" s="24"/>
      <c r="K254" s="24"/>
    </row>
    <row r="255" spans="2:11" s="33" customFormat="1" ht="14.4" hidden="1" x14ac:dyDescent="0.3">
      <c r="B255" s="130"/>
      <c r="I255" s="24"/>
      <c r="J255" s="24"/>
      <c r="K255" s="24"/>
    </row>
    <row r="256" spans="2:11" s="33" customFormat="1" ht="14.4" hidden="1" x14ac:dyDescent="0.3">
      <c r="B256" s="130"/>
      <c r="I256" s="24"/>
      <c r="J256" s="24"/>
      <c r="K256" s="24"/>
    </row>
    <row r="257" spans="2:11" s="33" customFormat="1" ht="14.4" hidden="1" x14ac:dyDescent="0.3">
      <c r="B257" s="130"/>
      <c r="I257" s="24"/>
      <c r="J257" s="24"/>
      <c r="K257" s="24"/>
    </row>
    <row r="258" spans="2:11" s="33" customFormat="1" ht="14.4" hidden="1" x14ac:dyDescent="0.3">
      <c r="B258" s="130"/>
      <c r="I258" s="24"/>
      <c r="J258" s="24"/>
      <c r="K258" s="24"/>
    </row>
    <row r="259" spans="2:11" s="33" customFormat="1" ht="14.4" hidden="1" x14ac:dyDescent="0.3">
      <c r="B259" s="130"/>
      <c r="I259" s="24"/>
      <c r="J259" s="24"/>
      <c r="K259" s="24"/>
    </row>
    <row r="260" spans="2:11" s="33" customFormat="1" ht="14.4" hidden="1" x14ac:dyDescent="0.3">
      <c r="B260" s="130"/>
      <c r="I260" s="24"/>
      <c r="J260" s="24"/>
      <c r="K260" s="24"/>
    </row>
    <row r="261" spans="2:11" s="33" customFormat="1" ht="14.4" hidden="1" x14ac:dyDescent="0.3">
      <c r="B261" s="130"/>
      <c r="I261" s="24"/>
      <c r="J261" s="24"/>
      <c r="K261" s="24"/>
    </row>
    <row r="262" spans="2:11" s="33" customFormat="1" ht="14.4" hidden="1" x14ac:dyDescent="0.3">
      <c r="B262" s="130"/>
      <c r="I262" s="24"/>
      <c r="J262" s="24"/>
      <c r="K262" s="24"/>
    </row>
    <row r="263" spans="2:11" s="33" customFormat="1" ht="14.4" hidden="1" x14ac:dyDescent="0.3">
      <c r="B263" s="130"/>
      <c r="I263" s="24"/>
      <c r="J263" s="24"/>
      <c r="K263" s="24"/>
    </row>
    <row r="264" spans="2:11" s="33" customFormat="1" ht="14.4" hidden="1" x14ac:dyDescent="0.3">
      <c r="B264" s="130"/>
      <c r="I264" s="24"/>
      <c r="J264" s="24"/>
      <c r="K264" s="24"/>
    </row>
    <row r="265" spans="2:11" s="33" customFormat="1" ht="14.4" hidden="1" x14ac:dyDescent="0.3">
      <c r="B265" s="130"/>
      <c r="I265" s="24"/>
      <c r="J265" s="24"/>
      <c r="K265" s="24"/>
    </row>
    <row r="266" spans="2:11" s="33" customFormat="1" ht="14.4" hidden="1" x14ac:dyDescent="0.3">
      <c r="B266" s="130"/>
      <c r="I266" s="24"/>
      <c r="J266" s="24"/>
      <c r="K266" s="24"/>
    </row>
    <row r="267" spans="2:11" s="33" customFormat="1" ht="14.4" hidden="1" x14ac:dyDescent="0.3">
      <c r="B267" s="130"/>
      <c r="I267" s="24"/>
      <c r="J267" s="24"/>
      <c r="K267" s="24"/>
    </row>
    <row r="268" spans="2:11" s="33" customFormat="1" ht="14.4" hidden="1" x14ac:dyDescent="0.3">
      <c r="B268" s="130"/>
      <c r="I268" s="24"/>
      <c r="J268" s="24"/>
      <c r="K268" s="24"/>
    </row>
    <row r="269" spans="2:11" s="33" customFormat="1" ht="14.4" hidden="1" x14ac:dyDescent="0.3">
      <c r="B269" s="130"/>
      <c r="I269" s="24"/>
      <c r="J269" s="24"/>
      <c r="K269" s="24"/>
    </row>
    <row r="270" spans="2:11" s="33" customFormat="1" ht="14.4" hidden="1" x14ac:dyDescent="0.3">
      <c r="B270" s="130"/>
      <c r="I270" s="24"/>
      <c r="J270" s="24"/>
      <c r="K270" s="24"/>
    </row>
    <row r="271" spans="2:11" s="33" customFormat="1" ht="14.4" hidden="1" x14ac:dyDescent="0.3">
      <c r="B271" s="130"/>
      <c r="I271" s="24"/>
      <c r="J271" s="24"/>
      <c r="K271" s="24"/>
    </row>
    <row r="272" spans="2:11" s="33" customFormat="1" ht="14.4" hidden="1" x14ac:dyDescent="0.3">
      <c r="B272" s="130"/>
      <c r="I272" s="24"/>
      <c r="J272" s="24"/>
      <c r="K272" s="24"/>
    </row>
    <row r="273" spans="2:11" s="33" customFormat="1" ht="14.4" hidden="1" x14ac:dyDescent="0.3">
      <c r="B273" s="130"/>
      <c r="I273" s="24"/>
      <c r="J273" s="24"/>
      <c r="K273" s="24"/>
    </row>
    <row r="274" spans="2:11" s="33" customFormat="1" ht="14.4" hidden="1" x14ac:dyDescent="0.3">
      <c r="B274" s="130"/>
      <c r="I274" s="24"/>
      <c r="J274" s="24"/>
      <c r="K274" s="24"/>
    </row>
    <row r="275" spans="2:11" s="33" customFormat="1" ht="14.4" hidden="1" x14ac:dyDescent="0.3">
      <c r="B275" s="130"/>
      <c r="I275" s="24"/>
      <c r="J275" s="24"/>
      <c r="K275" s="24"/>
    </row>
    <row r="276" spans="2:11" s="33" customFormat="1" ht="14.4" hidden="1" x14ac:dyDescent="0.3">
      <c r="B276" s="130"/>
      <c r="I276" s="24"/>
      <c r="J276" s="24"/>
      <c r="K276" s="24"/>
    </row>
    <row r="277" spans="2:11" s="33" customFormat="1" ht="14.4" hidden="1" x14ac:dyDescent="0.3">
      <c r="B277" s="130"/>
      <c r="I277" s="24"/>
      <c r="J277" s="24"/>
      <c r="K277" s="24"/>
    </row>
    <row r="278" spans="2:11" s="33" customFormat="1" ht="14.4" hidden="1" x14ac:dyDescent="0.3">
      <c r="B278" s="130"/>
      <c r="I278" s="24"/>
      <c r="J278" s="24"/>
      <c r="K278" s="24"/>
    </row>
    <row r="279" spans="2:11" s="33" customFormat="1" ht="14.4" hidden="1" x14ac:dyDescent="0.3">
      <c r="B279" s="130"/>
      <c r="I279" s="24"/>
      <c r="J279" s="24"/>
      <c r="K279" s="24"/>
    </row>
    <row r="280" spans="2:11" s="33" customFormat="1" ht="14.4" hidden="1" x14ac:dyDescent="0.3">
      <c r="B280" s="130"/>
      <c r="I280" s="24"/>
      <c r="J280" s="24"/>
      <c r="K280" s="24"/>
    </row>
    <row r="281" spans="2:11" s="33" customFormat="1" ht="14.4" hidden="1" x14ac:dyDescent="0.3">
      <c r="B281" s="130"/>
      <c r="I281" s="24"/>
      <c r="J281" s="24"/>
      <c r="K281" s="24"/>
    </row>
    <row r="282" spans="2:11" s="33" customFormat="1" ht="14.4" hidden="1" x14ac:dyDescent="0.3">
      <c r="B282" s="130"/>
      <c r="I282" s="24"/>
      <c r="J282" s="24"/>
      <c r="K282" s="24"/>
    </row>
    <row r="283" spans="2:11" s="33" customFormat="1" ht="14.4" hidden="1" x14ac:dyDescent="0.3">
      <c r="B283" s="130"/>
      <c r="I283" s="24"/>
      <c r="J283" s="24"/>
      <c r="K283" s="24"/>
    </row>
    <row r="284" spans="2:11" s="33" customFormat="1" ht="14.4" hidden="1" x14ac:dyDescent="0.3">
      <c r="B284" s="130"/>
      <c r="I284" s="24"/>
      <c r="J284" s="24"/>
      <c r="K284" s="24"/>
    </row>
    <row r="327" ht="15" customHeight="1" x14ac:dyDescent="0.3"/>
  </sheetData>
  <sheetProtection formatCells="0" formatColumns="0" formatRows="0"/>
  <mergeCells count="11">
    <mergeCell ref="H8:H9"/>
    <mergeCell ref="A1:H1"/>
    <mergeCell ref="A2:H2"/>
    <mergeCell ref="A3:H3"/>
    <mergeCell ref="A5:H5"/>
    <mergeCell ref="A8:A9"/>
    <mergeCell ref="B8:B9"/>
    <mergeCell ref="C8:C9"/>
    <mergeCell ref="D8:D9"/>
    <mergeCell ref="E8:F8"/>
    <mergeCell ref="G8:G9"/>
  </mergeCells>
  <dataValidations count="3">
    <dataValidation type="list" allowBlank="1" showInputMessage="1" showErrorMessage="1" sqref="C10:C39" xr:uid="{0CA3FA14-32F8-4653-8CB3-F566E41A4A21}">
      <formula1>"1,2,3,4,5,6,7,8,9,10,11"</formula1>
    </dataValidation>
    <dataValidation allowBlank="1" showInputMessage="1" showErrorMessage="1" promptTitle="Petunjuk Pengisian!" prompt="Diisi dengan menggunakan format English (United Kingdom): DD/MM/YYYY. Contoh : 16 Maret 2020, dituliskan 13/07/2020" sqref="B10:B104" xr:uid="{3E9180D3-8D38-4EAD-A22F-AC52E497777F}"/>
    <dataValidation type="list" allowBlank="1" showInputMessage="1" showErrorMessage="1" sqref="C40:C104" xr:uid="{97BA0F0C-0AF6-4490-9C02-A9FBD4CF08EC}">
      <formula1>"1,2,3,4,5,6,7,8,9,10"</formula1>
    </dataValidation>
  </dataValidations>
  <printOptions horizontalCentered="1"/>
  <pageMargins left="0.31496062992125984" right="0.31496062992125984" top="0.86614173228346458" bottom="0.43307086614173229" header="0.31496062992125984" footer="0.47244094488188981"/>
  <pageSetup paperSize="9" scale="91" fitToHeight="0" orientation="landscape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499984740745262"/>
  </sheetPr>
  <dimension ref="A1:BZ137"/>
  <sheetViews>
    <sheetView showGridLines="0" topLeftCell="AL1" zoomScale="68" zoomScaleNormal="85" zoomScaleSheetLayoutView="55" workbookViewId="0">
      <pane ySplit="10" topLeftCell="A11" activePane="bottomLeft" state="frozen"/>
      <selection activeCell="AQ10" sqref="AQ10:BT10"/>
      <selection pane="bottomLeft" activeCell="BM11" sqref="BM11"/>
    </sheetView>
  </sheetViews>
  <sheetFormatPr defaultColWidth="0" defaultRowHeight="15" customHeight="1" zeroHeight="1" x14ac:dyDescent="0.3"/>
  <cols>
    <col min="1" max="1" width="5.33203125" hidden="1" customWidth="1"/>
    <col min="2" max="2" width="39.44140625" hidden="1" customWidth="1"/>
    <col min="3" max="33" width="4.6640625" hidden="1" customWidth="1"/>
    <col min="34" max="34" width="11.44140625" hidden="1" customWidth="1"/>
    <col min="35" max="37" width="8.6640625" hidden="1" customWidth="1"/>
    <col min="38" max="38" width="1.5546875" customWidth="1"/>
    <col min="39" max="39" width="0.5546875" customWidth="1"/>
    <col min="40" max="40" width="5.33203125" customWidth="1"/>
    <col min="41" max="41" width="43.33203125" customWidth="1"/>
    <col min="42" max="72" width="4.6640625" customWidth="1"/>
    <col min="73" max="73" width="11.44140625" customWidth="1"/>
    <col min="74" max="77" width="8.6640625" customWidth="1"/>
    <col min="78" max="78" width="0.5546875" customWidth="1"/>
  </cols>
  <sheetData>
    <row r="1" spans="1:78" ht="23.4" x14ac:dyDescent="0.3">
      <c r="A1" s="265" t="s">
        <v>168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0"/>
      <c r="AN1" s="265" t="str">
        <f>A1</f>
        <v>DAFTAR HADIR SISWA</v>
      </c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5"/>
      <c r="BQ1" s="265"/>
      <c r="BR1" s="265"/>
      <c r="BS1" s="265"/>
      <c r="BT1" s="265"/>
      <c r="BU1" s="265"/>
      <c r="BV1" s="265"/>
      <c r="BW1" s="265"/>
      <c r="BX1" s="265"/>
      <c r="BY1" s="265"/>
      <c r="BZ1" s="20"/>
    </row>
    <row r="2" spans="1:78" ht="23.4" x14ac:dyDescent="0.3">
      <c r="A2" s="265" t="str">
        <f>CV!A3</f>
        <v>SMA NEGERI 15 KOTA BANDUNG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0"/>
      <c r="AN2" s="265" t="str">
        <f>A2</f>
        <v>SMA NEGERI 15 KOTA BANDUNG</v>
      </c>
      <c r="AO2" s="265"/>
      <c r="AP2" s="265"/>
      <c r="AQ2" s="265"/>
      <c r="AR2" s="265"/>
      <c r="AS2" s="265"/>
      <c r="AT2" s="265"/>
      <c r="AU2" s="265"/>
      <c r="AV2" s="265"/>
      <c r="AW2" s="265"/>
      <c r="AX2" s="265"/>
      <c r="AY2" s="265"/>
      <c r="AZ2" s="265"/>
      <c r="BA2" s="265"/>
      <c r="BB2" s="265"/>
      <c r="BC2" s="265"/>
      <c r="BD2" s="265"/>
      <c r="BE2" s="265"/>
      <c r="BF2" s="265"/>
      <c r="BG2" s="265"/>
      <c r="BH2" s="265"/>
      <c r="BI2" s="265"/>
      <c r="BJ2" s="265"/>
      <c r="BK2" s="265"/>
      <c r="BL2" s="265"/>
      <c r="BM2" s="265"/>
      <c r="BN2" s="265"/>
      <c r="BO2" s="265"/>
      <c r="BP2" s="265"/>
      <c r="BQ2" s="265"/>
      <c r="BR2" s="265"/>
      <c r="BS2" s="265"/>
      <c r="BT2" s="265"/>
      <c r="BU2" s="265"/>
      <c r="BV2" s="265"/>
      <c r="BW2" s="265"/>
      <c r="BX2" s="265"/>
      <c r="BY2" s="265"/>
      <c r="BZ2" s="20"/>
    </row>
    <row r="3" spans="1:78" ht="23.4" x14ac:dyDescent="0.3">
      <c r="A3" s="265" t="e">
        <f>#REF!</f>
        <v>#REF!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5"/>
      <c r="AL3" s="265"/>
      <c r="AM3" s="20"/>
      <c r="AN3" s="265" t="str">
        <f>CV!A4</f>
        <v>TAHUN AJARAN 2026/2027</v>
      </c>
      <c r="AO3" s="265"/>
      <c r="AP3" s="265"/>
      <c r="AQ3" s="265"/>
      <c r="AR3" s="265"/>
      <c r="AS3" s="265"/>
      <c r="AT3" s="265"/>
      <c r="AU3" s="265"/>
      <c r="AV3" s="265"/>
      <c r="AW3" s="265"/>
      <c r="AX3" s="265"/>
      <c r="AY3" s="265"/>
      <c r="AZ3" s="265"/>
      <c r="BA3" s="265"/>
      <c r="BB3" s="265"/>
      <c r="BC3" s="265"/>
      <c r="BD3" s="265"/>
      <c r="BE3" s="265"/>
      <c r="BF3" s="265"/>
      <c r="BG3" s="265"/>
      <c r="BH3" s="265"/>
      <c r="BI3" s="265"/>
      <c r="BJ3" s="265"/>
      <c r="BK3" s="265"/>
      <c r="BL3" s="265"/>
      <c r="BM3" s="265"/>
      <c r="BN3" s="265"/>
      <c r="BO3" s="265"/>
      <c r="BP3" s="265"/>
      <c r="BQ3" s="265"/>
      <c r="BR3" s="265"/>
      <c r="BS3" s="265"/>
      <c r="BT3" s="265"/>
      <c r="BU3" s="265"/>
      <c r="BV3" s="265"/>
      <c r="BW3" s="265"/>
      <c r="BX3" s="265"/>
      <c r="BY3" s="265"/>
      <c r="BZ3" s="20"/>
    </row>
    <row r="4" spans="1:78" ht="15.6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</row>
    <row r="5" spans="1:78" ht="15.6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</row>
    <row r="6" spans="1:78" ht="15.6" x14ac:dyDescent="0.3">
      <c r="A6" s="20"/>
      <c r="B6" s="131" t="s">
        <v>43</v>
      </c>
      <c r="C6" s="176" t="s">
        <v>204</v>
      </c>
      <c r="D6" s="21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131" t="s">
        <v>41</v>
      </c>
      <c r="AI6" s="21" t="s">
        <v>152</v>
      </c>
      <c r="AJ6" s="21"/>
      <c r="AK6" s="20"/>
      <c r="AL6" s="20"/>
      <c r="AM6" s="20"/>
      <c r="AN6" s="20"/>
      <c r="AO6" s="131" t="s">
        <v>43</v>
      </c>
      <c r="AP6" s="180" t="s">
        <v>246</v>
      </c>
      <c r="AQ6" s="21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131" t="s">
        <v>41</v>
      </c>
      <c r="BV6" s="21" t="s">
        <v>301</v>
      </c>
      <c r="BW6" s="21"/>
      <c r="BX6" s="20"/>
      <c r="BY6" s="20"/>
      <c r="BZ6" s="20"/>
    </row>
    <row r="7" spans="1:78" ht="15.6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</row>
    <row r="8" spans="1:78" ht="18" customHeight="1" x14ac:dyDescent="0.3">
      <c r="A8" s="290" t="s">
        <v>40</v>
      </c>
      <c r="B8" s="290" t="s">
        <v>39</v>
      </c>
      <c r="C8" s="290" t="s">
        <v>38</v>
      </c>
      <c r="D8" s="290" t="s">
        <v>154</v>
      </c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  <c r="AD8" s="290"/>
      <c r="AE8" s="290"/>
      <c r="AF8" s="290"/>
      <c r="AG8" s="290"/>
      <c r="AH8" s="291" t="s">
        <v>162</v>
      </c>
      <c r="AI8" s="290" t="s">
        <v>163</v>
      </c>
      <c r="AJ8" s="290"/>
      <c r="AK8" s="290"/>
      <c r="AL8" s="290"/>
      <c r="AM8" s="20"/>
      <c r="AN8" s="290" t="str">
        <f t="shared" ref="AN8:BY8" si="0">CONCATENATE(A8)</f>
        <v>No</v>
      </c>
      <c r="AO8" s="290" t="str">
        <f t="shared" si="0"/>
        <v>Nama</v>
      </c>
      <c r="AP8" s="290" t="str">
        <f t="shared" si="0"/>
        <v>JK</v>
      </c>
      <c r="AQ8" s="290" t="str">
        <f t="shared" si="0"/>
        <v>Tanggal</v>
      </c>
      <c r="AR8" s="290" t="str">
        <f t="shared" si="0"/>
        <v/>
      </c>
      <c r="AS8" s="290" t="str">
        <f t="shared" si="0"/>
        <v/>
      </c>
      <c r="AT8" s="290" t="str">
        <f t="shared" si="0"/>
        <v/>
      </c>
      <c r="AU8" s="290" t="str">
        <f t="shared" si="0"/>
        <v/>
      </c>
      <c r="AV8" s="290" t="str">
        <f t="shared" si="0"/>
        <v/>
      </c>
      <c r="AW8" s="290" t="str">
        <f t="shared" si="0"/>
        <v/>
      </c>
      <c r="AX8" s="290" t="str">
        <f t="shared" si="0"/>
        <v/>
      </c>
      <c r="AY8" s="290" t="str">
        <f t="shared" si="0"/>
        <v/>
      </c>
      <c r="AZ8" s="290" t="str">
        <f t="shared" si="0"/>
        <v/>
      </c>
      <c r="BA8" s="290" t="str">
        <f t="shared" si="0"/>
        <v/>
      </c>
      <c r="BB8" s="290" t="str">
        <f t="shared" si="0"/>
        <v/>
      </c>
      <c r="BC8" s="290" t="str">
        <f t="shared" si="0"/>
        <v/>
      </c>
      <c r="BD8" s="290" t="str">
        <f t="shared" si="0"/>
        <v/>
      </c>
      <c r="BE8" s="290" t="str">
        <f t="shared" si="0"/>
        <v/>
      </c>
      <c r="BF8" s="290" t="str">
        <f t="shared" si="0"/>
        <v/>
      </c>
      <c r="BG8" s="290" t="str">
        <f t="shared" si="0"/>
        <v/>
      </c>
      <c r="BH8" s="290" t="str">
        <f t="shared" si="0"/>
        <v/>
      </c>
      <c r="BI8" s="290" t="str">
        <f t="shared" si="0"/>
        <v/>
      </c>
      <c r="BJ8" s="290" t="str">
        <f t="shared" si="0"/>
        <v/>
      </c>
      <c r="BK8" s="290" t="str">
        <f t="shared" si="0"/>
        <v/>
      </c>
      <c r="BL8" s="290" t="str">
        <f t="shared" si="0"/>
        <v/>
      </c>
      <c r="BM8" s="290" t="str">
        <f t="shared" si="0"/>
        <v/>
      </c>
      <c r="BN8" s="290" t="str">
        <f t="shared" si="0"/>
        <v/>
      </c>
      <c r="BO8" s="290" t="str">
        <f t="shared" si="0"/>
        <v/>
      </c>
      <c r="BP8" s="290" t="str">
        <f t="shared" si="0"/>
        <v/>
      </c>
      <c r="BQ8" s="290" t="str">
        <f t="shared" si="0"/>
        <v/>
      </c>
      <c r="BR8" s="290" t="str">
        <f t="shared" si="0"/>
        <v/>
      </c>
      <c r="BS8" s="290" t="str">
        <f t="shared" si="0"/>
        <v/>
      </c>
      <c r="BT8" s="290" t="str">
        <f t="shared" si="0"/>
        <v/>
      </c>
      <c r="BU8" s="291" t="str">
        <f t="shared" si="0"/>
        <v>Jumlah Hadir</v>
      </c>
      <c r="BV8" s="290" t="str">
        <f t="shared" si="0"/>
        <v>Jumlah Ketidak Hadiran</v>
      </c>
      <c r="BW8" s="290" t="str">
        <f t="shared" si="0"/>
        <v/>
      </c>
      <c r="BX8" s="290" t="str">
        <f t="shared" si="0"/>
        <v/>
      </c>
      <c r="BY8" s="290" t="str">
        <f t="shared" si="0"/>
        <v/>
      </c>
      <c r="BZ8" s="20"/>
    </row>
    <row r="9" spans="1:78" ht="34.5" customHeight="1" x14ac:dyDescent="0.3">
      <c r="A9" s="290"/>
      <c r="B9" s="290"/>
      <c r="C9" s="290"/>
      <c r="D9" s="292" t="s">
        <v>201</v>
      </c>
      <c r="E9" s="290"/>
      <c r="F9" s="290"/>
      <c r="G9" s="290"/>
      <c r="H9" s="290"/>
      <c r="I9" s="290"/>
      <c r="J9" s="290"/>
      <c r="K9" s="290"/>
      <c r="L9" s="290"/>
      <c r="M9" s="290"/>
      <c r="N9" s="292" t="s">
        <v>202</v>
      </c>
      <c r="O9" s="290"/>
      <c r="P9" s="290"/>
      <c r="Q9" s="290"/>
      <c r="R9" s="290"/>
      <c r="S9" s="290"/>
      <c r="T9" s="290"/>
      <c r="U9" s="290"/>
      <c r="V9" s="290"/>
      <c r="W9" s="290"/>
      <c r="X9" s="292" t="s">
        <v>203</v>
      </c>
      <c r="Y9" s="290"/>
      <c r="Z9" s="290"/>
      <c r="AA9" s="290"/>
      <c r="AB9" s="290"/>
      <c r="AC9" s="290"/>
      <c r="AD9" s="290"/>
      <c r="AE9" s="290"/>
      <c r="AF9" s="290"/>
      <c r="AG9" s="290"/>
      <c r="AH9" s="291"/>
      <c r="AI9" s="290"/>
      <c r="AJ9" s="290"/>
      <c r="AK9" s="290"/>
      <c r="AL9" s="290"/>
      <c r="AM9" s="20"/>
      <c r="AN9" s="290" t="str">
        <f t="shared" ref="AN9:AP10" si="1">CONCATENATE(A9)</f>
        <v/>
      </c>
      <c r="AO9" s="290" t="str">
        <f t="shared" si="1"/>
        <v/>
      </c>
      <c r="AP9" s="290" t="str">
        <f t="shared" si="1"/>
        <v/>
      </c>
      <c r="AQ9" s="292" t="s">
        <v>243</v>
      </c>
      <c r="AR9" s="290"/>
      <c r="AS9" s="290"/>
      <c r="AT9" s="290"/>
      <c r="AU9" s="290"/>
      <c r="AV9" s="290"/>
      <c r="AW9" s="290"/>
      <c r="AX9" s="290"/>
      <c r="AY9" s="290"/>
      <c r="AZ9" s="290"/>
      <c r="BA9" s="292" t="s">
        <v>244</v>
      </c>
      <c r="BB9" s="290"/>
      <c r="BC9" s="290"/>
      <c r="BD9" s="290"/>
      <c r="BE9" s="290"/>
      <c r="BF9" s="290"/>
      <c r="BG9" s="290"/>
      <c r="BH9" s="290"/>
      <c r="BI9" s="290"/>
      <c r="BJ9" s="290"/>
      <c r="BK9" s="292" t="s">
        <v>245</v>
      </c>
      <c r="BL9" s="290"/>
      <c r="BM9" s="290"/>
      <c r="BN9" s="290"/>
      <c r="BO9" s="290"/>
      <c r="BP9" s="290"/>
      <c r="BQ9" s="290"/>
      <c r="BR9" s="290"/>
      <c r="BS9" s="290"/>
      <c r="BT9" s="290"/>
      <c r="BU9" s="291" t="str">
        <f t="shared" ref="BU9:BY10" si="2">CONCATENATE(AH9)</f>
        <v/>
      </c>
      <c r="BV9" s="290" t="str">
        <f t="shared" si="2"/>
        <v/>
      </c>
      <c r="BW9" s="290" t="str">
        <f t="shared" si="2"/>
        <v/>
      </c>
      <c r="BX9" s="290" t="str">
        <f t="shared" si="2"/>
        <v/>
      </c>
      <c r="BY9" s="290" t="str">
        <f t="shared" si="2"/>
        <v/>
      </c>
      <c r="BZ9" s="20"/>
    </row>
    <row r="10" spans="1:78" ht="18" customHeight="1" x14ac:dyDescent="0.3">
      <c r="A10" s="290"/>
      <c r="B10" s="290"/>
      <c r="C10" s="290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291"/>
      <c r="AI10" s="164" t="s">
        <v>164</v>
      </c>
      <c r="AJ10" s="164" t="s">
        <v>165</v>
      </c>
      <c r="AK10" s="164" t="s">
        <v>166</v>
      </c>
      <c r="AL10" s="164" t="s">
        <v>34</v>
      </c>
      <c r="AM10" s="20"/>
      <c r="AN10" s="290" t="str">
        <f t="shared" si="1"/>
        <v/>
      </c>
      <c r="AO10" s="290" t="str">
        <f t="shared" si="1"/>
        <v/>
      </c>
      <c r="AP10" s="290" t="str">
        <f t="shared" si="1"/>
        <v/>
      </c>
      <c r="AQ10" s="163">
        <v>27</v>
      </c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>
        <v>17</v>
      </c>
      <c r="BC10" s="163">
        <v>24</v>
      </c>
      <c r="BD10" s="163"/>
      <c r="BE10" s="163"/>
      <c r="BF10" s="163"/>
      <c r="BG10" s="163"/>
      <c r="BH10" s="163"/>
      <c r="BI10" s="163"/>
      <c r="BJ10" s="163"/>
      <c r="BK10" s="163">
        <v>1</v>
      </c>
      <c r="BL10" s="163">
        <v>8</v>
      </c>
      <c r="BM10" s="163">
        <v>15</v>
      </c>
      <c r="BN10" s="163"/>
      <c r="BO10" s="163"/>
      <c r="BP10" s="163"/>
      <c r="BQ10" s="163"/>
      <c r="BR10" s="163"/>
      <c r="BS10" s="163"/>
      <c r="BT10" s="163"/>
      <c r="BU10" s="291" t="str">
        <f t="shared" si="2"/>
        <v/>
      </c>
      <c r="BV10" s="164" t="str">
        <f t="shared" si="2"/>
        <v>Sakit</v>
      </c>
      <c r="BW10" s="164" t="str">
        <f t="shared" si="2"/>
        <v>Ijin</v>
      </c>
      <c r="BX10" s="164" t="str">
        <f t="shared" si="2"/>
        <v>Alfa</v>
      </c>
      <c r="BY10" s="164" t="str">
        <f t="shared" si="2"/>
        <v>Total</v>
      </c>
      <c r="BZ10" s="20"/>
    </row>
    <row r="11" spans="1:78" ht="18" customHeight="1" x14ac:dyDescent="0.3">
      <c r="A11" s="177">
        <v>1</v>
      </c>
      <c r="B11" s="178" t="s">
        <v>205</v>
      </c>
      <c r="C11" s="177" t="s">
        <v>33</v>
      </c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2" t="str">
        <f t="shared" ref="AH11:AH39" si="3">IF(COUNTIF(D11:AG11,".")=0,"",COUNTIF(D11:AG11,"."))</f>
        <v/>
      </c>
      <c r="AI11" s="162" t="str">
        <f t="shared" ref="AI11:AI39" si="4">IF(COUNTIF(D11:AG11,"S")=0,"",COUNTIF(D11:AG11,"S"))</f>
        <v/>
      </c>
      <c r="AJ11" s="162" t="str">
        <f t="shared" ref="AJ11:AJ39" si="5">IF(COUNTIF(D11:AG11,"I")=0,"",COUNTIF(D11:AG11,"I"))</f>
        <v/>
      </c>
      <c r="AK11" s="162" t="str">
        <f t="shared" ref="AK11:AK39" si="6">IF(COUNTIF(D11:AG11,"A")=0,"",COUNTIF(D11:AG11,"A"))</f>
        <v/>
      </c>
      <c r="AL11" s="162">
        <f t="shared" ref="AL11:AL39" si="7">SUM(AI11:AK11)</f>
        <v>0</v>
      </c>
      <c r="AM11" s="20"/>
      <c r="AN11" s="177">
        <v>1</v>
      </c>
      <c r="AO11" s="178" t="s">
        <v>247</v>
      </c>
      <c r="AP11" s="177" t="s">
        <v>33</v>
      </c>
      <c r="AQ11" s="161" t="s">
        <v>296</v>
      </c>
      <c r="AR11" s="161"/>
      <c r="AS11" s="161"/>
      <c r="AT11" s="161"/>
      <c r="AU11" s="161"/>
      <c r="AV11" s="161"/>
      <c r="AW11" s="161"/>
      <c r="AX11" s="161"/>
      <c r="AY11" s="161"/>
      <c r="AZ11" s="161"/>
      <c r="BA11" s="179"/>
      <c r="BB11" s="161" t="s">
        <v>296</v>
      </c>
      <c r="BC11" s="161" t="s">
        <v>296</v>
      </c>
      <c r="BD11" s="161"/>
      <c r="BE11" s="179"/>
      <c r="BF11" s="161"/>
      <c r="BG11" s="161"/>
      <c r="BH11" s="179"/>
      <c r="BI11" s="161"/>
      <c r="BJ11" s="161"/>
      <c r="BK11" s="161" t="s">
        <v>296</v>
      </c>
      <c r="BL11" s="161" t="s">
        <v>296</v>
      </c>
      <c r="BM11" s="161"/>
      <c r="BN11" s="161"/>
      <c r="BO11" s="161"/>
      <c r="BP11" s="161"/>
      <c r="BQ11" s="161"/>
      <c r="BR11" s="161"/>
      <c r="BS11" s="161"/>
      <c r="BT11" s="161"/>
      <c r="BU11" s="162">
        <f t="shared" ref="BU11:BU39" si="8">IF(COUNTIF(AQ11:BT11,".")=0,"",COUNTIF(AQ11:BT11,"."))</f>
        <v>5</v>
      </c>
      <c r="BV11" s="162" t="str">
        <f t="shared" ref="BV11:BV39" si="9">IF(COUNTIF(AQ11:BT11,"S")=0,"",COUNTIF(AQ11:BT11,"S"))</f>
        <v/>
      </c>
      <c r="BW11" s="162" t="str">
        <f t="shared" ref="BW11:BW39" si="10">IF(COUNTIF(AQ11:BT11,"I")=0,"",COUNTIF(AQ11:BT11,"I"))</f>
        <v/>
      </c>
      <c r="BX11" s="162" t="str">
        <f t="shared" ref="BX11:BX39" si="11">IF(COUNTIF(AQ11:BT11,"A")=0,"",COUNTIF(AQ11:BT11,"A"))</f>
        <v/>
      </c>
      <c r="BY11" s="162">
        <f t="shared" ref="BY11:BY39" si="12">SUM(BV11:BX11)</f>
        <v>0</v>
      </c>
      <c r="BZ11" s="20"/>
    </row>
    <row r="12" spans="1:78" ht="18" customHeight="1" x14ac:dyDescent="0.3">
      <c r="A12" s="177">
        <v>2</v>
      </c>
      <c r="B12" s="178" t="s">
        <v>206</v>
      </c>
      <c r="C12" s="177" t="s">
        <v>75</v>
      </c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2" t="str">
        <f t="shared" si="3"/>
        <v/>
      </c>
      <c r="AI12" s="162" t="str">
        <f t="shared" si="4"/>
        <v/>
      </c>
      <c r="AJ12" s="162" t="str">
        <f t="shared" si="5"/>
        <v/>
      </c>
      <c r="AK12" s="162" t="str">
        <f t="shared" si="6"/>
        <v/>
      </c>
      <c r="AL12" s="162">
        <f t="shared" si="7"/>
        <v>0</v>
      </c>
      <c r="AM12" s="20"/>
      <c r="AN12" s="177">
        <v>2</v>
      </c>
      <c r="AO12" s="178" t="s">
        <v>248</v>
      </c>
      <c r="AP12" s="177" t="s">
        <v>33</v>
      </c>
      <c r="AQ12" s="161" t="s">
        <v>296</v>
      </c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 t="s">
        <v>296</v>
      </c>
      <c r="BC12" s="161" t="s">
        <v>296</v>
      </c>
      <c r="BD12" s="161"/>
      <c r="BE12" s="161"/>
      <c r="BF12" s="161"/>
      <c r="BG12" s="161"/>
      <c r="BH12" s="161"/>
      <c r="BI12" s="161"/>
      <c r="BJ12" s="161"/>
      <c r="BK12" s="161" t="s">
        <v>296</v>
      </c>
      <c r="BL12" s="161" t="s">
        <v>296</v>
      </c>
      <c r="BM12" s="161"/>
      <c r="BN12" s="161"/>
      <c r="BO12" s="161"/>
      <c r="BP12" s="161"/>
      <c r="BQ12" s="161"/>
      <c r="BR12" s="161"/>
      <c r="BS12" s="161"/>
      <c r="BT12" s="161"/>
      <c r="BU12" s="162">
        <f t="shared" si="8"/>
        <v>5</v>
      </c>
      <c r="BV12" s="162" t="str">
        <f t="shared" si="9"/>
        <v/>
      </c>
      <c r="BW12" s="162" t="str">
        <f t="shared" si="10"/>
        <v/>
      </c>
      <c r="BX12" s="162" t="str">
        <f t="shared" si="11"/>
        <v/>
      </c>
      <c r="BY12" s="162">
        <f t="shared" si="12"/>
        <v>0</v>
      </c>
      <c r="BZ12" s="20"/>
    </row>
    <row r="13" spans="1:78" ht="18" customHeight="1" x14ac:dyDescent="0.3">
      <c r="A13" s="177">
        <v>3</v>
      </c>
      <c r="B13" s="178" t="s">
        <v>207</v>
      </c>
      <c r="C13" s="177" t="s">
        <v>75</v>
      </c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2" t="str">
        <f t="shared" si="3"/>
        <v/>
      </c>
      <c r="AI13" s="162" t="str">
        <f t="shared" si="4"/>
        <v/>
      </c>
      <c r="AJ13" s="162" t="str">
        <f t="shared" si="5"/>
        <v/>
      </c>
      <c r="AK13" s="162" t="str">
        <f t="shared" si="6"/>
        <v/>
      </c>
      <c r="AL13" s="162">
        <f t="shared" si="7"/>
        <v>0</v>
      </c>
      <c r="AM13" s="20"/>
      <c r="AN13" s="177">
        <v>3</v>
      </c>
      <c r="AO13" s="178" t="s">
        <v>249</v>
      </c>
      <c r="AP13" s="177" t="s">
        <v>33</v>
      </c>
      <c r="AQ13" s="161" t="s">
        <v>296</v>
      </c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 t="s">
        <v>296</v>
      </c>
      <c r="BC13" s="161" t="s">
        <v>296</v>
      </c>
      <c r="BD13" s="161"/>
      <c r="BE13" s="161"/>
      <c r="BF13" s="161"/>
      <c r="BG13" s="161"/>
      <c r="BH13" s="161"/>
      <c r="BI13" s="161"/>
      <c r="BJ13" s="161"/>
      <c r="BK13" s="161" t="s">
        <v>296</v>
      </c>
      <c r="BL13" s="161" t="s">
        <v>296</v>
      </c>
      <c r="BM13" s="161"/>
      <c r="BN13" s="161"/>
      <c r="BO13" s="161"/>
      <c r="BP13" s="161"/>
      <c r="BQ13" s="161"/>
      <c r="BR13" s="161"/>
      <c r="BS13" s="161"/>
      <c r="BT13" s="161"/>
      <c r="BU13" s="162">
        <f t="shared" si="8"/>
        <v>5</v>
      </c>
      <c r="BV13" s="162" t="str">
        <f t="shared" si="9"/>
        <v/>
      </c>
      <c r="BW13" s="162" t="str">
        <f t="shared" si="10"/>
        <v/>
      </c>
      <c r="BX13" s="162" t="str">
        <f>IF(COUNTIF(AQ13:BT13,"A")=0,"",COUNTIF(AQ13:BT13,"A"))</f>
        <v/>
      </c>
      <c r="BY13" s="162">
        <f t="shared" si="12"/>
        <v>0</v>
      </c>
      <c r="BZ13" s="20"/>
    </row>
    <row r="14" spans="1:78" ht="18" customHeight="1" x14ac:dyDescent="0.3">
      <c r="A14" s="177">
        <v>4</v>
      </c>
      <c r="B14" s="178" t="s">
        <v>208</v>
      </c>
      <c r="C14" s="177" t="s">
        <v>75</v>
      </c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2" t="str">
        <f t="shared" si="3"/>
        <v/>
      </c>
      <c r="AI14" s="162" t="str">
        <f t="shared" si="4"/>
        <v/>
      </c>
      <c r="AJ14" s="162" t="str">
        <f t="shared" si="5"/>
        <v/>
      </c>
      <c r="AK14" s="162" t="str">
        <f t="shared" si="6"/>
        <v/>
      </c>
      <c r="AL14" s="162">
        <f t="shared" si="7"/>
        <v>0</v>
      </c>
      <c r="AM14" s="20"/>
      <c r="AN14" s="177" t="str">
        <f t="shared" ref="AN14:AN29" si="13">CONCATENATE(A14)</f>
        <v>4</v>
      </c>
      <c r="AO14" s="178" t="s">
        <v>250</v>
      </c>
      <c r="AP14" s="177" t="s">
        <v>75</v>
      </c>
      <c r="AQ14" s="161" t="s">
        <v>296</v>
      </c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 t="s">
        <v>296</v>
      </c>
      <c r="BC14" s="161" t="s">
        <v>296</v>
      </c>
      <c r="BD14" s="161"/>
      <c r="BE14" s="161"/>
      <c r="BF14" s="161"/>
      <c r="BG14" s="161"/>
      <c r="BH14" s="161"/>
      <c r="BI14" s="161"/>
      <c r="BJ14" s="161"/>
      <c r="BK14" s="161" t="s">
        <v>297</v>
      </c>
      <c r="BL14" s="161" t="s">
        <v>296</v>
      </c>
      <c r="BM14" s="161"/>
      <c r="BN14" s="161"/>
      <c r="BO14" s="161"/>
      <c r="BP14" s="161"/>
      <c r="BQ14" s="161"/>
      <c r="BR14" s="161"/>
      <c r="BS14" s="161"/>
      <c r="BT14" s="161"/>
      <c r="BU14" s="162">
        <f t="shared" si="8"/>
        <v>4</v>
      </c>
      <c r="BV14" s="162">
        <f t="shared" si="9"/>
        <v>1</v>
      </c>
      <c r="BW14" s="162" t="str">
        <f t="shared" si="10"/>
        <v/>
      </c>
      <c r="BX14" s="162" t="str">
        <f t="shared" si="11"/>
        <v/>
      </c>
      <c r="BY14" s="162">
        <f t="shared" si="12"/>
        <v>1</v>
      </c>
      <c r="BZ14" s="20"/>
    </row>
    <row r="15" spans="1:78" ht="18" customHeight="1" x14ac:dyDescent="0.3">
      <c r="A15" s="177">
        <v>5</v>
      </c>
      <c r="B15" s="178" t="s">
        <v>209</v>
      </c>
      <c r="C15" s="177" t="s">
        <v>33</v>
      </c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2" t="str">
        <f t="shared" si="3"/>
        <v/>
      </c>
      <c r="AI15" s="162" t="str">
        <f t="shared" si="4"/>
        <v/>
      </c>
      <c r="AJ15" s="162" t="str">
        <f t="shared" si="5"/>
        <v/>
      </c>
      <c r="AK15" s="162" t="str">
        <f t="shared" si="6"/>
        <v/>
      </c>
      <c r="AL15" s="162">
        <f t="shared" si="7"/>
        <v>0</v>
      </c>
      <c r="AM15" s="20"/>
      <c r="AN15" s="177" t="str">
        <f t="shared" si="13"/>
        <v>5</v>
      </c>
      <c r="AO15" s="178" t="s">
        <v>251</v>
      </c>
      <c r="AP15" s="177" t="s">
        <v>33</v>
      </c>
      <c r="AQ15" s="161" t="s">
        <v>296</v>
      </c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 t="s">
        <v>296</v>
      </c>
      <c r="BC15" s="161" t="s">
        <v>296</v>
      </c>
      <c r="BD15" s="161"/>
      <c r="BE15" s="161"/>
      <c r="BF15" s="161"/>
      <c r="BG15" s="161"/>
      <c r="BH15" s="161"/>
      <c r="BI15" s="161"/>
      <c r="BJ15" s="161"/>
      <c r="BK15" s="161" t="s">
        <v>297</v>
      </c>
      <c r="BL15" s="161" t="s">
        <v>296</v>
      </c>
      <c r="BM15" s="161"/>
      <c r="BN15" s="161"/>
      <c r="BO15" s="161"/>
      <c r="BP15" s="161"/>
      <c r="BQ15" s="161"/>
      <c r="BR15" s="161"/>
      <c r="BS15" s="161"/>
      <c r="BT15" s="161"/>
      <c r="BU15" s="162">
        <f t="shared" si="8"/>
        <v>4</v>
      </c>
      <c r="BV15" s="162">
        <f t="shared" si="9"/>
        <v>1</v>
      </c>
      <c r="BW15" s="162" t="str">
        <f t="shared" si="10"/>
        <v/>
      </c>
      <c r="BX15" s="162" t="str">
        <f t="shared" si="11"/>
        <v/>
      </c>
      <c r="BY15" s="162">
        <f t="shared" si="12"/>
        <v>1</v>
      </c>
      <c r="BZ15" s="20"/>
    </row>
    <row r="16" spans="1:78" ht="18" customHeight="1" x14ac:dyDescent="0.3">
      <c r="A16" s="177">
        <v>6</v>
      </c>
      <c r="B16" s="178" t="s">
        <v>210</v>
      </c>
      <c r="C16" s="177" t="s">
        <v>75</v>
      </c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2" t="str">
        <f t="shared" si="3"/>
        <v/>
      </c>
      <c r="AI16" s="162" t="str">
        <f t="shared" si="4"/>
        <v/>
      </c>
      <c r="AJ16" s="162" t="str">
        <f t="shared" si="5"/>
        <v/>
      </c>
      <c r="AK16" s="162" t="str">
        <f t="shared" si="6"/>
        <v/>
      </c>
      <c r="AL16" s="162">
        <f t="shared" si="7"/>
        <v>0</v>
      </c>
      <c r="AM16" s="20"/>
      <c r="AN16" s="177" t="str">
        <f t="shared" si="13"/>
        <v>6</v>
      </c>
      <c r="AO16" s="178" t="s">
        <v>252</v>
      </c>
      <c r="AP16" s="177" t="s">
        <v>33</v>
      </c>
      <c r="AQ16" s="161" t="s">
        <v>296</v>
      </c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 t="s">
        <v>296</v>
      </c>
      <c r="BC16" s="161" t="s">
        <v>296</v>
      </c>
      <c r="BD16" s="161"/>
      <c r="BE16" s="161"/>
      <c r="BF16" s="161"/>
      <c r="BG16" s="161"/>
      <c r="BH16" s="161"/>
      <c r="BI16" s="161"/>
      <c r="BJ16" s="161"/>
      <c r="BK16" s="161" t="s">
        <v>296</v>
      </c>
      <c r="BL16" s="161" t="s">
        <v>296</v>
      </c>
      <c r="BM16" s="161"/>
      <c r="BN16" s="161"/>
      <c r="BO16" s="161"/>
      <c r="BP16" s="161"/>
      <c r="BQ16" s="161"/>
      <c r="BR16" s="161"/>
      <c r="BS16" s="161"/>
      <c r="BT16" s="161"/>
      <c r="BU16" s="162">
        <f t="shared" si="8"/>
        <v>5</v>
      </c>
      <c r="BV16" s="162" t="str">
        <f t="shared" si="9"/>
        <v/>
      </c>
      <c r="BW16" s="162" t="str">
        <f t="shared" si="10"/>
        <v/>
      </c>
      <c r="BX16" s="162" t="str">
        <f t="shared" si="11"/>
        <v/>
      </c>
      <c r="BY16" s="162">
        <f t="shared" si="12"/>
        <v>0</v>
      </c>
      <c r="BZ16" s="20"/>
    </row>
    <row r="17" spans="1:78" ht="18" customHeight="1" x14ac:dyDescent="0.3">
      <c r="A17" s="177">
        <v>7</v>
      </c>
      <c r="B17" s="178" t="s">
        <v>211</v>
      </c>
      <c r="C17" s="177" t="s">
        <v>75</v>
      </c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2" t="str">
        <f t="shared" si="3"/>
        <v/>
      </c>
      <c r="AI17" s="162" t="str">
        <f t="shared" si="4"/>
        <v/>
      </c>
      <c r="AJ17" s="162" t="str">
        <f t="shared" si="5"/>
        <v/>
      </c>
      <c r="AK17" s="162" t="str">
        <f t="shared" si="6"/>
        <v/>
      </c>
      <c r="AL17" s="162">
        <f t="shared" si="7"/>
        <v>0</v>
      </c>
      <c r="AM17" s="20"/>
      <c r="AN17" s="177" t="str">
        <f t="shared" si="13"/>
        <v>7</v>
      </c>
      <c r="AO17" s="178" t="s">
        <v>253</v>
      </c>
      <c r="AP17" s="177" t="s">
        <v>75</v>
      </c>
      <c r="AQ17" s="161" t="s">
        <v>296</v>
      </c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 t="s">
        <v>296</v>
      </c>
      <c r="BC17" s="161" t="s">
        <v>296</v>
      </c>
      <c r="BD17" s="161"/>
      <c r="BE17" s="161"/>
      <c r="BF17" s="161"/>
      <c r="BG17" s="161"/>
      <c r="BH17" s="161"/>
      <c r="BI17" s="161"/>
      <c r="BJ17" s="161"/>
      <c r="BK17" s="161" t="s">
        <v>296</v>
      </c>
      <c r="BL17" s="161" t="s">
        <v>296</v>
      </c>
      <c r="BM17" s="161"/>
      <c r="BN17" s="161"/>
      <c r="BO17" s="161"/>
      <c r="BP17" s="161"/>
      <c r="BQ17" s="161"/>
      <c r="BR17" s="161"/>
      <c r="BS17" s="161"/>
      <c r="BT17" s="161"/>
      <c r="BU17" s="162">
        <f t="shared" si="8"/>
        <v>5</v>
      </c>
      <c r="BV17" s="162" t="str">
        <f t="shared" si="9"/>
        <v/>
      </c>
      <c r="BW17" s="162" t="str">
        <f t="shared" si="10"/>
        <v/>
      </c>
      <c r="BX17" s="162" t="str">
        <f t="shared" si="11"/>
        <v/>
      </c>
      <c r="BY17" s="162">
        <f t="shared" si="12"/>
        <v>0</v>
      </c>
      <c r="BZ17" s="20"/>
    </row>
    <row r="18" spans="1:78" ht="18" customHeight="1" x14ac:dyDescent="0.3">
      <c r="A18" s="177">
        <v>8</v>
      </c>
      <c r="B18" s="178" t="s">
        <v>212</v>
      </c>
      <c r="C18" s="177" t="s">
        <v>33</v>
      </c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2" t="str">
        <f t="shared" si="3"/>
        <v/>
      </c>
      <c r="AI18" s="162" t="str">
        <f t="shared" si="4"/>
        <v/>
      </c>
      <c r="AJ18" s="162" t="str">
        <f t="shared" si="5"/>
        <v/>
      </c>
      <c r="AK18" s="162" t="str">
        <f t="shared" si="6"/>
        <v/>
      </c>
      <c r="AL18" s="162">
        <f t="shared" si="7"/>
        <v>0</v>
      </c>
      <c r="AM18" s="20"/>
      <c r="AN18" s="177" t="str">
        <f t="shared" si="13"/>
        <v>8</v>
      </c>
      <c r="AO18" s="178" t="s">
        <v>254</v>
      </c>
      <c r="AP18" s="177" t="s">
        <v>33</v>
      </c>
      <c r="AQ18" s="161" t="s">
        <v>296</v>
      </c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 t="s">
        <v>297</v>
      </c>
      <c r="BC18" s="161" t="s">
        <v>296</v>
      </c>
      <c r="BD18" s="161"/>
      <c r="BE18" s="161"/>
      <c r="BF18" s="161"/>
      <c r="BG18" s="161"/>
      <c r="BH18" s="161"/>
      <c r="BI18" s="161"/>
      <c r="BJ18" s="161"/>
      <c r="BK18" s="161" t="s">
        <v>296</v>
      </c>
      <c r="BL18" s="161" t="s">
        <v>296</v>
      </c>
      <c r="BM18" s="161"/>
      <c r="BN18" s="161"/>
      <c r="BO18" s="161"/>
      <c r="BP18" s="161"/>
      <c r="BQ18" s="161"/>
      <c r="BR18" s="161"/>
      <c r="BS18" s="161"/>
      <c r="BT18" s="161"/>
      <c r="BU18" s="162">
        <f t="shared" si="8"/>
        <v>4</v>
      </c>
      <c r="BV18" s="162">
        <f t="shared" si="9"/>
        <v>1</v>
      </c>
      <c r="BW18" s="162" t="str">
        <f t="shared" si="10"/>
        <v/>
      </c>
      <c r="BX18" s="162" t="str">
        <f t="shared" si="11"/>
        <v/>
      </c>
      <c r="BY18" s="162">
        <f t="shared" si="12"/>
        <v>1</v>
      </c>
      <c r="BZ18" s="20"/>
    </row>
    <row r="19" spans="1:78" ht="18" customHeight="1" x14ac:dyDescent="0.3">
      <c r="A19" s="177">
        <v>9</v>
      </c>
      <c r="B19" s="178" t="s">
        <v>213</v>
      </c>
      <c r="C19" s="177" t="s">
        <v>75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2" t="str">
        <f t="shared" si="3"/>
        <v/>
      </c>
      <c r="AI19" s="162" t="str">
        <f t="shared" si="4"/>
        <v/>
      </c>
      <c r="AJ19" s="162" t="str">
        <f t="shared" si="5"/>
        <v/>
      </c>
      <c r="AK19" s="162" t="str">
        <f t="shared" si="6"/>
        <v/>
      </c>
      <c r="AL19" s="162">
        <f t="shared" si="7"/>
        <v>0</v>
      </c>
      <c r="AM19" s="20"/>
      <c r="AN19" s="177" t="str">
        <f t="shared" si="13"/>
        <v>9</v>
      </c>
      <c r="AO19" s="178" t="s">
        <v>255</v>
      </c>
      <c r="AP19" s="177" t="s">
        <v>33</v>
      </c>
      <c r="AQ19" s="161" t="s">
        <v>297</v>
      </c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 t="s">
        <v>296</v>
      </c>
      <c r="BC19" s="161" t="s">
        <v>296</v>
      </c>
      <c r="BD19" s="161"/>
      <c r="BE19" s="161"/>
      <c r="BF19" s="161"/>
      <c r="BG19" s="161"/>
      <c r="BH19" s="161"/>
      <c r="BI19" s="161"/>
      <c r="BJ19" s="161"/>
      <c r="BK19" s="161" t="s">
        <v>296</v>
      </c>
      <c r="BL19" s="161" t="s">
        <v>296</v>
      </c>
      <c r="BM19" s="161"/>
      <c r="BN19" s="161"/>
      <c r="BO19" s="161"/>
      <c r="BP19" s="161"/>
      <c r="BQ19" s="161"/>
      <c r="BR19" s="161"/>
      <c r="BS19" s="161"/>
      <c r="BT19" s="161"/>
      <c r="BU19" s="162">
        <f t="shared" si="8"/>
        <v>4</v>
      </c>
      <c r="BV19" s="162">
        <f t="shared" si="9"/>
        <v>1</v>
      </c>
      <c r="BW19" s="162" t="str">
        <f t="shared" si="10"/>
        <v/>
      </c>
      <c r="BX19" s="162" t="str">
        <f t="shared" si="11"/>
        <v/>
      </c>
      <c r="BY19" s="162">
        <f t="shared" si="12"/>
        <v>1</v>
      </c>
      <c r="BZ19" s="20"/>
    </row>
    <row r="20" spans="1:78" ht="18" customHeight="1" x14ac:dyDescent="0.3">
      <c r="A20" s="177">
        <v>10</v>
      </c>
      <c r="B20" s="178" t="s">
        <v>214</v>
      </c>
      <c r="C20" s="177" t="s">
        <v>75</v>
      </c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2" t="str">
        <f t="shared" si="3"/>
        <v/>
      </c>
      <c r="AI20" s="162" t="str">
        <f t="shared" si="4"/>
        <v/>
      </c>
      <c r="AJ20" s="162" t="str">
        <f t="shared" si="5"/>
        <v/>
      </c>
      <c r="AK20" s="162" t="str">
        <f t="shared" si="6"/>
        <v/>
      </c>
      <c r="AL20" s="162">
        <f t="shared" si="7"/>
        <v>0</v>
      </c>
      <c r="AM20" s="20"/>
      <c r="AN20" s="177" t="str">
        <f t="shared" si="13"/>
        <v>10</v>
      </c>
      <c r="AO20" s="178" t="s">
        <v>256</v>
      </c>
      <c r="AP20" s="177" t="s">
        <v>75</v>
      </c>
      <c r="AQ20" s="161" t="s">
        <v>296</v>
      </c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 t="s">
        <v>296</v>
      </c>
      <c r="BC20" s="161" t="s">
        <v>296</v>
      </c>
      <c r="BD20" s="161"/>
      <c r="BE20" s="161"/>
      <c r="BF20" s="161"/>
      <c r="BG20" s="161"/>
      <c r="BH20" s="161"/>
      <c r="BI20" s="161"/>
      <c r="BJ20" s="161"/>
      <c r="BK20" s="161" t="s">
        <v>297</v>
      </c>
      <c r="BL20" s="161" t="s">
        <v>296</v>
      </c>
      <c r="BM20" s="161"/>
      <c r="BN20" s="161"/>
      <c r="BO20" s="161"/>
      <c r="BP20" s="161"/>
      <c r="BQ20" s="161"/>
      <c r="BR20" s="161"/>
      <c r="BS20" s="161"/>
      <c r="BT20" s="161"/>
      <c r="BU20" s="162">
        <f t="shared" si="8"/>
        <v>4</v>
      </c>
      <c r="BV20" s="162">
        <f t="shared" si="9"/>
        <v>1</v>
      </c>
      <c r="BW20" s="162" t="str">
        <f t="shared" si="10"/>
        <v/>
      </c>
      <c r="BX20" s="162" t="str">
        <f t="shared" si="11"/>
        <v/>
      </c>
      <c r="BY20" s="162">
        <f t="shared" si="12"/>
        <v>1</v>
      </c>
      <c r="BZ20" s="20"/>
    </row>
    <row r="21" spans="1:78" ht="18" customHeight="1" x14ac:dyDescent="0.3">
      <c r="A21" s="177">
        <v>11</v>
      </c>
      <c r="B21" s="178" t="s">
        <v>215</v>
      </c>
      <c r="C21" s="177" t="s">
        <v>75</v>
      </c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2" t="str">
        <f t="shared" si="3"/>
        <v/>
      </c>
      <c r="AI21" s="162" t="str">
        <f t="shared" si="4"/>
        <v/>
      </c>
      <c r="AJ21" s="162" t="str">
        <f t="shared" si="5"/>
        <v/>
      </c>
      <c r="AK21" s="162" t="str">
        <f t="shared" si="6"/>
        <v/>
      </c>
      <c r="AL21" s="162">
        <f t="shared" si="7"/>
        <v>0</v>
      </c>
      <c r="AM21" s="20"/>
      <c r="AN21" s="177" t="str">
        <f t="shared" si="13"/>
        <v>11</v>
      </c>
      <c r="AO21" s="178" t="s">
        <v>257</v>
      </c>
      <c r="AP21" s="177" t="s">
        <v>33</v>
      </c>
      <c r="AQ21" s="161" t="s">
        <v>296</v>
      </c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 t="s">
        <v>296</v>
      </c>
      <c r="BC21" s="161" t="s">
        <v>296</v>
      </c>
      <c r="BD21" s="161"/>
      <c r="BE21" s="161"/>
      <c r="BF21" s="161"/>
      <c r="BG21" s="161"/>
      <c r="BH21" s="161"/>
      <c r="BI21" s="161"/>
      <c r="BJ21" s="161"/>
      <c r="BK21" s="161" t="s">
        <v>296</v>
      </c>
      <c r="BL21" s="161" t="s">
        <v>296</v>
      </c>
      <c r="BM21" s="161"/>
      <c r="BN21" s="161"/>
      <c r="BO21" s="161"/>
      <c r="BP21" s="161"/>
      <c r="BQ21" s="161"/>
      <c r="BR21" s="161"/>
      <c r="BS21" s="161"/>
      <c r="BT21" s="161"/>
      <c r="BU21" s="162">
        <f t="shared" si="8"/>
        <v>5</v>
      </c>
      <c r="BV21" s="162" t="str">
        <f t="shared" si="9"/>
        <v/>
      </c>
      <c r="BW21" s="162" t="str">
        <f t="shared" si="10"/>
        <v/>
      </c>
      <c r="BX21" s="162" t="str">
        <f t="shared" si="11"/>
        <v/>
      </c>
      <c r="BY21" s="162">
        <f t="shared" si="12"/>
        <v>0</v>
      </c>
      <c r="BZ21" s="20"/>
    </row>
    <row r="22" spans="1:78" ht="18" customHeight="1" x14ac:dyDescent="0.3">
      <c r="A22" s="177">
        <v>12</v>
      </c>
      <c r="B22" s="178" t="s">
        <v>216</v>
      </c>
      <c r="C22" s="177" t="s">
        <v>75</v>
      </c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2" t="str">
        <f t="shared" si="3"/>
        <v/>
      </c>
      <c r="AI22" s="162" t="str">
        <f t="shared" si="4"/>
        <v/>
      </c>
      <c r="AJ22" s="162" t="str">
        <f t="shared" si="5"/>
        <v/>
      </c>
      <c r="AK22" s="162" t="str">
        <f t="shared" si="6"/>
        <v/>
      </c>
      <c r="AL22" s="162">
        <f t="shared" si="7"/>
        <v>0</v>
      </c>
      <c r="AM22" s="20"/>
      <c r="AN22" s="177" t="str">
        <f t="shared" si="13"/>
        <v>12</v>
      </c>
      <c r="AO22" s="178" t="s">
        <v>258</v>
      </c>
      <c r="AP22" s="177" t="s">
        <v>75</v>
      </c>
      <c r="AQ22" s="161" t="s">
        <v>296</v>
      </c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 t="s">
        <v>296</v>
      </c>
      <c r="BC22" s="161" t="s">
        <v>296</v>
      </c>
      <c r="BD22" s="161"/>
      <c r="BE22" s="161"/>
      <c r="BF22" s="161"/>
      <c r="BG22" s="161"/>
      <c r="BH22" s="161"/>
      <c r="BI22" s="161"/>
      <c r="BJ22" s="161"/>
      <c r="BK22" s="161" t="s">
        <v>296</v>
      </c>
      <c r="BL22" s="161" t="s">
        <v>296</v>
      </c>
      <c r="BM22" s="161"/>
      <c r="BN22" s="161"/>
      <c r="BO22" s="161"/>
      <c r="BP22" s="161"/>
      <c r="BQ22" s="161"/>
      <c r="BR22" s="161"/>
      <c r="BS22" s="161"/>
      <c r="BT22" s="161"/>
      <c r="BU22" s="162">
        <f t="shared" si="8"/>
        <v>5</v>
      </c>
      <c r="BV22" s="162" t="str">
        <f t="shared" si="9"/>
        <v/>
      </c>
      <c r="BW22" s="162" t="str">
        <f t="shared" si="10"/>
        <v/>
      </c>
      <c r="BX22" s="162" t="str">
        <f t="shared" si="11"/>
        <v/>
      </c>
      <c r="BY22" s="162">
        <f t="shared" si="12"/>
        <v>0</v>
      </c>
      <c r="BZ22" s="20"/>
    </row>
    <row r="23" spans="1:78" ht="18" customHeight="1" x14ac:dyDescent="0.3">
      <c r="A23" s="177">
        <v>13</v>
      </c>
      <c r="B23" s="178" t="s">
        <v>217</v>
      </c>
      <c r="C23" s="177" t="s">
        <v>75</v>
      </c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2" t="str">
        <f t="shared" si="3"/>
        <v/>
      </c>
      <c r="AI23" s="162" t="str">
        <f t="shared" si="4"/>
        <v/>
      </c>
      <c r="AJ23" s="162" t="str">
        <f t="shared" si="5"/>
        <v/>
      </c>
      <c r="AK23" s="162" t="str">
        <f t="shared" si="6"/>
        <v/>
      </c>
      <c r="AL23" s="162">
        <f t="shared" si="7"/>
        <v>0</v>
      </c>
      <c r="AM23" s="20"/>
      <c r="AN23" s="177" t="str">
        <f t="shared" si="13"/>
        <v>13</v>
      </c>
      <c r="AO23" s="178" t="s">
        <v>259</v>
      </c>
      <c r="AP23" s="177" t="s">
        <v>33</v>
      </c>
      <c r="AQ23" s="161" t="s">
        <v>296</v>
      </c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 t="s">
        <v>296</v>
      </c>
      <c r="BC23" s="161" t="s">
        <v>296</v>
      </c>
      <c r="BD23" s="161"/>
      <c r="BE23" s="161"/>
      <c r="BF23" s="161"/>
      <c r="BG23" s="161"/>
      <c r="BH23" s="161"/>
      <c r="BI23" s="161"/>
      <c r="BJ23" s="161"/>
      <c r="BK23" s="161" t="s">
        <v>296</v>
      </c>
      <c r="BL23" s="161" t="s">
        <v>296</v>
      </c>
      <c r="BM23" s="161"/>
      <c r="BN23" s="161"/>
      <c r="BO23" s="161"/>
      <c r="BP23" s="161"/>
      <c r="BQ23" s="161"/>
      <c r="BR23" s="161"/>
      <c r="BS23" s="161"/>
      <c r="BT23" s="161"/>
      <c r="BU23" s="162">
        <f t="shared" si="8"/>
        <v>5</v>
      </c>
      <c r="BV23" s="162" t="str">
        <f t="shared" si="9"/>
        <v/>
      </c>
      <c r="BW23" s="162" t="str">
        <f t="shared" si="10"/>
        <v/>
      </c>
      <c r="BX23" s="162" t="str">
        <f t="shared" si="11"/>
        <v/>
      </c>
      <c r="BY23" s="162">
        <f t="shared" si="12"/>
        <v>0</v>
      </c>
      <c r="BZ23" s="20"/>
    </row>
    <row r="24" spans="1:78" ht="18" customHeight="1" x14ac:dyDescent="0.3">
      <c r="A24" s="177" t="s">
        <v>33</v>
      </c>
      <c r="B24" s="178" t="s">
        <v>218</v>
      </c>
      <c r="C24" s="177" t="s">
        <v>33</v>
      </c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2" t="str">
        <f t="shared" si="3"/>
        <v/>
      </c>
      <c r="AI24" s="162" t="str">
        <f t="shared" si="4"/>
        <v/>
      </c>
      <c r="AJ24" s="162" t="str">
        <f t="shared" si="5"/>
        <v/>
      </c>
      <c r="AK24" s="162" t="str">
        <f t="shared" si="6"/>
        <v/>
      </c>
      <c r="AL24" s="162">
        <f t="shared" si="7"/>
        <v>0</v>
      </c>
      <c r="AM24" s="20"/>
      <c r="AN24" s="177">
        <v>14</v>
      </c>
      <c r="AO24" s="178" t="s">
        <v>260</v>
      </c>
      <c r="AP24" s="177" t="s">
        <v>33</v>
      </c>
      <c r="AQ24" s="161" t="s">
        <v>296</v>
      </c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 t="s">
        <v>296</v>
      </c>
      <c r="BC24" s="161" t="s">
        <v>296</v>
      </c>
      <c r="BD24" s="161"/>
      <c r="BE24" s="161"/>
      <c r="BF24" s="161"/>
      <c r="BG24" s="161"/>
      <c r="BH24" s="161"/>
      <c r="BI24" s="161"/>
      <c r="BJ24" s="161"/>
      <c r="BK24" s="161" t="s">
        <v>296</v>
      </c>
      <c r="BL24" s="161" t="s">
        <v>296</v>
      </c>
      <c r="BM24" s="161"/>
      <c r="BN24" s="161"/>
      <c r="BO24" s="161"/>
      <c r="BP24" s="161"/>
      <c r="BQ24" s="161"/>
      <c r="BR24" s="161"/>
      <c r="BS24" s="161"/>
      <c r="BT24" s="161"/>
      <c r="BU24" s="162">
        <f t="shared" si="8"/>
        <v>5</v>
      </c>
      <c r="BV24" s="162" t="str">
        <f t="shared" si="9"/>
        <v/>
      </c>
      <c r="BW24" s="162" t="str">
        <f t="shared" si="10"/>
        <v/>
      </c>
      <c r="BX24" s="162" t="str">
        <f t="shared" si="11"/>
        <v/>
      </c>
      <c r="BY24" s="162">
        <f t="shared" si="12"/>
        <v>0</v>
      </c>
      <c r="BZ24" s="20"/>
    </row>
    <row r="25" spans="1:78" ht="18" customHeight="1" x14ac:dyDescent="0.3">
      <c r="A25" s="177">
        <v>15</v>
      </c>
      <c r="B25" s="178" t="s">
        <v>219</v>
      </c>
      <c r="C25" s="177" t="s">
        <v>75</v>
      </c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2" t="str">
        <f t="shared" si="3"/>
        <v/>
      </c>
      <c r="AI25" s="162" t="str">
        <f t="shared" si="4"/>
        <v/>
      </c>
      <c r="AJ25" s="162" t="str">
        <f t="shared" si="5"/>
        <v/>
      </c>
      <c r="AK25" s="162" t="str">
        <f t="shared" si="6"/>
        <v/>
      </c>
      <c r="AL25" s="162">
        <f t="shared" si="7"/>
        <v>0</v>
      </c>
      <c r="AM25" s="20"/>
      <c r="AN25" s="177" t="str">
        <f t="shared" si="13"/>
        <v>15</v>
      </c>
      <c r="AO25" s="178" t="s">
        <v>261</v>
      </c>
      <c r="AP25" s="177" t="s">
        <v>75</v>
      </c>
      <c r="AQ25" s="161" t="s">
        <v>296</v>
      </c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 t="s">
        <v>296</v>
      </c>
      <c r="BC25" s="161" t="s">
        <v>296</v>
      </c>
      <c r="BD25" s="161"/>
      <c r="BE25" s="161"/>
      <c r="BF25" s="161"/>
      <c r="BG25" s="161"/>
      <c r="BH25" s="161"/>
      <c r="BI25" s="161"/>
      <c r="BJ25" s="161"/>
      <c r="BK25" s="161" t="s">
        <v>296</v>
      </c>
      <c r="BL25" s="161" t="s">
        <v>296</v>
      </c>
      <c r="BM25" s="161"/>
      <c r="BN25" s="161"/>
      <c r="BO25" s="161"/>
      <c r="BP25" s="161"/>
      <c r="BQ25" s="161"/>
      <c r="BR25" s="161"/>
      <c r="BS25" s="161"/>
      <c r="BT25" s="161"/>
      <c r="BU25" s="162">
        <f t="shared" si="8"/>
        <v>5</v>
      </c>
      <c r="BV25" s="162" t="str">
        <f t="shared" si="9"/>
        <v/>
      </c>
      <c r="BW25" s="162" t="str">
        <f t="shared" si="10"/>
        <v/>
      </c>
      <c r="BX25" s="162" t="str">
        <f t="shared" si="11"/>
        <v/>
      </c>
      <c r="BY25" s="162">
        <f t="shared" si="12"/>
        <v>0</v>
      </c>
      <c r="BZ25" s="20"/>
    </row>
    <row r="26" spans="1:78" ht="18" customHeight="1" x14ac:dyDescent="0.3">
      <c r="A26" s="177">
        <v>16</v>
      </c>
      <c r="B26" s="178" t="s">
        <v>220</v>
      </c>
      <c r="C26" s="177" t="s">
        <v>33</v>
      </c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2" t="str">
        <f t="shared" si="3"/>
        <v/>
      </c>
      <c r="AI26" s="162" t="str">
        <f t="shared" si="4"/>
        <v/>
      </c>
      <c r="AJ26" s="162" t="str">
        <f t="shared" si="5"/>
        <v/>
      </c>
      <c r="AK26" s="162" t="str">
        <f t="shared" si="6"/>
        <v/>
      </c>
      <c r="AL26" s="162">
        <f t="shared" si="7"/>
        <v>0</v>
      </c>
      <c r="AM26" s="20"/>
      <c r="AN26" s="177" t="str">
        <f t="shared" si="13"/>
        <v>16</v>
      </c>
      <c r="AO26" s="178" t="s">
        <v>262</v>
      </c>
      <c r="AP26" s="177" t="s">
        <v>33</v>
      </c>
      <c r="AQ26" s="161" t="s">
        <v>296</v>
      </c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 t="s">
        <v>296</v>
      </c>
      <c r="BC26" s="161" t="s">
        <v>296</v>
      </c>
      <c r="BD26" s="161"/>
      <c r="BE26" s="161"/>
      <c r="BF26" s="161"/>
      <c r="BG26" s="161"/>
      <c r="BH26" s="161"/>
      <c r="BI26" s="161"/>
      <c r="BJ26" s="161"/>
      <c r="BK26" s="161" t="s">
        <v>296</v>
      </c>
      <c r="BL26" s="161" t="s">
        <v>296</v>
      </c>
      <c r="BM26" s="161"/>
      <c r="BN26" s="161"/>
      <c r="BO26" s="161"/>
      <c r="BP26" s="161"/>
      <c r="BQ26" s="161"/>
      <c r="BR26" s="161"/>
      <c r="BS26" s="161"/>
      <c r="BT26" s="161"/>
      <c r="BU26" s="162">
        <f t="shared" si="8"/>
        <v>5</v>
      </c>
      <c r="BV26" s="162" t="str">
        <f t="shared" si="9"/>
        <v/>
      </c>
      <c r="BW26" s="162" t="str">
        <f t="shared" si="10"/>
        <v/>
      </c>
      <c r="BX26" s="162" t="str">
        <f t="shared" si="11"/>
        <v/>
      </c>
      <c r="BY26" s="162">
        <f t="shared" si="12"/>
        <v>0</v>
      </c>
      <c r="BZ26" s="20"/>
    </row>
    <row r="27" spans="1:78" ht="18" customHeight="1" x14ac:dyDescent="0.3">
      <c r="A27" s="177">
        <v>17</v>
      </c>
      <c r="B27" s="178" t="s">
        <v>221</v>
      </c>
      <c r="C27" s="177" t="s">
        <v>75</v>
      </c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2" t="str">
        <f t="shared" si="3"/>
        <v/>
      </c>
      <c r="AI27" s="162" t="str">
        <f t="shared" si="4"/>
        <v/>
      </c>
      <c r="AJ27" s="162" t="str">
        <f t="shared" si="5"/>
        <v/>
      </c>
      <c r="AK27" s="162" t="str">
        <f t="shared" si="6"/>
        <v/>
      </c>
      <c r="AL27" s="162">
        <f t="shared" si="7"/>
        <v>0</v>
      </c>
      <c r="AM27" s="20"/>
      <c r="AN27" s="177" t="str">
        <f t="shared" si="13"/>
        <v>17</v>
      </c>
      <c r="AO27" s="178" t="s">
        <v>263</v>
      </c>
      <c r="AP27" s="177" t="s">
        <v>33</v>
      </c>
      <c r="AQ27" s="161" t="s">
        <v>296</v>
      </c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 t="s">
        <v>296</v>
      </c>
      <c r="BC27" s="161" t="s">
        <v>296</v>
      </c>
      <c r="BD27" s="161"/>
      <c r="BE27" s="161"/>
      <c r="BF27" s="161"/>
      <c r="BG27" s="161"/>
      <c r="BH27" s="161"/>
      <c r="BI27" s="161"/>
      <c r="BJ27" s="161"/>
      <c r="BK27" s="161" t="s">
        <v>296</v>
      </c>
      <c r="BL27" s="161" t="s">
        <v>296</v>
      </c>
      <c r="BM27" s="161"/>
      <c r="BN27" s="161"/>
      <c r="BO27" s="161"/>
      <c r="BP27" s="161"/>
      <c r="BQ27" s="161"/>
      <c r="BR27" s="161"/>
      <c r="BS27" s="161"/>
      <c r="BT27" s="161"/>
      <c r="BU27" s="162">
        <f t="shared" si="8"/>
        <v>5</v>
      </c>
      <c r="BV27" s="162" t="str">
        <f t="shared" si="9"/>
        <v/>
      </c>
      <c r="BW27" s="162" t="str">
        <f t="shared" si="10"/>
        <v/>
      </c>
      <c r="BX27" s="162" t="str">
        <f t="shared" si="11"/>
        <v/>
      </c>
      <c r="BY27" s="162">
        <f t="shared" si="12"/>
        <v>0</v>
      </c>
      <c r="BZ27" s="20"/>
    </row>
    <row r="28" spans="1:78" ht="18" customHeight="1" x14ac:dyDescent="0.3">
      <c r="A28" s="177">
        <v>18</v>
      </c>
      <c r="B28" s="178" t="s">
        <v>222</v>
      </c>
      <c r="C28" s="177" t="s">
        <v>75</v>
      </c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2" t="str">
        <f t="shared" si="3"/>
        <v/>
      </c>
      <c r="AI28" s="162" t="str">
        <f t="shared" si="4"/>
        <v/>
      </c>
      <c r="AJ28" s="162" t="str">
        <f t="shared" si="5"/>
        <v/>
      </c>
      <c r="AK28" s="162" t="str">
        <f t="shared" si="6"/>
        <v/>
      </c>
      <c r="AL28" s="162">
        <f t="shared" si="7"/>
        <v>0</v>
      </c>
      <c r="AM28" s="20"/>
      <c r="AN28" s="177" t="str">
        <f t="shared" si="13"/>
        <v>18</v>
      </c>
      <c r="AO28" s="178" t="s">
        <v>264</v>
      </c>
      <c r="AP28" s="177" t="s">
        <v>33</v>
      </c>
      <c r="AQ28" s="161" t="s">
        <v>296</v>
      </c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 t="s">
        <v>296</v>
      </c>
      <c r="BC28" s="161" t="s">
        <v>296</v>
      </c>
      <c r="BD28" s="161"/>
      <c r="BE28" s="161"/>
      <c r="BF28" s="161"/>
      <c r="BG28" s="161"/>
      <c r="BH28" s="161"/>
      <c r="BI28" s="161"/>
      <c r="BJ28" s="161"/>
      <c r="BK28" s="161" t="s">
        <v>296</v>
      </c>
      <c r="BL28" s="161" t="s">
        <v>296</v>
      </c>
      <c r="BM28" s="161"/>
      <c r="BN28" s="161"/>
      <c r="BO28" s="161"/>
      <c r="BP28" s="161"/>
      <c r="BQ28" s="161"/>
      <c r="BR28" s="161"/>
      <c r="BS28" s="161"/>
      <c r="BT28" s="161"/>
      <c r="BU28" s="162">
        <f t="shared" si="8"/>
        <v>5</v>
      </c>
      <c r="BV28" s="162" t="str">
        <f t="shared" si="9"/>
        <v/>
      </c>
      <c r="BW28" s="162" t="str">
        <f t="shared" si="10"/>
        <v/>
      </c>
      <c r="BX28" s="162" t="str">
        <f t="shared" si="11"/>
        <v/>
      </c>
      <c r="BY28" s="162">
        <f t="shared" si="12"/>
        <v>0</v>
      </c>
      <c r="BZ28" s="20"/>
    </row>
    <row r="29" spans="1:78" ht="18" customHeight="1" x14ac:dyDescent="0.3">
      <c r="A29" s="177">
        <v>19</v>
      </c>
      <c r="B29" s="178" t="s">
        <v>223</v>
      </c>
      <c r="C29" s="177" t="s">
        <v>75</v>
      </c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2" t="str">
        <f t="shared" si="3"/>
        <v/>
      </c>
      <c r="AI29" s="162" t="str">
        <f t="shared" si="4"/>
        <v/>
      </c>
      <c r="AJ29" s="162" t="str">
        <f t="shared" si="5"/>
        <v/>
      </c>
      <c r="AK29" s="162" t="str">
        <f t="shared" si="6"/>
        <v/>
      </c>
      <c r="AL29" s="162">
        <f t="shared" si="7"/>
        <v>0</v>
      </c>
      <c r="AM29" s="20"/>
      <c r="AN29" s="177" t="str">
        <f t="shared" si="13"/>
        <v>19</v>
      </c>
      <c r="AO29" s="178" t="s">
        <v>265</v>
      </c>
      <c r="AP29" s="177" t="s">
        <v>33</v>
      </c>
      <c r="AQ29" s="161" t="s">
        <v>296</v>
      </c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 t="s">
        <v>296</v>
      </c>
      <c r="BC29" s="161" t="s">
        <v>296</v>
      </c>
      <c r="BD29" s="161"/>
      <c r="BE29" s="161"/>
      <c r="BF29" s="161"/>
      <c r="BG29" s="161"/>
      <c r="BH29" s="161"/>
      <c r="BI29" s="161"/>
      <c r="BJ29" s="161"/>
      <c r="BK29" s="161" t="s">
        <v>296</v>
      </c>
      <c r="BL29" s="161" t="s">
        <v>296</v>
      </c>
      <c r="BM29" s="161"/>
      <c r="BN29" s="161"/>
      <c r="BO29" s="161"/>
      <c r="BP29" s="161"/>
      <c r="BQ29" s="161"/>
      <c r="BR29" s="161"/>
      <c r="BS29" s="161"/>
      <c r="BT29" s="161"/>
      <c r="BU29" s="162">
        <f t="shared" si="8"/>
        <v>5</v>
      </c>
      <c r="BV29" s="162" t="str">
        <f t="shared" si="9"/>
        <v/>
      </c>
      <c r="BW29" s="162" t="str">
        <f t="shared" si="10"/>
        <v/>
      </c>
      <c r="BX29" s="162" t="str">
        <f t="shared" si="11"/>
        <v/>
      </c>
      <c r="BY29" s="162">
        <f t="shared" si="12"/>
        <v>0</v>
      </c>
      <c r="BZ29" s="20"/>
    </row>
    <row r="30" spans="1:78" ht="18" customHeight="1" x14ac:dyDescent="0.3">
      <c r="A30" s="177">
        <v>21</v>
      </c>
      <c r="B30" s="178" t="s">
        <v>224</v>
      </c>
      <c r="C30" s="177" t="s">
        <v>75</v>
      </c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2" t="str">
        <f t="shared" si="3"/>
        <v/>
      </c>
      <c r="AI30" s="162" t="str">
        <f t="shared" si="4"/>
        <v/>
      </c>
      <c r="AJ30" s="162" t="str">
        <f t="shared" si="5"/>
        <v/>
      </c>
      <c r="AK30" s="162" t="str">
        <f t="shared" si="6"/>
        <v/>
      </c>
      <c r="AL30" s="162">
        <f t="shared" si="7"/>
        <v>0</v>
      </c>
      <c r="AM30" s="20"/>
      <c r="AN30" s="177">
        <v>20</v>
      </c>
      <c r="AO30" s="178" t="s">
        <v>266</v>
      </c>
      <c r="AP30" s="177" t="s">
        <v>33</v>
      </c>
      <c r="AQ30" s="161" t="s">
        <v>296</v>
      </c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 t="s">
        <v>296</v>
      </c>
      <c r="BC30" s="161" t="s">
        <v>296</v>
      </c>
      <c r="BD30" s="161"/>
      <c r="BE30" s="161"/>
      <c r="BF30" s="161"/>
      <c r="BG30" s="161"/>
      <c r="BH30" s="161"/>
      <c r="BI30" s="161"/>
      <c r="BJ30" s="161"/>
      <c r="BK30" s="161" t="s">
        <v>296</v>
      </c>
      <c r="BL30" s="161" t="s">
        <v>296</v>
      </c>
      <c r="BM30" s="161"/>
      <c r="BN30" s="161"/>
      <c r="BO30" s="161"/>
      <c r="BP30" s="161"/>
      <c r="BQ30" s="161"/>
      <c r="BR30" s="161"/>
      <c r="BS30" s="161"/>
      <c r="BT30" s="161"/>
      <c r="BU30" s="162">
        <f t="shared" si="8"/>
        <v>5</v>
      </c>
      <c r="BV30" s="162" t="str">
        <f t="shared" si="9"/>
        <v/>
      </c>
      <c r="BW30" s="162" t="str">
        <f t="shared" si="10"/>
        <v/>
      </c>
      <c r="BX30" s="162" t="str">
        <f t="shared" si="11"/>
        <v/>
      </c>
      <c r="BY30" s="162">
        <f t="shared" si="12"/>
        <v>0</v>
      </c>
      <c r="BZ30" s="20"/>
    </row>
    <row r="31" spans="1:78" ht="18" customHeight="1" x14ac:dyDescent="0.3">
      <c r="A31" s="177">
        <v>22</v>
      </c>
      <c r="B31" s="178" t="s">
        <v>225</v>
      </c>
      <c r="C31" s="177" t="s">
        <v>75</v>
      </c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2" t="str">
        <f t="shared" si="3"/>
        <v/>
      </c>
      <c r="AI31" s="162" t="str">
        <f t="shared" si="4"/>
        <v/>
      </c>
      <c r="AJ31" s="162" t="str">
        <f t="shared" si="5"/>
        <v/>
      </c>
      <c r="AK31" s="162" t="str">
        <f t="shared" si="6"/>
        <v/>
      </c>
      <c r="AL31" s="162">
        <f t="shared" si="7"/>
        <v>0</v>
      </c>
      <c r="AM31" s="20"/>
      <c r="AN31" s="177">
        <v>21</v>
      </c>
      <c r="AO31" s="178" t="s">
        <v>267</v>
      </c>
      <c r="AP31" s="177" t="s">
        <v>75</v>
      </c>
      <c r="AQ31" s="161" t="s">
        <v>296</v>
      </c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 t="s">
        <v>296</v>
      </c>
      <c r="BC31" s="161" t="s">
        <v>296</v>
      </c>
      <c r="BD31" s="161"/>
      <c r="BE31" s="161"/>
      <c r="BF31" s="161"/>
      <c r="BG31" s="161"/>
      <c r="BH31" s="161"/>
      <c r="BI31" s="161"/>
      <c r="BJ31" s="161"/>
      <c r="BK31" s="161" t="s">
        <v>296</v>
      </c>
      <c r="BL31" s="161" t="s">
        <v>296</v>
      </c>
      <c r="BM31" s="161"/>
      <c r="BN31" s="161"/>
      <c r="BO31" s="161"/>
      <c r="BP31" s="161"/>
      <c r="BQ31" s="161"/>
      <c r="BR31" s="161"/>
      <c r="BS31" s="161"/>
      <c r="BT31" s="161"/>
      <c r="BU31" s="162">
        <f t="shared" si="8"/>
        <v>5</v>
      </c>
      <c r="BV31" s="162" t="str">
        <f t="shared" si="9"/>
        <v/>
      </c>
      <c r="BW31" s="162" t="str">
        <f t="shared" si="10"/>
        <v/>
      </c>
      <c r="BX31" s="162" t="str">
        <f t="shared" si="11"/>
        <v/>
      </c>
      <c r="BY31" s="162">
        <f t="shared" si="12"/>
        <v>0</v>
      </c>
      <c r="BZ31" s="20"/>
    </row>
    <row r="32" spans="1:78" ht="18" customHeight="1" x14ac:dyDescent="0.3">
      <c r="A32" s="177">
        <v>23</v>
      </c>
      <c r="B32" s="178" t="s">
        <v>226</v>
      </c>
      <c r="C32" s="177" t="s">
        <v>75</v>
      </c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2" t="str">
        <f t="shared" si="3"/>
        <v/>
      </c>
      <c r="AI32" s="162" t="str">
        <f t="shared" si="4"/>
        <v/>
      </c>
      <c r="AJ32" s="162" t="str">
        <f t="shared" si="5"/>
        <v/>
      </c>
      <c r="AK32" s="162" t="str">
        <f t="shared" si="6"/>
        <v/>
      </c>
      <c r="AL32" s="162">
        <f t="shared" si="7"/>
        <v>0</v>
      </c>
      <c r="AM32" s="20"/>
      <c r="AN32" s="177">
        <v>22</v>
      </c>
      <c r="AO32" s="178" t="s">
        <v>268</v>
      </c>
      <c r="AP32" s="177" t="s">
        <v>33</v>
      </c>
      <c r="AQ32" s="161" t="s">
        <v>296</v>
      </c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 t="s">
        <v>296</v>
      </c>
      <c r="BC32" s="161" t="s">
        <v>296</v>
      </c>
      <c r="BD32" s="161"/>
      <c r="BE32" s="161"/>
      <c r="BF32" s="161"/>
      <c r="BG32" s="161"/>
      <c r="BH32" s="161"/>
      <c r="BI32" s="161"/>
      <c r="BJ32" s="161"/>
      <c r="BK32" s="161" t="s">
        <v>296</v>
      </c>
      <c r="BL32" s="161" t="s">
        <v>296</v>
      </c>
      <c r="BM32" s="161"/>
      <c r="BN32" s="161"/>
      <c r="BO32" s="161"/>
      <c r="BP32" s="161"/>
      <c r="BQ32" s="161"/>
      <c r="BR32" s="161"/>
      <c r="BS32" s="161"/>
      <c r="BT32" s="161"/>
      <c r="BU32" s="162">
        <f t="shared" si="8"/>
        <v>5</v>
      </c>
      <c r="BV32" s="162" t="str">
        <f t="shared" si="9"/>
        <v/>
      </c>
      <c r="BW32" s="162" t="str">
        <f t="shared" si="10"/>
        <v/>
      </c>
      <c r="BX32" s="162" t="str">
        <f t="shared" si="11"/>
        <v/>
      </c>
      <c r="BY32" s="162">
        <f t="shared" si="12"/>
        <v>0</v>
      </c>
      <c r="BZ32" s="20"/>
    </row>
    <row r="33" spans="1:78" ht="18" customHeight="1" x14ac:dyDescent="0.3">
      <c r="A33" s="177">
        <v>24</v>
      </c>
      <c r="B33" s="178" t="s">
        <v>227</v>
      </c>
      <c r="C33" s="177" t="s">
        <v>33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2" t="str">
        <f t="shared" si="3"/>
        <v/>
      </c>
      <c r="AI33" s="162" t="str">
        <f t="shared" si="4"/>
        <v/>
      </c>
      <c r="AJ33" s="162" t="str">
        <f t="shared" si="5"/>
        <v/>
      </c>
      <c r="AK33" s="162" t="str">
        <f t="shared" si="6"/>
        <v/>
      </c>
      <c r="AL33" s="162">
        <f t="shared" si="7"/>
        <v>0</v>
      </c>
      <c r="AM33" s="20"/>
      <c r="AN33" s="177">
        <v>23</v>
      </c>
      <c r="AO33" s="178" t="s">
        <v>269</v>
      </c>
      <c r="AP33" s="177" t="s">
        <v>75</v>
      </c>
      <c r="AQ33" s="161" t="s">
        <v>296</v>
      </c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 t="s">
        <v>296</v>
      </c>
      <c r="BC33" s="161" t="s">
        <v>296</v>
      </c>
      <c r="BD33" s="161"/>
      <c r="BE33" s="161"/>
      <c r="BF33" s="161"/>
      <c r="BG33" s="161"/>
      <c r="BH33" s="161"/>
      <c r="BI33" s="161"/>
      <c r="BJ33" s="161"/>
      <c r="BK33" s="161" t="s">
        <v>296</v>
      </c>
      <c r="BL33" s="161" t="s">
        <v>296</v>
      </c>
      <c r="BM33" s="161"/>
      <c r="BN33" s="161"/>
      <c r="BO33" s="161"/>
      <c r="BP33" s="161"/>
      <c r="BQ33" s="161"/>
      <c r="BR33" s="161"/>
      <c r="BS33" s="161"/>
      <c r="BT33" s="161"/>
      <c r="BU33" s="162">
        <f t="shared" si="8"/>
        <v>5</v>
      </c>
      <c r="BV33" s="162" t="str">
        <f t="shared" si="9"/>
        <v/>
      </c>
      <c r="BW33" s="162" t="str">
        <f t="shared" si="10"/>
        <v/>
      </c>
      <c r="BX33" s="162" t="str">
        <f t="shared" si="11"/>
        <v/>
      </c>
      <c r="BY33" s="162">
        <f t="shared" si="12"/>
        <v>0</v>
      </c>
      <c r="BZ33" s="20"/>
    </row>
    <row r="34" spans="1:78" ht="18" customHeight="1" x14ac:dyDescent="0.3">
      <c r="A34" s="177">
        <v>25</v>
      </c>
      <c r="B34" s="178" t="s">
        <v>228</v>
      </c>
      <c r="C34" s="177" t="s">
        <v>75</v>
      </c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2" t="str">
        <f t="shared" si="3"/>
        <v/>
      </c>
      <c r="AI34" s="162" t="str">
        <f t="shared" si="4"/>
        <v/>
      </c>
      <c r="AJ34" s="162" t="str">
        <f t="shared" si="5"/>
        <v/>
      </c>
      <c r="AK34" s="162" t="str">
        <f t="shared" si="6"/>
        <v/>
      </c>
      <c r="AL34" s="162">
        <f t="shared" si="7"/>
        <v>0</v>
      </c>
      <c r="AM34" s="20"/>
      <c r="AN34" s="177">
        <v>24</v>
      </c>
      <c r="AO34" s="178" t="s">
        <v>270</v>
      </c>
      <c r="AP34" s="177" t="s">
        <v>75</v>
      </c>
      <c r="AQ34" s="161" t="s">
        <v>297</v>
      </c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 t="s">
        <v>296</v>
      </c>
      <c r="BC34" s="161" t="s">
        <v>296</v>
      </c>
      <c r="BD34" s="161"/>
      <c r="BE34" s="161"/>
      <c r="BF34" s="161"/>
      <c r="BG34" s="161"/>
      <c r="BH34" s="161"/>
      <c r="BI34" s="161"/>
      <c r="BJ34" s="161"/>
      <c r="BK34" s="161" t="s">
        <v>296</v>
      </c>
      <c r="BL34" s="161" t="s">
        <v>297</v>
      </c>
      <c r="BM34" s="161"/>
      <c r="BN34" s="161"/>
      <c r="BO34" s="161"/>
      <c r="BP34" s="161"/>
      <c r="BQ34" s="161"/>
      <c r="BR34" s="161"/>
      <c r="BS34" s="161"/>
      <c r="BT34" s="161"/>
      <c r="BU34" s="162">
        <f t="shared" si="8"/>
        <v>3</v>
      </c>
      <c r="BV34" s="162">
        <f t="shared" si="9"/>
        <v>2</v>
      </c>
      <c r="BW34" s="162" t="str">
        <f t="shared" si="10"/>
        <v/>
      </c>
      <c r="BX34" s="162" t="str">
        <f t="shared" si="11"/>
        <v/>
      </c>
      <c r="BY34" s="162">
        <f t="shared" si="12"/>
        <v>2</v>
      </c>
      <c r="BZ34" s="20"/>
    </row>
    <row r="35" spans="1:78" ht="18" customHeight="1" x14ac:dyDescent="0.3">
      <c r="A35" s="177">
        <v>26</v>
      </c>
      <c r="B35" s="178" t="s">
        <v>229</v>
      </c>
      <c r="C35" s="177" t="s">
        <v>33</v>
      </c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2" t="str">
        <f t="shared" si="3"/>
        <v/>
      </c>
      <c r="AI35" s="162" t="str">
        <f t="shared" si="4"/>
        <v/>
      </c>
      <c r="AJ35" s="162" t="str">
        <f t="shared" si="5"/>
        <v/>
      </c>
      <c r="AK35" s="162" t="str">
        <f t="shared" si="6"/>
        <v/>
      </c>
      <c r="AL35" s="162">
        <f t="shared" si="7"/>
        <v>0</v>
      </c>
      <c r="AM35" s="20"/>
      <c r="AN35" s="177">
        <v>25</v>
      </c>
      <c r="AO35" s="178" t="s">
        <v>271</v>
      </c>
      <c r="AP35" s="177" t="s">
        <v>75</v>
      </c>
      <c r="AQ35" s="161" t="s">
        <v>296</v>
      </c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 t="s">
        <v>296</v>
      </c>
      <c r="BC35" s="161" t="s">
        <v>296</v>
      </c>
      <c r="BD35" s="161"/>
      <c r="BE35" s="161"/>
      <c r="BF35" s="161"/>
      <c r="BG35" s="161"/>
      <c r="BH35" s="161"/>
      <c r="BI35" s="161"/>
      <c r="BJ35" s="161"/>
      <c r="BK35" s="161" t="s">
        <v>296</v>
      </c>
      <c r="BL35" s="161" t="s">
        <v>296</v>
      </c>
      <c r="BM35" s="161"/>
      <c r="BN35" s="161"/>
      <c r="BO35" s="161"/>
      <c r="BP35" s="161"/>
      <c r="BQ35" s="161"/>
      <c r="BR35" s="161"/>
      <c r="BS35" s="161"/>
      <c r="BT35" s="161"/>
      <c r="BU35" s="162">
        <f t="shared" si="8"/>
        <v>5</v>
      </c>
      <c r="BV35" s="162" t="str">
        <f t="shared" si="9"/>
        <v/>
      </c>
      <c r="BW35" s="162" t="str">
        <f t="shared" si="10"/>
        <v/>
      </c>
      <c r="BX35" s="162" t="str">
        <f t="shared" si="11"/>
        <v/>
      </c>
      <c r="BY35" s="162">
        <f t="shared" si="12"/>
        <v>0</v>
      </c>
      <c r="BZ35" s="20"/>
    </row>
    <row r="36" spans="1:78" ht="18" customHeight="1" x14ac:dyDescent="0.3">
      <c r="A36" s="177">
        <v>27</v>
      </c>
      <c r="B36" s="178" t="s">
        <v>230</v>
      </c>
      <c r="C36" s="177" t="s">
        <v>33</v>
      </c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2" t="str">
        <f t="shared" si="3"/>
        <v/>
      </c>
      <c r="AI36" s="162" t="str">
        <f t="shared" si="4"/>
        <v/>
      </c>
      <c r="AJ36" s="162" t="str">
        <f t="shared" si="5"/>
        <v/>
      </c>
      <c r="AK36" s="162" t="str">
        <f t="shared" si="6"/>
        <v/>
      </c>
      <c r="AL36" s="162">
        <f t="shared" si="7"/>
        <v>0</v>
      </c>
      <c r="AM36" s="20"/>
      <c r="AN36" s="177">
        <v>26</v>
      </c>
      <c r="AO36" s="178" t="s">
        <v>272</v>
      </c>
      <c r="AP36" s="177" t="s">
        <v>75</v>
      </c>
      <c r="AQ36" s="161" t="s">
        <v>297</v>
      </c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 t="s">
        <v>296</v>
      </c>
      <c r="BC36" s="161" t="s">
        <v>296</v>
      </c>
      <c r="BD36" s="161"/>
      <c r="BE36" s="161"/>
      <c r="BF36" s="161"/>
      <c r="BG36" s="161"/>
      <c r="BH36" s="161"/>
      <c r="BI36" s="161"/>
      <c r="BJ36" s="161"/>
      <c r="BK36" s="161" t="s">
        <v>296</v>
      </c>
      <c r="BL36" s="161" t="s">
        <v>296</v>
      </c>
      <c r="BM36" s="161"/>
      <c r="BN36" s="161"/>
      <c r="BO36" s="161"/>
      <c r="BP36" s="161"/>
      <c r="BQ36" s="161"/>
      <c r="BR36" s="161"/>
      <c r="BS36" s="161"/>
      <c r="BT36" s="161"/>
      <c r="BU36" s="162">
        <f t="shared" si="8"/>
        <v>4</v>
      </c>
      <c r="BV36" s="162">
        <f t="shared" si="9"/>
        <v>1</v>
      </c>
      <c r="BW36" s="162" t="str">
        <f t="shared" si="10"/>
        <v/>
      </c>
      <c r="BX36" s="162" t="str">
        <f t="shared" si="11"/>
        <v/>
      </c>
      <c r="BY36" s="162">
        <f t="shared" si="12"/>
        <v>1</v>
      </c>
      <c r="BZ36" s="20"/>
    </row>
    <row r="37" spans="1:78" ht="18" customHeight="1" x14ac:dyDescent="0.3">
      <c r="A37" s="177">
        <v>28</v>
      </c>
      <c r="B37" s="178" t="s">
        <v>231</v>
      </c>
      <c r="C37" s="177" t="s">
        <v>33</v>
      </c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2" t="str">
        <f t="shared" si="3"/>
        <v/>
      </c>
      <c r="AI37" s="162" t="str">
        <f t="shared" si="4"/>
        <v/>
      </c>
      <c r="AJ37" s="162" t="str">
        <f t="shared" si="5"/>
        <v/>
      </c>
      <c r="AK37" s="162" t="str">
        <f t="shared" si="6"/>
        <v/>
      </c>
      <c r="AL37" s="162">
        <f t="shared" si="7"/>
        <v>0</v>
      </c>
      <c r="AM37" s="20"/>
      <c r="AN37" s="177">
        <v>27</v>
      </c>
      <c r="AO37" s="178" t="s">
        <v>273</v>
      </c>
      <c r="AP37" s="177" t="s">
        <v>75</v>
      </c>
      <c r="AQ37" s="161" t="s">
        <v>296</v>
      </c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 t="s">
        <v>296</v>
      </c>
      <c r="BC37" s="161" t="s">
        <v>296</v>
      </c>
      <c r="BD37" s="161"/>
      <c r="BE37" s="161"/>
      <c r="BF37" s="161"/>
      <c r="BG37" s="161"/>
      <c r="BH37" s="161"/>
      <c r="BI37" s="161"/>
      <c r="BJ37" s="161"/>
      <c r="BK37" s="161" t="s">
        <v>296</v>
      </c>
      <c r="BL37" s="161" t="s">
        <v>297</v>
      </c>
      <c r="BM37" s="161"/>
      <c r="BN37" s="161"/>
      <c r="BO37" s="161"/>
      <c r="BP37" s="161"/>
      <c r="BQ37" s="161"/>
      <c r="BR37" s="161"/>
      <c r="BS37" s="161"/>
      <c r="BT37" s="161"/>
      <c r="BU37" s="162">
        <f t="shared" si="8"/>
        <v>4</v>
      </c>
      <c r="BV37" s="162">
        <f t="shared" si="9"/>
        <v>1</v>
      </c>
      <c r="BW37" s="162" t="str">
        <f t="shared" si="10"/>
        <v/>
      </c>
      <c r="BX37" s="162" t="str">
        <f t="shared" si="11"/>
        <v/>
      </c>
      <c r="BY37" s="162">
        <f t="shared" si="12"/>
        <v>1</v>
      </c>
      <c r="BZ37" s="20"/>
    </row>
    <row r="38" spans="1:78" ht="18" customHeight="1" x14ac:dyDescent="0.3">
      <c r="A38" s="177">
        <v>29</v>
      </c>
      <c r="B38" s="178" t="s">
        <v>232</v>
      </c>
      <c r="C38" s="177" t="s">
        <v>33</v>
      </c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2" t="str">
        <f t="shared" si="3"/>
        <v/>
      </c>
      <c r="AI38" s="162" t="str">
        <f t="shared" si="4"/>
        <v/>
      </c>
      <c r="AJ38" s="162" t="str">
        <f t="shared" si="5"/>
        <v/>
      </c>
      <c r="AK38" s="162" t="str">
        <f t="shared" si="6"/>
        <v/>
      </c>
      <c r="AL38" s="162">
        <f t="shared" si="7"/>
        <v>0</v>
      </c>
      <c r="AM38" s="20"/>
      <c r="AN38" s="177">
        <v>28</v>
      </c>
      <c r="AO38" s="178" t="s">
        <v>274</v>
      </c>
      <c r="AP38" s="177" t="s">
        <v>75</v>
      </c>
      <c r="AQ38" s="161" t="s">
        <v>296</v>
      </c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 t="s">
        <v>296</v>
      </c>
      <c r="BC38" s="161" t="s">
        <v>296</v>
      </c>
      <c r="BD38" s="161"/>
      <c r="BE38" s="161"/>
      <c r="BF38" s="161"/>
      <c r="BG38" s="161"/>
      <c r="BH38" s="161"/>
      <c r="BI38" s="161"/>
      <c r="BJ38" s="161"/>
      <c r="BK38" s="161" t="s">
        <v>296</v>
      </c>
      <c r="BL38" s="161" t="s">
        <v>296</v>
      </c>
      <c r="BM38" s="161"/>
      <c r="BN38" s="161"/>
      <c r="BO38" s="161"/>
      <c r="BP38" s="161"/>
      <c r="BQ38" s="161"/>
      <c r="BR38" s="161"/>
      <c r="BS38" s="161"/>
      <c r="BT38" s="161"/>
      <c r="BU38" s="162">
        <f t="shared" si="8"/>
        <v>5</v>
      </c>
      <c r="BV38" s="162" t="str">
        <f t="shared" si="9"/>
        <v/>
      </c>
      <c r="BW38" s="162" t="str">
        <f t="shared" si="10"/>
        <v/>
      </c>
      <c r="BX38" s="162" t="str">
        <f t="shared" si="11"/>
        <v/>
      </c>
      <c r="BY38" s="162">
        <f t="shared" si="12"/>
        <v>0</v>
      </c>
      <c r="BZ38" s="20"/>
    </row>
    <row r="39" spans="1:78" ht="18" customHeight="1" x14ac:dyDescent="0.3">
      <c r="A39" s="177">
        <v>30</v>
      </c>
      <c r="B39" s="178" t="s">
        <v>233</v>
      </c>
      <c r="C39" s="177" t="s">
        <v>75</v>
      </c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2" t="str">
        <f t="shared" si="3"/>
        <v/>
      </c>
      <c r="AI39" s="162" t="str">
        <f t="shared" si="4"/>
        <v/>
      </c>
      <c r="AJ39" s="162" t="str">
        <f t="shared" si="5"/>
        <v/>
      </c>
      <c r="AK39" s="162" t="str">
        <f t="shared" si="6"/>
        <v/>
      </c>
      <c r="AL39" s="162">
        <f t="shared" si="7"/>
        <v>0</v>
      </c>
      <c r="AM39" s="20"/>
      <c r="AN39" s="177">
        <v>29</v>
      </c>
      <c r="AO39" s="178" t="s">
        <v>275</v>
      </c>
      <c r="AP39" s="177" t="s">
        <v>75</v>
      </c>
      <c r="AQ39" s="161" t="s">
        <v>296</v>
      </c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 t="s">
        <v>296</v>
      </c>
      <c r="BC39" s="161" t="s">
        <v>296</v>
      </c>
      <c r="BD39" s="161"/>
      <c r="BE39" s="161"/>
      <c r="BF39" s="161"/>
      <c r="BG39" s="161"/>
      <c r="BH39" s="161"/>
      <c r="BI39" s="161"/>
      <c r="BJ39" s="161"/>
      <c r="BK39" s="161" t="s">
        <v>297</v>
      </c>
      <c r="BL39" s="161" t="s">
        <v>296</v>
      </c>
      <c r="BM39" s="161"/>
      <c r="BN39" s="161"/>
      <c r="BO39" s="161"/>
      <c r="BP39" s="161"/>
      <c r="BQ39" s="161"/>
      <c r="BR39" s="161"/>
      <c r="BS39" s="161"/>
      <c r="BT39" s="161"/>
      <c r="BU39" s="162">
        <f t="shared" si="8"/>
        <v>4</v>
      </c>
      <c r="BV39" s="162">
        <f t="shared" si="9"/>
        <v>1</v>
      </c>
      <c r="BW39" s="162" t="str">
        <f t="shared" si="10"/>
        <v/>
      </c>
      <c r="BX39" s="162" t="str">
        <f t="shared" si="11"/>
        <v/>
      </c>
      <c r="BY39" s="162">
        <f t="shared" si="12"/>
        <v>1</v>
      </c>
      <c r="BZ39" s="20"/>
    </row>
    <row r="40" spans="1:78" ht="18" customHeight="1" x14ac:dyDescent="0.3">
      <c r="A40" s="177">
        <v>31</v>
      </c>
      <c r="B40" s="178" t="s">
        <v>234</v>
      </c>
      <c r="C40" s="177" t="s">
        <v>33</v>
      </c>
      <c r="D40" s="161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2" t="str">
        <f t="shared" ref="AH40:AH49" si="14">IF(COUNTIF(D40:AG40,".")=0,"",COUNTIF(D40:AG40,"."))</f>
        <v/>
      </c>
      <c r="AI40" s="162" t="str">
        <f t="shared" ref="AI40:AI49" si="15">IF(COUNTIF(D40:AG40,"S")=0,"",COUNTIF(D40:AG40,"S"))</f>
        <v/>
      </c>
      <c r="AJ40" s="162" t="str">
        <f t="shared" ref="AJ40:AJ49" si="16">IF(COUNTIF(D40:AG40,"I")=0,"",COUNTIF(D40:AG40,"I"))</f>
        <v/>
      </c>
      <c r="AK40" s="162" t="str">
        <f t="shared" ref="AK40:AK49" si="17">IF(COUNTIF(D40:AG40,"A")=0,"",COUNTIF(D40:AG40,"A"))</f>
        <v/>
      </c>
      <c r="AL40" s="162">
        <f t="shared" ref="AL40:AL49" si="18">SUM(AI40:AK40)</f>
        <v>0</v>
      </c>
      <c r="AM40" s="20"/>
      <c r="AN40" s="177">
        <v>30</v>
      </c>
      <c r="AO40" s="178" t="s">
        <v>276</v>
      </c>
      <c r="AP40" s="177" t="s">
        <v>75</v>
      </c>
      <c r="AQ40" s="161" t="s">
        <v>296</v>
      </c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 t="s">
        <v>296</v>
      </c>
      <c r="BD40" s="161"/>
      <c r="BE40" s="161"/>
      <c r="BF40" s="161"/>
      <c r="BG40" s="161"/>
      <c r="BH40" s="161"/>
      <c r="BI40" s="161"/>
      <c r="BJ40" s="161"/>
      <c r="BK40" s="161" t="s">
        <v>296</v>
      </c>
      <c r="BL40" s="161" t="s">
        <v>296</v>
      </c>
      <c r="BM40" s="161"/>
      <c r="BN40" s="161"/>
      <c r="BO40" s="161"/>
      <c r="BP40" s="161"/>
      <c r="BQ40" s="161"/>
      <c r="BR40" s="161"/>
      <c r="BS40" s="161"/>
      <c r="BT40" s="161"/>
      <c r="BU40" s="162">
        <f t="shared" ref="BU40:BU49" si="19">IF(COUNTIF(AQ40:BT40,".")=0,"",COUNTIF(AQ40:BT40,"."))</f>
        <v>4</v>
      </c>
      <c r="BV40" s="162" t="str">
        <f t="shared" ref="BV40:BV49" si="20">IF(COUNTIF(AQ40:BT40,"S")=0,"",COUNTIF(AQ40:BT40,"S"))</f>
        <v/>
      </c>
      <c r="BW40" s="162" t="str">
        <f t="shared" ref="BW40:BW49" si="21">IF(COUNTIF(AQ40:BT40,"I")=0,"",COUNTIF(AQ40:BT40,"I"))</f>
        <v/>
      </c>
      <c r="BX40" s="162" t="str">
        <f t="shared" ref="BX40:BX49" si="22">IF(COUNTIF(AQ40:BT40,"A")=0,"",COUNTIF(AQ40:BT40,"A"))</f>
        <v/>
      </c>
      <c r="BY40" s="162">
        <f t="shared" ref="BY40:BY49" si="23">SUM(BV40:BX40)</f>
        <v>0</v>
      </c>
      <c r="BZ40" s="20"/>
    </row>
    <row r="41" spans="1:78" ht="18" customHeight="1" x14ac:dyDescent="0.3">
      <c r="A41" s="177">
        <v>32</v>
      </c>
      <c r="B41" s="178" t="s">
        <v>235</v>
      </c>
      <c r="C41" s="177" t="s">
        <v>33</v>
      </c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2" t="str">
        <f t="shared" si="14"/>
        <v/>
      </c>
      <c r="AI41" s="162" t="str">
        <f t="shared" si="15"/>
        <v/>
      </c>
      <c r="AJ41" s="162" t="str">
        <f t="shared" si="16"/>
        <v/>
      </c>
      <c r="AK41" s="162" t="str">
        <f t="shared" si="17"/>
        <v/>
      </c>
      <c r="AL41" s="162">
        <f t="shared" si="18"/>
        <v>0</v>
      </c>
      <c r="AM41" s="20"/>
      <c r="AN41" s="177">
        <v>31</v>
      </c>
      <c r="AO41" s="178" t="s">
        <v>277</v>
      </c>
      <c r="AP41" s="177" t="s">
        <v>75</v>
      </c>
      <c r="AQ41" s="161" t="s">
        <v>296</v>
      </c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 t="s">
        <v>296</v>
      </c>
      <c r="BC41" s="161" t="s">
        <v>296</v>
      </c>
      <c r="BD41" s="161"/>
      <c r="BE41" s="161"/>
      <c r="BF41" s="161"/>
      <c r="BG41" s="161"/>
      <c r="BH41" s="161"/>
      <c r="BI41" s="161"/>
      <c r="BJ41" s="161"/>
      <c r="BK41" s="161" t="s">
        <v>296</v>
      </c>
      <c r="BL41" s="161" t="s">
        <v>296</v>
      </c>
      <c r="BM41" s="161"/>
      <c r="BN41" s="161"/>
      <c r="BO41" s="161"/>
      <c r="BP41" s="161"/>
      <c r="BQ41" s="161"/>
      <c r="BR41" s="161"/>
      <c r="BS41" s="161"/>
      <c r="BT41" s="161"/>
      <c r="BU41" s="162">
        <f t="shared" si="19"/>
        <v>5</v>
      </c>
      <c r="BV41" s="162" t="str">
        <f t="shared" si="20"/>
        <v/>
      </c>
      <c r="BW41" s="162" t="str">
        <f t="shared" si="21"/>
        <v/>
      </c>
      <c r="BX41" s="162" t="str">
        <f t="shared" si="22"/>
        <v/>
      </c>
      <c r="BY41" s="162">
        <f t="shared" si="23"/>
        <v>0</v>
      </c>
      <c r="BZ41" s="20"/>
    </row>
    <row r="42" spans="1:78" ht="18" customHeight="1" x14ac:dyDescent="0.3">
      <c r="A42" s="177">
        <v>33</v>
      </c>
      <c r="B42" s="178" t="s">
        <v>236</v>
      </c>
      <c r="C42" s="177" t="s">
        <v>75</v>
      </c>
      <c r="D42" s="161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2" t="str">
        <f t="shared" si="14"/>
        <v/>
      </c>
      <c r="AI42" s="162" t="str">
        <f t="shared" si="15"/>
        <v/>
      </c>
      <c r="AJ42" s="162" t="str">
        <f t="shared" si="16"/>
        <v/>
      </c>
      <c r="AK42" s="162" t="str">
        <f t="shared" si="17"/>
        <v/>
      </c>
      <c r="AL42" s="162">
        <f t="shared" si="18"/>
        <v>0</v>
      </c>
      <c r="AM42" s="20"/>
      <c r="AN42" s="177">
        <v>32</v>
      </c>
      <c r="AO42" s="178" t="s">
        <v>278</v>
      </c>
      <c r="AP42" s="177" t="s">
        <v>33</v>
      </c>
      <c r="AQ42" s="161" t="s">
        <v>296</v>
      </c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 t="s">
        <v>296</v>
      </c>
      <c r="BC42" s="161" t="s">
        <v>296</v>
      </c>
      <c r="BD42" s="161"/>
      <c r="BE42" s="161"/>
      <c r="BF42" s="161"/>
      <c r="BG42" s="161"/>
      <c r="BH42" s="161"/>
      <c r="BI42" s="161"/>
      <c r="BJ42" s="161"/>
      <c r="BK42" s="161" t="s">
        <v>296</v>
      </c>
      <c r="BL42" s="161" t="s">
        <v>296</v>
      </c>
      <c r="BM42" s="161"/>
      <c r="BN42" s="161"/>
      <c r="BO42" s="161"/>
      <c r="BP42" s="161"/>
      <c r="BQ42" s="161"/>
      <c r="BR42" s="161"/>
      <c r="BS42" s="161"/>
      <c r="BT42" s="161"/>
      <c r="BU42" s="162">
        <f t="shared" si="19"/>
        <v>5</v>
      </c>
      <c r="BV42" s="162" t="str">
        <f t="shared" si="20"/>
        <v/>
      </c>
      <c r="BW42" s="162" t="str">
        <f t="shared" si="21"/>
        <v/>
      </c>
      <c r="BX42" s="162" t="str">
        <f t="shared" si="22"/>
        <v/>
      </c>
      <c r="BY42" s="162">
        <f t="shared" si="23"/>
        <v>0</v>
      </c>
      <c r="BZ42" s="20"/>
    </row>
    <row r="43" spans="1:78" ht="18" customHeight="1" x14ac:dyDescent="0.3">
      <c r="A43" s="177">
        <v>34</v>
      </c>
      <c r="B43" s="178" t="s">
        <v>237</v>
      </c>
      <c r="C43" s="177" t="s">
        <v>75</v>
      </c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2" t="str">
        <f t="shared" si="14"/>
        <v/>
      </c>
      <c r="AI43" s="162" t="str">
        <f t="shared" si="15"/>
        <v/>
      </c>
      <c r="AJ43" s="162" t="str">
        <f t="shared" si="16"/>
        <v/>
      </c>
      <c r="AK43" s="162" t="str">
        <f t="shared" si="17"/>
        <v/>
      </c>
      <c r="AL43" s="162">
        <f t="shared" si="18"/>
        <v>0</v>
      </c>
      <c r="AM43" s="20"/>
      <c r="AN43" s="177">
        <v>33</v>
      </c>
      <c r="AO43" s="178" t="s">
        <v>279</v>
      </c>
      <c r="AP43" s="177" t="s">
        <v>33</v>
      </c>
      <c r="AQ43" s="161" t="s">
        <v>296</v>
      </c>
      <c r="AR43" s="161"/>
      <c r="AS43" s="161"/>
      <c r="AT43" s="161"/>
      <c r="AU43" s="161"/>
      <c r="AV43" s="161"/>
      <c r="AW43" s="161"/>
      <c r="AX43" s="161"/>
      <c r="AY43" s="161"/>
      <c r="AZ43" s="161"/>
      <c r="BA43" s="161"/>
      <c r="BB43" s="161" t="s">
        <v>296</v>
      </c>
      <c r="BC43" s="161" t="s">
        <v>296</v>
      </c>
      <c r="BD43" s="161"/>
      <c r="BE43" s="161"/>
      <c r="BF43" s="161"/>
      <c r="BG43" s="161"/>
      <c r="BH43" s="161"/>
      <c r="BI43" s="161"/>
      <c r="BJ43" s="161"/>
      <c r="BK43" s="161" t="s">
        <v>296</v>
      </c>
      <c r="BL43" s="161" t="s">
        <v>296</v>
      </c>
      <c r="BM43" s="161"/>
      <c r="BN43" s="161"/>
      <c r="BO43" s="161"/>
      <c r="BP43" s="161"/>
      <c r="BQ43" s="161"/>
      <c r="BR43" s="161"/>
      <c r="BS43" s="161"/>
      <c r="BT43" s="161"/>
      <c r="BU43" s="162">
        <f t="shared" si="19"/>
        <v>5</v>
      </c>
      <c r="BV43" s="162" t="str">
        <f t="shared" si="20"/>
        <v/>
      </c>
      <c r="BW43" s="162" t="str">
        <f t="shared" si="21"/>
        <v/>
      </c>
      <c r="BX43" s="162" t="str">
        <f t="shared" si="22"/>
        <v/>
      </c>
      <c r="BY43" s="162">
        <f t="shared" si="23"/>
        <v>0</v>
      </c>
      <c r="BZ43" s="20"/>
    </row>
    <row r="44" spans="1:78" ht="18" customHeight="1" x14ac:dyDescent="0.3">
      <c r="A44" s="177">
        <v>35</v>
      </c>
      <c r="B44" s="178" t="s">
        <v>238</v>
      </c>
      <c r="C44" s="177" t="s">
        <v>75</v>
      </c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2" t="str">
        <f t="shared" si="14"/>
        <v/>
      </c>
      <c r="AI44" s="162" t="str">
        <f t="shared" si="15"/>
        <v/>
      </c>
      <c r="AJ44" s="162" t="str">
        <f t="shared" si="16"/>
        <v/>
      </c>
      <c r="AK44" s="162" t="str">
        <f t="shared" si="17"/>
        <v/>
      </c>
      <c r="AL44" s="162">
        <f t="shared" si="18"/>
        <v>0</v>
      </c>
      <c r="AM44" s="20"/>
      <c r="AN44" s="177">
        <v>34</v>
      </c>
      <c r="AO44" s="178" t="s">
        <v>280</v>
      </c>
      <c r="AP44" s="177" t="s">
        <v>33</v>
      </c>
      <c r="AQ44" s="161" t="s">
        <v>297</v>
      </c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 t="s">
        <v>296</v>
      </c>
      <c r="BC44" s="161" t="s">
        <v>296</v>
      </c>
      <c r="BD44" s="161"/>
      <c r="BE44" s="161"/>
      <c r="BF44" s="161"/>
      <c r="BG44" s="161"/>
      <c r="BH44" s="161"/>
      <c r="BI44" s="161"/>
      <c r="BJ44" s="161"/>
      <c r="BK44" s="161" t="s">
        <v>296</v>
      </c>
      <c r="BL44" s="161" t="s">
        <v>296</v>
      </c>
      <c r="BM44" s="161"/>
      <c r="BN44" s="161"/>
      <c r="BO44" s="161"/>
      <c r="BP44" s="161"/>
      <c r="BQ44" s="161"/>
      <c r="BR44" s="161"/>
      <c r="BS44" s="161"/>
      <c r="BT44" s="161"/>
      <c r="BU44" s="162">
        <f t="shared" si="19"/>
        <v>4</v>
      </c>
      <c r="BV44" s="162">
        <f t="shared" si="20"/>
        <v>1</v>
      </c>
      <c r="BW44" s="162" t="str">
        <f t="shared" si="21"/>
        <v/>
      </c>
      <c r="BX44" s="162" t="str">
        <f t="shared" si="22"/>
        <v/>
      </c>
      <c r="BY44" s="162">
        <f t="shared" si="23"/>
        <v>1</v>
      </c>
      <c r="BZ44" s="20"/>
    </row>
    <row r="45" spans="1:78" ht="18" customHeight="1" x14ac:dyDescent="0.3">
      <c r="A45" s="177">
        <v>36</v>
      </c>
      <c r="B45" s="178" t="s">
        <v>239</v>
      </c>
      <c r="C45" s="177" t="s">
        <v>33</v>
      </c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2" t="str">
        <f t="shared" si="14"/>
        <v/>
      </c>
      <c r="AI45" s="162" t="str">
        <f t="shared" si="15"/>
        <v/>
      </c>
      <c r="AJ45" s="162" t="str">
        <f t="shared" si="16"/>
        <v/>
      </c>
      <c r="AK45" s="162" t="str">
        <f t="shared" si="17"/>
        <v/>
      </c>
      <c r="AL45" s="162">
        <f t="shared" si="18"/>
        <v>0</v>
      </c>
      <c r="AM45" s="20"/>
      <c r="AN45" s="177">
        <v>35</v>
      </c>
      <c r="AO45" s="178" t="s">
        <v>281</v>
      </c>
      <c r="AP45" s="177" t="s">
        <v>75</v>
      </c>
      <c r="AQ45" s="161" t="s">
        <v>296</v>
      </c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 t="s">
        <v>296</v>
      </c>
      <c r="BC45" s="161" t="s">
        <v>296</v>
      </c>
      <c r="BD45" s="161"/>
      <c r="BE45" s="161"/>
      <c r="BF45" s="161"/>
      <c r="BG45" s="161"/>
      <c r="BH45" s="161"/>
      <c r="BI45" s="161"/>
      <c r="BJ45" s="161"/>
      <c r="BK45" s="161" t="s">
        <v>296</v>
      </c>
      <c r="BL45" s="161" t="s">
        <v>296</v>
      </c>
      <c r="BM45" s="161"/>
      <c r="BN45" s="161"/>
      <c r="BO45" s="161"/>
      <c r="BP45" s="161"/>
      <c r="BQ45" s="161"/>
      <c r="BR45" s="161"/>
      <c r="BS45" s="161"/>
      <c r="BT45" s="161"/>
      <c r="BU45" s="162">
        <f t="shared" si="19"/>
        <v>5</v>
      </c>
      <c r="BV45" s="162" t="str">
        <f t="shared" si="20"/>
        <v/>
      </c>
      <c r="BW45" s="162" t="str">
        <f t="shared" si="21"/>
        <v/>
      </c>
      <c r="BX45" s="162" t="str">
        <f t="shared" si="22"/>
        <v/>
      </c>
      <c r="BY45" s="162">
        <f t="shared" si="23"/>
        <v>0</v>
      </c>
      <c r="BZ45" s="20"/>
    </row>
    <row r="46" spans="1:78" ht="18" customHeight="1" x14ac:dyDescent="0.3">
      <c r="A46" s="177">
        <v>37</v>
      </c>
      <c r="B46" s="178"/>
      <c r="C46" s="177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2" t="str">
        <f t="shared" si="14"/>
        <v/>
      </c>
      <c r="AI46" s="162" t="str">
        <f t="shared" si="15"/>
        <v/>
      </c>
      <c r="AJ46" s="162" t="str">
        <f t="shared" si="16"/>
        <v/>
      </c>
      <c r="AK46" s="162" t="str">
        <f t="shared" si="17"/>
        <v/>
      </c>
      <c r="AL46" s="162">
        <f t="shared" si="18"/>
        <v>0</v>
      </c>
      <c r="AM46" s="20"/>
      <c r="AN46" s="177">
        <v>36</v>
      </c>
      <c r="AO46" s="178" t="s">
        <v>282</v>
      </c>
      <c r="AP46" s="177" t="s">
        <v>33</v>
      </c>
      <c r="AQ46" s="161" t="s">
        <v>296</v>
      </c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 t="s">
        <v>296</v>
      </c>
      <c r="BC46" s="161" t="s">
        <v>296</v>
      </c>
      <c r="BD46" s="161"/>
      <c r="BE46" s="161"/>
      <c r="BF46" s="161"/>
      <c r="BG46" s="161"/>
      <c r="BH46" s="161"/>
      <c r="BI46" s="161"/>
      <c r="BJ46" s="161"/>
      <c r="BK46" s="161" t="s">
        <v>296</v>
      </c>
      <c r="BL46" s="161" t="s">
        <v>296</v>
      </c>
      <c r="BM46" s="161"/>
      <c r="BN46" s="161"/>
      <c r="BO46" s="161"/>
      <c r="BP46" s="161"/>
      <c r="BQ46" s="161"/>
      <c r="BR46" s="161"/>
      <c r="BS46" s="161"/>
      <c r="BT46" s="161"/>
      <c r="BU46" s="162">
        <f t="shared" si="19"/>
        <v>5</v>
      </c>
      <c r="BV46" s="162" t="str">
        <f t="shared" si="20"/>
        <v/>
      </c>
      <c r="BW46" s="162" t="str">
        <f t="shared" si="21"/>
        <v/>
      </c>
      <c r="BX46" s="162" t="str">
        <f t="shared" si="22"/>
        <v/>
      </c>
      <c r="BY46" s="162">
        <f t="shared" si="23"/>
        <v>0</v>
      </c>
      <c r="BZ46" s="20"/>
    </row>
    <row r="47" spans="1:78" ht="18" customHeight="1" x14ac:dyDescent="0.3">
      <c r="A47" s="177">
        <v>38</v>
      </c>
      <c r="B47" s="178"/>
      <c r="C47" s="177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2" t="str">
        <f t="shared" si="14"/>
        <v/>
      </c>
      <c r="AI47" s="162" t="str">
        <f t="shared" si="15"/>
        <v/>
      </c>
      <c r="AJ47" s="162" t="str">
        <f t="shared" si="16"/>
        <v/>
      </c>
      <c r="AK47" s="162" t="str">
        <f t="shared" si="17"/>
        <v/>
      </c>
      <c r="AL47" s="162">
        <f t="shared" si="18"/>
        <v>0</v>
      </c>
      <c r="AM47" s="20"/>
      <c r="AN47" s="177">
        <v>37</v>
      </c>
      <c r="AO47" s="178" t="s">
        <v>283</v>
      </c>
      <c r="AP47" s="177" t="s">
        <v>33</v>
      </c>
      <c r="AQ47" s="161" t="s">
        <v>296</v>
      </c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 t="s">
        <v>296</v>
      </c>
      <c r="BC47" s="161" t="s">
        <v>296</v>
      </c>
      <c r="BD47" s="161"/>
      <c r="BE47" s="161"/>
      <c r="BF47" s="161"/>
      <c r="BG47" s="161"/>
      <c r="BH47" s="161"/>
      <c r="BI47" s="161"/>
      <c r="BJ47" s="161"/>
      <c r="BK47" s="161" t="s">
        <v>296</v>
      </c>
      <c r="BL47" s="161" t="s">
        <v>296</v>
      </c>
      <c r="BM47" s="161"/>
      <c r="BN47" s="161"/>
      <c r="BO47" s="161"/>
      <c r="BP47" s="161"/>
      <c r="BQ47" s="161"/>
      <c r="BR47" s="161"/>
      <c r="BS47" s="161"/>
      <c r="BT47" s="161"/>
      <c r="BU47" s="162">
        <f t="shared" si="19"/>
        <v>5</v>
      </c>
      <c r="BV47" s="162" t="str">
        <f t="shared" si="20"/>
        <v/>
      </c>
      <c r="BW47" s="162" t="str">
        <f t="shared" si="21"/>
        <v/>
      </c>
      <c r="BX47" s="162" t="str">
        <f t="shared" si="22"/>
        <v/>
      </c>
      <c r="BY47" s="162">
        <f t="shared" si="23"/>
        <v>0</v>
      </c>
      <c r="BZ47" s="20"/>
    </row>
    <row r="48" spans="1:78" ht="18" customHeight="1" x14ac:dyDescent="0.3">
      <c r="A48" s="177">
        <v>39</v>
      </c>
      <c r="B48" s="178"/>
      <c r="C48" s="177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2" t="str">
        <f t="shared" si="14"/>
        <v/>
      </c>
      <c r="AI48" s="162" t="str">
        <f t="shared" si="15"/>
        <v/>
      </c>
      <c r="AJ48" s="162" t="str">
        <f t="shared" si="16"/>
        <v/>
      </c>
      <c r="AK48" s="162" t="str">
        <f t="shared" si="17"/>
        <v/>
      </c>
      <c r="AL48" s="162">
        <f t="shared" si="18"/>
        <v>0</v>
      </c>
      <c r="AM48" s="20"/>
      <c r="AN48" s="177">
        <v>38</v>
      </c>
      <c r="AO48" s="178" t="s">
        <v>284</v>
      </c>
      <c r="AP48" s="177" t="s">
        <v>75</v>
      </c>
      <c r="AQ48" s="161" t="s">
        <v>296</v>
      </c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 t="s">
        <v>296</v>
      </c>
      <c r="BC48" s="161" t="s">
        <v>296</v>
      </c>
      <c r="BD48" s="161"/>
      <c r="BE48" s="161"/>
      <c r="BF48" s="161"/>
      <c r="BG48" s="161"/>
      <c r="BH48" s="161"/>
      <c r="BI48" s="161"/>
      <c r="BJ48" s="161"/>
      <c r="BK48" s="161" t="s">
        <v>296</v>
      </c>
      <c r="BL48" s="161" t="s">
        <v>296</v>
      </c>
      <c r="BM48" s="161"/>
      <c r="BN48" s="161"/>
      <c r="BO48" s="161"/>
      <c r="BP48" s="161"/>
      <c r="BQ48" s="161"/>
      <c r="BR48" s="161"/>
      <c r="BS48" s="161"/>
      <c r="BT48" s="161"/>
      <c r="BU48" s="162">
        <f t="shared" si="19"/>
        <v>5</v>
      </c>
      <c r="BV48" s="162" t="str">
        <f t="shared" si="20"/>
        <v/>
      </c>
      <c r="BW48" s="162" t="str">
        <f t="shared" si="21"/>
        <v/>
      </c>
      <c r="BX48" s="162" t="str">
        <f t="shared" si="22"/>
        <v/>
      </c>
      <c r="BY48" s="162">
        <f t="shared" si="23"/>
        <v>0</v>
      </c>
      <c r="BZ48" s="20"/>
    </row>
    <row r="49" spans="1:78" ht="18" customHeight="1" x14ac:dyDescent="0.3">
      <c r="A49" s="177">
        <v>40</v>
      </c>
      <c r="B49" s="178"/>
      <c r="C49" s="177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2" t="str">
        <f t="shared" si="14"/>
        <v/>
      </c>
      <c r="AI49" s="162" t="str">
        <f t="shared" si="15"/>
        <v/>
      </c>
      <c r="AJ49" s="162" t="str">
        <f t="shared" si="16"/>
        <v/>
      </c>
      <c r="AK49" s="162" t="str">
        <f t="shared" si="17"/>
        <v/>
      </c>
      <c r="AL49" s="162">
        <f t="shared" si="18"/>
        <v>0</v>
      </c>
      <c r="AM49" s="20"/>
      <c r="AN49" s="177">
        <v>39</v>
      </c>
      <c r="AO49" s="178" t="s">
        <v>285</v>
      </c>
      <c r="AP49" s="177" t="s">
        <v>33</v>
      </c>
      <c r="AQ49" s="161" t="s">
        <v>296</v>
      </c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 t="s">
        <v>296</v>
      </c>
      <c r="BC49" s="161" t="s">
        <v>296</v>
      </c>
      <c r="BD49" s="161"/>
      <c r="BE49" s="161"/>
      <c r="BF49" s="161"/>
      <c r="BG49" s="161"/>
      <c r="BH49" s="161"/>
      <c r="BI49" s="161"/>
      <c r="BJ49" s="161"/>
      <c r="BK49" s="161" t="s">
        <v>296</v>
      </c>
      <c r="BL49" s="161" t="s">
        <v>296</v>
      </c>
      <c r="BM49" s="161"/>
      <c r="BN49" s="161"/>
      <c r="BO49" s="161"/>
      <c r="BP49" s="161"/>
      <c r="BQ49" s="161"/>
      <c r="BR49" s="161"/>
      <c r="BS49" s="161"/>
      <c r="BT49" s="161"/>
      <c r="BU49" s="162">
        <f t="shared" si="19"/>
        <v>5</v>
      </c>
      <c r="BV49" s="162" t="str">
        <f t="shared" si="20"/>
        <v/>
      </c>
      <c r="BW49" s="162" t="str">
        <f t="shared" si="21"/>
        <v/>
      </c>
      <c r="BX49" s="162" t="str">
        <f t="shared" si="22"/>
        <v/>
      </c>
      <c r="BY49" s="162">
        <f t="shared" si="23"/>
        <v>0</v>
      </c>
      <c r="BZ49" s="20"/>
    </row>
    <row r="50" spans="1:78" ht="18" customHeight="1" x14ac:dyDescent="0.3">
      <c r="A50" s="177">
        <v>41</v>
      </c>
      <c r="B50" s="178"/>
      <c r="C50" s="177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2" t="str">
        <f t="shared" ref="AH50:AH58" si="24">IF(COUNTIF(D50:AG50,".")=0,"",COUNTIF(D50:AG50,"."))</f>
        <v/>
      </c>
      <c r="AI50" s="162" t="str">
        <f t="shared" ref="AI50:AI58" si="25">IF(COUNTIF(D50:AG50,"S")=0,"",COUNTIF(D50:AG50,"S"))</f>
        <v/>
      </c>
      <c r="AJ50" s="162" t="str">
        <f t="shared" ref="AJ50:AJ58" si="26">IF(COUNTIF(D50:AG50,"I")=0,"",COUNTIF(D50:AG50,"I"))</f>
        <v/>
      </c>
      <c r="AK50" s="162" t="str">
        <f t="shared" ref="AK50:AK58" si="27">IF(COUNTIF(D50:AG50,"A")=0,"",COUNTIF(D50:AG50,"A"))</f>
        <v/>
      </c>
      <c r="AL50" s="162">
        <f t="shared" ref="AL50:AL58" si="28">SUM(AI50:AK50)</f>
        <v>0</v>
      </c>
      <c r="AM50" s="20"/>
      <c r="AN50" s="177">
        <v>40</v>
      </c>
      <c r="AO50" s="178" t="s">
        <v>286</v>
      </c>
      <c r="AP50" s="177" t="s">
        <v>75</v>
      </c>
      <c r="AQ50" s="161" t="s">
        <v>296</v>
      </c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 t="s">
        <v>296</v>
      </c>
      <c r="BC50" s="161" t="s">
        <v>296</v>
      </c>
      <c r="BD50" s="161"/>
      <c r="BE50" s="161"/>
      <c r="BF50" s="161"/>
      <c r="BG50" s="161"/>
      <c r="BH50" s="161"/>
      <c r="BI50" s="161"/>
      <c r="BJ50" s="161"/>
      <c r="BK50" s="161" t="s">
        <v>296</v>
      </c>
      <c r="BL50" s="161" t="s">
        <v>297</v>
      </c>
      <c r="BM50" s="161"/>
      <c r="BN50" s="161"/>
      <c r="BO50" s="161"/>
      <c r="BP50" s="161"/>
      <c r="BQ50" s="161"/>
      <c r="BR50" s="161"/>
      <c r="BS50" s="161"/>
      <c r="BT50" s="161"/>
      <c r="BU50" s="162">
        <f t="shared" ref="BU50:BU58" si="29">IF(COUNTIF(AQ50:BT50,".")=0,"",COUNTIF(AQ50:BT50,"."))</f>
        <v>4</v>
      </c>
      <c r="BV50" s="162">
        <f t="shared" ref="BV50:BV58" si="30">IF(COUNTIF(AQ50:BT50,"S")=0,"",COUNTIF(AQ50:BT50,"S"))</f>
        <v>1</v>
      </c>
      <c r="BW50" s="162" t="str">
        <f t="shared" ref="BW50:BW58" si="31">IF(COUNTIF(AQ50:BT50,"I")=0,"",COUNTIF(AQ50:BT50,"I"))</f>
        <v/>
      </c>
      <c r="BX50" s="162" t="str">
        <f t="shared" ref="BX50:BX58" si="32">IF(COUNTIF(AQ50:BT50,"A")=0,"",COUNTIF(AQ50:BT50,"A"))</f>
        <v/>
      </c>
      <c r="BY50" s="162">
        <f t="shared" ref="BY50:BY58" si="33">SUM(BV50:BX50)</f>
        <v>1</v>
      </c>
      <c r="BZ50" s="20"/>
    </row>
    <row r="51" spans="1:78" ht="18" customHeight="1" x14ac:dyDescent="0.3">
      <c r="A51" s="177">
        <v>42</v>
      </c>
      <c r="B51" s="178"/>
      <c r="C51" s="177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2" t="str">
        <f t="shared" si="24"/>
        <v/>
      </c>
      <c r="AI51" s="162" t="str">
        <f t="shared" si="25"/>
        <v/>
      </c>
      <c r="AJ51" s="162" t="str">
        <f t="shared" si="26"/>
        <v/>
      </c>
      <c r="AK51" s="162" t="str">
        <f t="shared" si="27"/>
        <v/>
      </c>
      <c r="AL51" s="162">
        <f t="shared" si="28"/>
        <v>0</v>
      </c>
      <c r="AM51" s="20"/>
      <c r="AN51" s="177">
        <v>41</v>
      </c>
      <c r="AO51" s="178" t="s">
        <v>287</v>
      </c>
      <c r="AP51" s="177" t="s">
        <v>75</v>
      </c>
      <c r="AQ51" s="161" t="s">
        <v>297</v>
      </c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 t="s">
        <v>296</v>
      </c>
      <c r="BC51" s="161" t="s">
        <v>296</v>
      </c>
      <c r="BD51" s="161"/>
      <c r="BE51" s="161"/>
      <c r="BF51" s="161"/>
      <c r="BG51" s="161"/>
      <c r="BH51" s="161"/>
      <c r="BI51" s="161"/>
      <c r="BJ51" s="161"/>
      <c r="BK51" s="161" t="s">
        <v>296</v>
      </c>
      <c r="BL51" s="161" t="s">
        <v>296</v>
      </c>
      <c r="BM51" s="161"/>
      <c r="BN51" s="161"/>
      <c r="BO51" s="161"/>
      <c r="BP51" s="161"/>
      <c r="BQ51" s="161"/>
      <c r="BR51" s="161"/>
      <c r="BS51" s="161"/>
      <c r="BT51" s="161"/>
      <c r="BU51" s="162">
        <f t="shared" si="29"/>
        <v>4</v>
      </c>
      <c r="BV51" s="162">
        <f t="shared" si="30"/>
        <v>1</v>
      </c>
      <c r="BW51" s="162" t="str">
        <f t="shared" si="31"/>
        <v/>
      </c>
      <c r="BX51" s="162" t="str">
        <f t="shared" si="32"/>
        <v/>
      </c>
      <c r="BY51" s="162">
        <f t="shared" si="33"/>
        <v>1</v>
      </c>
      <c r="BZ51" s="20"/>
    </row>
    <row r="52" spans="1:78" ht="18" customHeight="1" x14ac:dyDescent="0.3">
      <c r="A52" s="177">
        <v>44</v>
      </c>
      <c r="B52" s="178"/>
      <c r="C52" s="177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2" t="str">
        <f t="shared" si="24"/>
        <v/>
      </c>
      <c r="AI52" s="162" t="str">
        <f t="shared" si="25"/>
        <v/>
      </c>
      <c r="AJ52" s="162" t="str">
        <f t="shared" si="26"/>
        <v/>
      </c>
      <c r="AK52" s="162" t="str">
        <f t="shared" si="27"/>
        <v/>
      </c>
      <c r="AL52" s="162">
        <f t="shared" si="28"/>
        <v>0</v>
      </c>
      <c r="AM52" s="20"/>
      <c r="AN52" s="177">
        <v>42</v>
      </c>
      <c r="AO52" s="178" t="s">
        <v>288</v>
      </c>
      <c r="AP52" s="177" t="s">
        <v>33</v>
      </c>
      <c r="AQ52" s="161" t="s">
        <v>296</v>
      </c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 t="s">
        <v>296</v>
      </c>
      <c r="BC52" s="161" t="s">
        <v>296</v>
      </c>
      <c r="BD52" s="161"/>
      <c r="BE52" s="161"/>
      <c r="BF52" s="161"/>
      <c r="BG52" s="161"/>
      <c r="BH52" s="161"/>
      <c r="BI52" s="161"/>
      <c r="BJ52" s="161"/>
      <c r="BK52" s="161" t="s">
        <v>296</v>
      </c>
      <c r="BL52" s="161" t="s">
        <v>296</v>
      </c>
      <c r="BM52" s="161"/>
      <c r="BN52" s="161"/>
      <c r="BO52" s="161"/>
      <c r="BP52" s="161"/>
      <c r="BQ52" s="161"/>
      <c r="BR52" s="161"/>
      <c r="BS52" s="161"/>
      <c r="BT52" s="161"/>
      <c r="BU52" s="162">
        <f t="shared" si="29"/>
        <v>5</v>
      </c>
      <c r="BV52" s="162" t="str">
        <f t="shared" si="30"/>
        <v/>
      </c>
      <c r="BW52" s="162" t="str">
        <f t="shared" si="31"/>
        <v/>
      </c>
      <c r="BX52" s="162" t="str">
        <f t="shared" si="32"/>
        <v/>
      </c>
      <c r="BY52" s="162">
        <f t="shared" si="33"/>
        <v>0</v>
      </c>
      <c r="BZ52" s="20"/>
    </row>
    <row r="53" spans="1:78" ht="18" customHeight="1" x14ac:dyDescent="0.3">
      <c r="A53" s="177">
        <v>45</v>
      </c>
      <c r="B53" s="178"/>
      <c r="C53" s="177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2" t="str">
        <f t="shared" si="24"/>
        <v/>
      </c>
      <c r="AI53" s="162" t="str">
        <f t="shared" si="25"/>
        <v/>
      </c>
      <c r="AJ53" s="162" t="str">
        <f t="shared" si="26"/>
        <v/>
      </c>
      <c r="AK53" s="162" t="str">
        <f t="shared" si="27"/>
        <v/>
      </c>
      <c r="AL53" s="162">
        <f t="shared" si="28"/>
        <v>0</v>
      </c>
      <c r="AM53" s="20"/>
      <c r="AN53" s="177">
        <v>43</v>
      </c>
      <c r="AO53" s="178" t="s">
        <v>289</v>
      </c>
      <c r="AP53" s="177" t="s">
        <v>75</v>
      </c>
      <c r="AQ53" s="161" t="s">
        <v>296</v>
      </c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 t="s">
        <v>296</v>
      </c>
      <c r="BC53" s="161" t="s">
        <v>296</v>
      </c>
      <c r="BD53" s="161"/>
      <c r="BE53" s="161"/>
      <c r="BF53" s="161"/>
      <c r="BG53" s="161"/>
      <c r="BH53" s="161"/>
      <c r="BI53" s="161"/>
      <c r="BJ53" s="161"/>
      <c r="BK53" s="161" t="s">
        <v>296</v>
      </c>
      <c r="BL53" s="161" t="s">
        <v>296</v>
      </c>
      <c r="BM53" s="161"/>
      <c r="BN53" s="161"/>
      <c r="BO53" s="161"/>
      <c r="BP53" s="161"/>
      <c r="BQ53" s="161"/>
      <c r="BR53" s="161"/>
      <c r="BS53" s="161"/>
      <c r="BT53" s="161"/>
      <c r="BU53" s="162">
        <f t="shared" si="29"/>
        <v>5</v>
      </c>
      <c r="BV53" s="162" t="str">
        <f t="shared" si="30"/>
        <v/>
      </c>
      <c r="BW53" s="162" t="str">
        <f t="shared" si="31"/>
        <v/>
      </c>
      <c r="BX53" s="162" t="str">
        <f t="shared" si="32"/>
        <v/>
      </c>
      <c r="BY53" s="162">
        <f t="shared" si="33"/>
        <v>0</v>
      </c>
      <c r="BZ53" s="20"/>
    </row>
    <row r="54" spans="1:78" ht="18" customHeight="1" x14ac:dyDescent="0.3">
      <c r="A54" s="177">
        <v>46</v>
      </c>
      <c r="B54" s="178"/>
      <c r="C54" s="177"/>
      <c r="D54" s="161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2" t="str">
        <f t="shared" si="24"/>
        <v/>
      </c>
      <c r="AI54" s="162" t="str">
        <f t="shared" si="25"/>
        <v/>
      </c>
      <c r="AJ54" s="162" t="str">
        <f t="shared" si="26"/>
        <v/>
      </c>
      <c r="AK54" s="162" t="str">
        <f t="shared" si="27"/>
        <v/>
      </c>
      <c r="AL54" s="162">
        <f t="shared" si="28"/>
        <v>0</v>
      </c>
      <c r="AM54" s="20"/>
      <c r="AN54" s="177">
        <v>44</v>
      </c>
      <c r="AO54" s="178" t="s">
        <v>290</v>
      </c>
      <c r="AP54" s="177" t="s">
        <v>75</v>
      </c>
      <c r="AQ54" s="161" t="s">
        <v>296</v>
      </c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 t="s">
        <v>296</v>
      </c>
      <c r="BC54" s="161" t="s">
        <v>296</v>
      </c>
      <c r="BD54" s="161"/>
      <c r="BE54" s="161"/>
      <c r="BF54" s="161"/>
      <c r="BG54" s="161"/>
      <c r="BH54" s="161"/>
      <c r="BI54" s="161"/>
      <c r="BJ54" s="161"/>
      <c r="BK54" s="161" t="s">
        <v>296</v>
      </c>
      <c r="BL54" s="161" t="s">
        <v>296</v>
      </c>
      <c r="BM54" s="161"/>
      <c r="BN54" s="161"/>
      <c r="BO54" s="161"/>
      <c r="BP54" s="161"/>
      <c r="BQ54" s="161"/>
      <c r="BR54" s="161"/>
      <c r="BS54" s="161"/>
      <c r="BT54" s="161"/>
      <c r="BU54" s="162">
        <f t="shared" si="29"/>
        <v>5</v>
      </c>
      <c r="BV54" s="162" t="str">
        <f t="shared" si="30"/>
        <v/>
      </c>
      <c r="BW54" s="162" t="str">
        <f t="shared" si="31"/>
        <v/>
      </c>
      <c r="BX54" s="162" t="str">
        <f t="shared" si="32"/>
        <v/>
      </c>
      <c r="BY54" s="162">
        <f t="shared" si="33"/>
        <v>0</v>
      </c>
      <c r="BZ54" s="20"/>
    </row>
    <row r="55" spans="1:78" ht="18" customHeight="1" x14ac:dyDescent="0.3">
      <c r="A55" s="177">
        <v>47</v>
      </c>
      <c r="B55" s="178"/>
      <c r="C55" s="177"/>
      <c r="D55" s="161"/>
      <c r="E55" s="161"/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2" t="str">
        <f t="shared" si="24"/>
        <v/>
      </c>
      <c r="AI55" s="162" t="str">
        <f t="shared" si="25"/>
        <v/>
      </c>
      <c r="AJ55" s="162" t="str">
        <f t="shared" si="26"/>
        <v/>
      </c>
      <c r="AK55" s="162" t="str">
        <f t="shared" si="27"/>
        <v/>
      </c>
      <c r="AL55" s="162">
        <f t="shared" si="28"/>
        <v>0</v>
      </c>
      <c r="AM55" s="20"/>
      <c r="AN55" s="177">
        <v>45</v>
      </c>
      <c r="AO55" s="178" t="s">
        <v>291</v>
      </c>
      <c r="AP55" s="177" t="s">
        <v>75</v>
      </c>
      <c r="AQ55" s="161" t="s">
        <v>296</v>
      </c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 t="s">
        <v>296</v>
      </c>
      <c r="BC55" s="161" t="s">
        <v>296</v>
      </c>
      <c r="BD55" s="161"/>
      <c r="BE55" s="161"/>
      <c r="BF55" s="161"/>
      <c r="BG55" s="161"/>
      <c r="BH55" s="161"/>
      <c r="BI55" s="161"/>
      <c r="BJ55" s="161"/>
      <c r="BK55" s="161" t="s">
        <v>296</v>
      </c>
      <c r="BL55" s="161" t="s">
        <v>296</v>
      </c>
      <c r="BM55" s="161"/>
      <c r="BN55" s="161"/>
      <c r="BO55" s="161"/>
      <c r="BP55" s="161"/>
      <c r="BQ55" s="161"/>
      <c r="BR55" s="161"/>
      <c r="BS55" s="161"/>
      <c r="BT55" s="161"/>
      <c r="BU55" s="162">
        <f t="shared" si="29"/>
        <v>5</v>
      </c>
      <c r="BV55" s="162" t="str">
        <f t="shared" si="30"/>
        <v/>
      </c>
      <c r="BW55" s="162" t="str">
        <f t="shared" si="31"/>
        <v/>
      </c>
      <c r="BX55" s="162" t="str">
        <f t="shared" si="32"/>
        <v/>
      </c>
      <c r="BY55" s="162">
        <f t="shared" si="33"/>
        <v>0</v>
      </c>
      <c r="BZ55" s="20"/>
    </row>
    <row r="56" spans="1:78" ht="18" customHeight="1" x14ac:dyDescent="0.3">
      <c r="A56" s="177">
        <v>48</v>
      </c>
      <c r="B56" s="178"/>
      <c r="C56" s="177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2" t="str">
        <f t="shared" si="24"/>
        <v/>
      </c>
      <c r="AI56" s="162" t="str">
        <f t="shared" si="25"/>
        <v/>
      </c>
      <c r="AJ56" s="162" t="str">
        <f t="shared" si="26"/>
        <v/>
      </c>
      <c r="AK56" s="162" t="str">
        <f t="shared" si="27"/>
        <v/>
      </c>
      <c r="AL56" s="162">
        <f t="shared" si="28"/>
        <v>0</v>
      </c>
      <c r="AM56" s="20"/>
      <c r="AN56" s="177">
        <v>46</v>
      </c>
      <c r="AO56" s="178" t="s">
        <v>292</v>
      </c>
      <c r="AP56" s="177" t="s">
        <v>33</v>
      </c>
      <c r="AQ56" s="161" t="s">
        <v>296</v>
      </c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 t="s">
        <v>296</v>
      </c>
      <c r="BC56" s="161" t="s">
        <v>296</v>
      </c>
      <c r="BD56" s="161"/>
      <c r="BE56" s="161"/>
      <c r="BF56" s="161"/>
      <c r="BG56" s="161"/>
      <c r="BH56" s="161"/>
      <c r="BI56" s="161"/>
      <c r="BJ56" s="161"/>
      <c r="BK56" s="161" t="s">
        <v>296</v>
      </c>
      <c r="BL56" s="161" t="s">
        <v>296</v>
      </c>
      <c r="BM56" s="161"/>
      <c r="BN56" s="161"/>
      <c r="BO56" s="161"/>
      <c r="BP56" s="161"/>
      <c r="BQ56" s="161"/>
      <c r="BR56" s="161"/>
      <c r="BS56" s="161"/>
      <c r="BT56" s="161"/>
      <c r="BU56" s="162">
        <f t="shared" si="29"/>
        <v>5</v>
      </c>
      <c r="BV56" s="162" t="str">
        <f t="shared" si="30"/>
        <v/>
      </c>
      <c r="BW56" s="162" t="str">
        <f t="shared" si="31"/>
        <v/>
      </c>
      <c r="BX56" s="162" t="str">
        <f t="shared" si="32"/>
        <v/>
      </c>
      <c r="BY56" s="162">
        <f t="shared" si="33"/>
        <v>0</v>
      </c>
      <c r="BZ56" s="20"/>
    </row>
    <row r="57" spans="1:78" ht="18" customHeight="1" x14ac:dyDescent="0.3">
      <c r="A57" s="177">
        <v>49</v>
      </c>
      <c r="B57" s="178"/>
      <c r="C57" s="177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2" t="str">
        <f t="shared" si="24"/>
        <v/>
      </c>
      <c r="AI57" s="162" t="str">
        <f t="shared" si="25"/>
        <v/>
      </c>
      <c r="AJ57" s="162" t="str">
        <f t="shared" si="26"/>
        <v/>
      </c>
      <c r="AK57" s="162" t="str">
        <f t="shared" si="27"/>
        <v/>
      </c>
      <c r="AL57" s="162">
        <f t="shared" si="28"/>
        <v>0</v>
      </c>
      <c r="AM57" s="20"/>
      <c r="AN57" s="177">
        <v>47</v>
      </c>
      <c r="AO57" s="178" t="str">
        <f>CONCATENATE(B57)</f>
        <v/>
      </c>
      <c r="AP57" s="177" t="str">
        <f>CONCATENATE(C57)</f>
        <v/>
      </c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2" t="str">
        <f t="shared" si="29"/>
        <v/>
      </c>
      <c r="BV57" s="162" t="str">
        <f t="shared" si="30"/>
        <v/>
      </c>
      <c r="BW57" s="162" t="str">
        <f t="shared" si="31"/>
        <v/>
      </c>
      <c r="BX57" s="162" t="str">
        <f t="shared" si="32"/>
        <v/>
      </c>
      <c r="BY57" s="162">
        <f t="shared" si="33"/>
        <v>0</v>
      </c>
      <c r="BZ57" s="20"/>
    </row>
    <row r="58" spans="1:78" ht="18" customHeight="1" x14ac:dyDescent="0.3">
      <c r="A58" s="177">
        <v>50</v>
      </c>
      <c r="B58" s="178"/>
      <c r="C58" s="177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2" t="str">
        <f t="shared" si="24"/>
        <v/>
      </c>
      <c r="AI58" s="162" t="str">
        <f t="shared" si="25"/>
        <v/>
      </c>
      <c r="AJ58" s="162" t="str">
        <f t="shared" si="26"/>
        <v/>
      </c>
      <c r="AK58" s="162" t="str">
        <f t="shared" si="27"/>
        <v/>
      </c>
      <c r="AL58" s="162">
        <f t="shared" si="28"/>
        <v>0</v>
      </c>
      <c r="AM58" s="20"/>
      <c r="AN58" s="177">
        <v>48</v>
      </c>
      <c r="AO58" s="178" t="str">
        <f>CONCATENATE(B58)</f>
        <v/>
      </c>
      <c r="AP58" s="177" t="str">
        <f>CONCATENATE(C58)</f>
        <v/>
      </c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2" t="str">
        <f t="shared" si="29"/>
        <v/>
      </c>
      <c r="BV58" s="162" t="str">
        <f t="shared" si="30"/>
        <v/>
      </c>
      <c r="BW58" s="162" t="str">
        <f t="shared" si="31"/>
        <v/>
      </c>
      <c r="BX58" s="162" t="str">
        <f t="shared" si="32"/>
        <v/>
      </c>
      <c r="BY58" s="162">
        <f t="shared" si="33"/>
        <v>0</v>
      </c>
      <c r="BZ58" s="20"/>
    </row>
    <row r="59" spans="1:78" ht="15.6" x14ac:dyDescent="0.3">
      <c r="A59" s="20"/>
      <c r="B59" s="21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1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</row>
    <row r="60" spans="1:78" ht="15.6" x14ac:dyDescent="0.3">
      <c r="A60" s="20"/>
      <c r="B60" s="21" t="s">
        <v>37</v>
      </c>
      <c r="C60" s="20"/>
      <c r="D60" s="20"/>
      <c r="E60" s="20"/>
      <c r="F60" s="20"/>
      <c r="G60" s="21" t="s">
        <v>7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1" t="e">
        <f>#REF!</f>
        <v>#REF!</v>
      </c>
      <c r="AI60" s="20"/>
      <c r="AJ60" s="20"/>
      <c r="AK60" s="20"/>
      <c r="AL60" s="20"/>
      <c r="AM60" s="20"/>
      <c r="AN60" s="20"/>
      <c r="AO60" s="21" t="str">
        <f>CONCATENATE(B60)</f>
        <v>Jumlah Siswa :</v>
      </c>
      <c r="AP60" s="20"/>
      <c r="AQ60" s="20"/>
      <c r="AR60" s="20"/>
      <c r="AS60" s="20"/>
      <c r="AT60" s="21" t="str">
        <f>CONCATENATE(G60)</f>
        <v>Mengetahui,</v>
      </c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1" t="str">
        <f>'Jurnal 10-5'!F106</f>
        <v>Bandung,    Oktober 2026</v>
      </c>
      <c r="BV60" s="20"/>
      <c r="BW60" s="20"/>
      <c r="BX60" s="20"/>
      <c r="BY60" s="20"/>
      <c r="BZ60" s="20"/>
    </row>
    <row r="61" spans="1:78" ht="15.6" x14ac:dyDescent="0.3">
      <c r="A61" s="20"/>
      <c r="B61" s="21" t="s">
        <v>36</v>
      </c>
      <c r="C61" s="20">
        <f>COUNTIF(C11:C58,"L")</f>
        <v>22</v>
      </c>
      <c r="D61" s="20"/>
      <c r="E61" s="20"/>
      <c r="F61" s="20"/>
      <c r="G61" s="21" t="e">
        <f>#REF!</f>
        <v>#REF!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1" t="e">
        <f>#REF!</f>
        <v>#REF!</v>
      </c>
      <c r="AI61" s="20"/>
      <c r="AJ61" s="20"/>
      <c r="AK61" s="20"/>
      <c r="AL61" s="20"/>
      <c r="AM61" s="20"/>
      <c r="AN61" s="20"/>
      <c r="AO61" s="21" t="str">
        <f>CONCATENATE(B61)</f>
        <v>Laki-laki</v>
      </c>
      <c r="AP61" s="20">
        <f>COUNTIF(AP11:AP58,"L")</f>
        <v>22</v>
      </c>
      <c r="AQ61" s="20"/>
      <c r="AR61" s="20"/>
      <c r="AS61" s="20"/>
      <c r="AT61" s="21" t="str">
        <f>'Jurnal 10-5'!B107</f>
        <v>Wali Kelas</v>
      </c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1" t="str">
        <f>'Jurnal 10-5'!F107</f>
        <v>Guru Mata Pelajaran</v>
      </c>
      <c r="BV61" s="20"/>
      <c r="BW61" s="20"/>
      <c r="BX61" s="20"/>
      <c r="BY61" s="20"/>
      <c r="BZ61" s="20"/>
    </row>
    <row r="62" spans="1:78" ht="16.2" thickBot="1" x14ac:dyDescent="0.35">
      <c r="A62" s="20"/>
      <c r="B62" s="31" t="s">
        <v>35</v>
      </c>
      <c r="C62" s="32">
        <f>COUNTIF(C11:C58,"P")</f>
        <v>13</v>
      </c>
      <c r="D62" s="20"/>
      <c r="E62" s="20"/>
      <c r="F62" s="20"/>
      <c r="G62" s="21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1"/>
      <c r="AI62" s="20"/>
      <c r="AJ62" s="20"/>
      <c r="AK62" s="20"/>
      <c r="AL62" s="20"/>
      <c r="AM62" s="20"/>
      <c r="AN62" s="20"/>
      <c r="AO62" s="31" t="str">
        <f>CONCATENATE(B62)</f>
        <v>Perempuan</v>
      </c>
      <c r="AP62" s="32">
        <f>COUNTIF(AP11:AP58,"P")</f>
        <v>24</v>
      </c>
      <c r="AQ62" s="20"/>
      <c r="AR62" s="20"/>
      <c r="AS62" s="20"/>
      <c r="AT62" s="21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1"/>
      <c r="BV62" s="20"/>
      <c r="BW62" s="20"/>
      <c r="BX62" s="20"/>
      <c r="BY62" s="20"/>
      <c r="BZ62" s="20"/>
    </row>
    <row r="63" spans="1:78" ht="15.6" x14ac:dyDescent="0.3">
      <c r="A63" s="20"/>
      <c r="B63" s="21" t="s">
        <v>34</v>
      </c>
      <c r="C63" s="20">
        <f>SUM(C61:C62)</f>
        <v>35</v>
      </c>
      <c r="D63" s="20"/>
      <c r="E63" s="20"/>
      <c r="F63" s="20"/>
      <c r="G63" s="21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1"/>
      <c r="AI63" s="20"/>
      <c r="AJ63" s="20"/>
      <c r="AK63" s="20"/>
      <c r="AL63" s="20"/>
      <c r="AM63" s="20"/>
      <c r="AN63" s="20"/>
      <c r="AO63" s="21" t="str">
        <f>CONCATENATE(B63)</f>
        <v>Total</v>
      </c>
      <c r="AP63" s="20">
        <f>SUM(AP61:AP62)</f>
        <v>46</v>
      </c>
      <c r="AQ63" s="20"/>
      <c r="AR63" s="20"/>
      <c r="AS63" s="20"/>
      <c r="AT63" s="21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1"/>
      <c r="BV63" s="20"/>
      <c r="BW63" s="20"/>
      <c r="BX63" s="20"/>
      <c r="BY63" s="20"/>
      <c r="BZ63" s="20"/>
    </row>
    <row r="64" spans="1:78" ht="15.6" x14ac:dyDescent="0.3">
      <c r="A64" s="20"/>
      <c r="B64" s="21"/>
      <c r="C64" s="20"/>
      <c r="D64" s="20"/>
      <c r="E64" s="20"/>
      <c r="F64" s="20"/>
      <c r="G64" s="21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1"/>
      <c r="AI64" s="20"/>
      <c r="AJ64" s="20"/>
      <c r="AK64" s="20"/>
      <c r="AL64" s="20"/>
      <c r="AM64" s="20"/>
      <c r="AN64" s="20"/>
      <c r="AO64" s="21"/>
      <c r="AP64" s="20"/>
      <c r="AQ64" s="20"/>
      <c r="AR64" s="20"/>
      <c r="AS64" s="20"/>
      <c r="AT64" s="21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1"/>
      <c r="BV64" s="20"/>
      <c r="BW64" s="20"/>
      <c r="BX64" s="20"/>
      <c r="BY64" s="20"/>
      <c r="BZ64" s="20"/>
    </row>
    <row r="65" spans="1:78" ht="15.6" x14ac:dyDescent="0.3">
      <c r="A65" s="20"/>
      <c r="B65" s="21"/>
      <c r="C65" s="20"/>
      <c r="D65" s="20"/>
      <c r="E65" s="20"/>
      <c r="F65" s="20"/>
      <c r="G65" s="22" t="e">
        <f>#REF!</f>
        <v>#REF!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2" t="e">
        <f>#REF!</f>
        <v>#REF!</v>
      </c>
      <c r="AI65" s="20"/>
      <c r="AJ65" s="20"/>
      <c r="AK65" s="20"/>
      <c r="AL65" s="20"/>
      <c r="AM65" s="20"/>
      <c r="AN65" s="20"/>
      <c r="AO65" s="21"/>
      <c r="AP65" s="20"/>
      <c r="AQ65" s="20"/>
      <c r="AR65" s="20"/>
      <c r="AS65" s="20"/>
      <c r="AT65" s="22" t="str">
        <f>'Jurnal 10-5'!B111</f>
        <v>Moch. Maulana Hidayat, S.Pd.</v>
      </c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2" t="str">
        <f>'Jurnal 10-5'!F111</f>
        <v>AHMAD NURSYIFA, S.Kom.</v>
      </c>
      <c r="BV65" s="20"/>
      <c r="BW65" s="20"/>
      <c r="BX65" s="20"/>
      <c r="BY65" s="20"/>
      <c r="BZ65" s="20"/>
    </row>
    <row r="66" spans="1:78" ht="15.6" x14ac:dyDescent="0.3">
      <c r="A66" s="20"/>
      <c r="B66" s="20"/>
      <c r="C66" s="20"/>
      <c r="D66" s="20"/>
      <c r="E66" s="20"/>
      <c r="F66" s="20"/>
      <c r="G66" s="21" t="e">
        <f>#REF!</f>
        <v>#REF!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1" t="e">
        <f>#REF!</f>
        <v>#REF!</v>
      </c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1" t="str">
        <f>'Jurnal 10-5'!B112</f>
        <v>NIP. 199011162024211011</v>
      </c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1" t="str">
        <f>'Jurnal 10-5'!F112</f>
        <v>NIP. -</v>
      </c>
      <c r="BV66" s="20"/>
      <c r="BW66" s="20"/>
      <c r="BX66" s="20"/>
      <c r="BY66" s="20"/>
      <c r="BZ66" s="20"/>
    </row>
    <row r="67" spans="1:78" ht="23.4" hidden="1" x14ac:dyDescent="0.3">
      <c r="A67" s="265" t="str">
        <f t="shared" ref="A67:AL67" si="34">A1</f>
        <v>DAFTAR HADIR SISWA</v>
      </c>
      <c r="B67" s="265">
        <f t="shared" si="34"/>
        <v>0</v>
      </c>
      <c r="C67" s="265">
        <f t="shared" si="34"/>
        <v>0</v>
      </c>
      <c r="D67" s="265">
        <f t="shared" si="34"/>
        <v>0</v>
      </c>
      <c r="E67" s="265">
        <f t="shared" si="34"/>
        <v>0</v>
      </c>
      <c r="F67" s="265">
        <f t="shared" si="34"/>
        <v>0</v>
      </c>
      <c r="G67" s="265">
        <f t="shared" si="34"/>
        <v>0</v>
      </c>
      <c r="H67" s="265">
        <f t="shared" si="34"/>
        <v>0</v>
      </c>
      <c r="I67" s="265">
        <f t="shared" si="34"/>
        <v>0</v>
      </c>
      <c r="J67" s="265">
        <f t="shared" si="34"/>
        <v>0</v>
      </c>
      <c r="K67" s="265">
        <f t="shared" si="34"/>
        <v>0</v>
      </c>
      <c r="L67" s="265">
        <f t="shared" si="34"/>
        <v>0</v>
      </c>
      <c r="M67" s="265">
        <f t="shared" si="34"/>
        <v>0</v>
      </c>
      <c r="N67" s="265">
        <f t="shared" si="34"/>
        <v>0</v>
      </c>
      <c r="O67" s="265">
        <f t="shared" si="34"/>
        <v>0</v>
      </c>
      <c r="P67" s="265">
        <f t="shared" si="34"/>
        <v>0</v>
      </c>
      <c r="Q67" s="265">
        <f t="shared" si="34"/>
        <v>0</v>
      </c>
      <c r="R67" s="265">
        <f t="shared" si="34"/>
        <v>0</v>
      </c>
      <c r="S67" s="265">
        <f t="shared" si="34"/>
        <v>0</v>
      </c>
      <c r="T67" s="265">
        <f t="shared" si="34"/>
        <v>0</v>
      </c>
      <c r="U67" s="265">
        <f t="shared" si="34"/>
        <v>0</v>
      </c>
      <c r="V67" s="265">
        <f t="shared" si="34"/>
        <v>0</v>
      </c>
      <c r="W67" s="265">
        <f t="shared" si="34"/>
        <v>0</v>
      </c>
      <c r="X67" s="265">
        <f t="shared" si="34"/>
        <v>0</v>
      </c>
      <c r="Y67" s="265">
        <f t="shared" si="34"/>
        <v>0</v>
      </c>
      <c r="Z67" s="265">
        <f t="shared" si="34"/>
        <v>0</v>
      </c>
      <c r="AA67" s="265">
        <f t="shared" si="34"/>
        <v>0</v>
      </c>
      <c r="AB67" s="265">
        <f t="shared" si="34"/>
        <v>0</v>
      </c>
      <c r="AC67" s="265">
        <f t="shared" si="34"/>
        <v>0</v>
      </c>
      <c r="AD67" s="265">
        <f t="shared" si="34"/>
        <v>0</v>
      </c>
      <c r="AE67" s="265">
        <f t="shared" si="34"/>
        <v>0</v>
      </c>
      <c r="AF67" s="265">
        <f t="shared" si="34"/>
        <v>0</v>
      </c>
      <c r="AG67" s="265">
        <f t="shared" si="34"/>
        <v>0</v>
      </c>
      <c r="AH67" s="265">
        <f t="shared" si="34"/>
        <v>0</v>
      </c>
      <c r="AI67" s="265">
        <f t="shared" si="34"/>
        <v>0</v>
      </c>
      <c r="AJ67" s="265">
        <f t="shared" si="34"/>
        <v>0</v>
      </c>
      <c r="AK67" s="265">
        <f t="shared" si="34"/>
        <v>0</v>
      </c>
      <c r="AL67" s="265">
        <f t="shared" si="34"/>
        <v>0</v>
      </c>
      <c r="AM67" s="20"/>
      <c r="AN67" s="265" t="str">
        <f>A67</f>
        <v>DAFTAR HADIR SISWA</v>
      </c>
      <c r="AO67" s="265"/>
      <c r="AP67" s="265"/>
      <c r="AQ67" s="265"/>
      <c r="AR67" s="265"/>
      <c r="AS67" s="265"/>
      <c r="AT67" s="265"/>
      <c r="AU67" s="265"/>
      <c r="AV67" s="265"/>
      <c r="AW67" s="265"/>
      <c r="AX67" s="265"/>
      <c r="AY67" s="265"/>
      <c r="AZ67" s="265"/>
      <c r="BA67" s="265"/>
      <c r="BB67" s="265"/>
      <c r="BC67" s="265"/>
      <c r="BD67" s="265"/>
      <c r="BE67" s="265"/>
      <c r="BF67" s="265"/>
      <c r="BG67" s="265"/>
      <c r="BH67" s="265"/>
      <c r="BI67" s="265"/>
      <c r="BJ67" s="265"/>
      <c r="BK67" s="265"/>
      <c r="BL67" s="265"/>
      <c r="BM67" s="265"/>
      <c r="BN67" s="265"/>
      <c r="BO67" s="265"/>
      <c r="BP67" s="265"/>
      <c r="BQ67" s="265"/>
      <c r="BR67" s="265"/>
      <c r="BS67" s="265"/>
      <c r="BT67" s="265"/>
      <c r="BU67" s="265"/>
      <c r="BV67" s="265"/>
      <c r="BW67" s="265"/>
      <c r="BX67" s="265"/>
      <c r="BY67" s="265"/>
      <c r="BZ67" s="20"/>
    </row>
    <row r="68" spans="1:78" ht="23.4" hidden="1" x14ac:dyDescent="0.3">
      <c r="A68" s="265" t="str">
        <f t="shared" ref="A68:AL68" si="35">A2</f>
        <v>SMA NEGERI 15 KOTA BANDUNG</v>
      </c>
      <c r="B68" s="265">
        <f t="shared" si="35"/>
        <v>0</v>
      </c>
      <c r="C68" s="265">
        <f t="shared" si="35"/>
        <v>0</v>
      </c>
      <c r="D68" s="265">
        <f t="shared" si="35"/>
        <v>0</v>
      </c>
      <c r="E68" s="265">
        <f t="shared" si="35"/>
        <v>0</v>
      </c>
      <c r="F68" s="265">
        <f t="shared" si="35"/>
        <v>0</v>
      </c>
      <c r="G68" s="265">
        <f t="shared" si="35"/>
        <v>0</v>
      </c>
      <c r="H68" s="265">
        <f t="shared" si="35"/>
        <v>0</v>
      </c>
      <c r="I68" s="265">
        <f t="shared" si="35"/>
        <v>0</v>
      </c>
      <c r="J68" s="265">
        <f t="shared" si="35"/>
        <v>0</v>
      </c>
      <c r="K68" s="265">
        <f t="shared" si="35"/>
        <v>0</v>
      </c>
      <c r="L68" s="265">
        <f t="shared" si="35"/>
        <v>0</v>
      </c>
      <c r="M68" s="265">
        <f t="shared" si="35"/>
        <v>0</v>
      </c>
      <c r="N68" s="265">
        <f t="shared" si="35"/>
        <v>0</v>
      </c>
      <c r="O68" s="265">
        <f t="shared" si="35"/>
        <v>0</v>
      </c>
      <c r="P68" s="265">
        <f t="shared" si="35"/>
        <v>0</v>
      </c>
      <c r="Q68" s="265">
        <f t="shared" si="35"/>
        <v>0</v>
      </c>
      <c r="R68" s="265">
        <f t="shared" si="35"/>
        <v>0</v>
      </c>
      <c r="S68" s="265">
        <f t="shared" si="35"/>
        <v>0</v>
      </c>
      <c r="T68" s="265">
        <f t="shared" si="35"/>
        <v>0</v>
      </c>
      <c r="U68" s="265">
        <f t="shared" si="35"/>
        <v>0</v>
      </c>
      <c r="V68" s="265">
        <f t="shared" si="35"/>
        <v>0</v>
      </c>
      <c r="W68" s="265">
        <f t="shared" si="35"/>
        <v>0</v>
      </c>
      <c r="X68" s="265">
        <f t="shared" si="35"/>
        <v>0</v>
      </c>
      <c r="Y68" s="265">
        <f t="shared" si="35"/>
        <v>0</v>
      </c>
      <c r="Z68" s="265">
        <f t="shared" si="35"/>
        <v>0</v>
      </c>
      <c r="AA68" s="265">
        <f t="shared" si="35"/>
        <v>0</v>
      </c>
      <c r="AB68" s="265">
        <f t="shared" si="35"/>
        <v>0</v>
      </c>
      <c r="AC68" s="265">
        <f t="shared" si="35"/>
        <v>0</v>
      </c>
      <c r="AD68" s="265">
        <f t="shared" si="35"/>
        <v>0</v>
      </c>
      <c r="AE68" s="265">
        <f t="shared" si="35"/>
        <v>0</v>
      </c>
      <c r="AF68" s="265">
        <f t="shared" si="35"/>
        <v>0</v>
      </c>
      <c r="AG68" s="265">
        <f t="shared" si="35"/>
        <v>0</v>
      </c>
      <c r="AH68" s="265">
        <f t="shared" si="35"/>
        <v>0</v>
      </c>
      <c r="AI68" s="265">
        <f t="shared" si="35"/>
        <v>0</v>
      </c>
      <c r="AJ68" s="265">
        <f t="shared" si="35"/>
        <v>0</v>
      </c>
      <c r="AK68" s="265">
        <f t="shared" si="35"/>
        <v>0</v>
      </c>
      <c r="AL68" s="265">
        <f t="shared" si="35"/>
        <v>0</v>
      </c>
      <c r="AM68" s="20"/>
      <c r="AN68" s="265" t="str">
        <f>A68</f>
        <v>SMA NEGERI 15 KOTA BANDUNG</v>
      </c>
      <c r="AO68" s="265"/>
      <c r="AP68" s="265"/>
      <c r="AQ68" s="265"/>
      <c r="AR68" s="265"/>
      <c r="AS68" s="265"/>
      <c r="AT68" s="265"/>
      <c r="AU68" s="265"/>
      <c r="AV68" s="265"/>
      <c r="AW68" s="265"/>
      <c r="AX68" s="265"/>
      <c r="AY68" s="265"/>
      <c r="AZ68" s="265"/>
      <c r="BA68" s="265"/>
      <c r="BB68" s="265"/>
      <c r="BC68" s="265"/>
      <c r="BD68" s="265"/>
      <c r="BE68" s="265"/>
      <c r="BF68" s="265"/>
      <c r="BG68" s="265"/>
      <c r="BH68" s="265"/>
      <c r="BI68" s="265"/>
      <c r="BJ68" s="265"/>
      <c r="BK68" s="265"/>
      <c r="BL68" s="265"/>
      <c r="BM68" s="265"/>
      <c r="BN68" s="265"/>
      <c r="BO68" s="265"/>
      <c r="BP68" s="265"/>
      <c r="BQ68" s="265"/>
      <c r="BR68" s="265"/>
      <c r="BS68" s="265"/>
      <c r="BT68" s="265"/>
      <c r="BU68" s="265"/>
      <c r="BV68" s="265"/>
      <c r="BW68" s="265"/>
      <c r="BX68" s="265"/>
      <c r="BY68" s="265"/>
      <c r="BZ68" s="20"/>
    </row>
    <row r="69" spans="1:78" ht="23.4" hidden="1" x14ac:dyDescent="0.3">
      <c r="A69" s="265" t="e">
        <f t="shared" ref="A69:AL69" si="36">A3</f>
        <v>#REF!</v>
      </c>
      <c r="B69" s="265">
        <f t="shared" si="36"/>
        <v>0</v>
      </c>
      <c r="C69" s="265">
        <f t="shared" si="36"/>
        <v>0</v>
      </c>
      <c r="D69" s="265">
        <f t="shared" si="36"/>
        <v>0</v>
      </c>
      <c r="E69" s="265">
        <f t="shared" si="36"/>
        <v>0</v>
      </c>
      <c r="F69" s="265">
        <f t="shared" si="36"/>
        <v>0</v>
      </c>
      <c r="G69" s="265">
        <f t="shared" si="36"/>
        <v>0</v>
      </c>
      <c r="H69" s="265">
        <f t="shared" si="36"/>
        <v>0</v>
      </c>
      <c r="I69" s="265">
        <f t="shared" si="36"/>
        <v>0</v>
      </c>
      <c r="J69" s="265">
        <f t="shared" si="36"/>
        <v>0</v>
      </c>
      <c r="K69" s="265">
        <f t="shared" si="36"/>
        <v>0</v>
      </c>
      <c r="L69" s="265">
        <f t="shared" si="36"/>
        <v>0</v>
      </c>
      <c r="M69" s="265">
        <f t="shared" si="36"/>
        <v>0</v>
      </c>
      <c r="N69" s="265">
        <f t="shared" si="36"/>
        <v>0</v>
      </c>
      <c r="O69" s="265">
        <f t="shared" si="36"/>
        <v>0</v>
      </c>
      <c r="P69" s="265">
        <f t="shared" si="36"/>
        <v>0</v>
      </c>
      <c r="Q69" s="265">
        <f t="shared" si="36"/>
        <v>0</v>
      </c>
      <c r="R69" s="265">
        <f t="shared" si="36"/>
        <v>0</v>
      </c>
      <c r="S69" s="265">
        <f t="shared" si="36"/>
        <v>0</v>
      </c>
      <c r="T69" s="265">
        <f t="shared" si="36"/>
        <v>0</v>
      </c>
      <c r="U69" s="265">
        <f t="shared" si="36"/>
        <v>0</v>
      </c>
      <c r="V69" s="265">
        <f t="shared" si="36"/>
        <v>0</v>
      </c>
      <c r="W69" s="265">
        <f t="shared" si="36"/>
        <v>0</v>
      </c>
      <c r="X69" s="265">
        <f t="shared" si="36"/>
        <v>0</v>
      </c>
      <c r="Y69" s="265">
        <f t="shared" si="36"/>
        <v>0</v>
      </c>
      <c r="Z69" s="265">
        <f t="shared" si="36"/>
        <v>0</v>
      </c>
      <c r="AA69" s="265">
        <f t="shared" si="36"/>
        <v>0</v>
      </c>
      <c r="AB69" s="265">
        <f t="shared" si="36"/>
        <v>0</v>
      </c>
      <c r="AC69" s="265">
        <f t="shared" si="36"/>
        <v>0</v>
      </c>
      <c r="AD69" s="265">
        <f t="shared" si="36"/>
        <v>0</v>
      </c>
      <c r="AE69" s="265">
        <f t="shared" si="36"/>
        <v>0</v>
      </c>
      <c r="AF69" s="265">
        <f t="shared" si="36"/>
        <v>0</v>
      </c>
      <c r="AG69" s="265">
        <f t="shared" si="36"/>
        <v>0</v>
      </c>
      <c r="AH69" s="265">
        <f t="shared" si="36"/>
        <v>0</v>
      </c>
      <c r="AI69" s="265">
        <f t="shared" si="36"/>
        <v>0</v>
      </c>
      <c r="AJ69" s="265">
        <f t="shared" si="36"/>
        <v>0</v>
      </c>
      <c r="AK69" s="265">
        <f t="shared" si="36"/>
        <v>0</v>
      </c>
      <c r="AL69" s="265">
        <f t="shared" si="36"/>
        <v>0</v>
      </c>
      <c r="AM69" s="20"/>
      <c r="AN69" s="265" t="e">
        <f>A69</f>
        <v>#REF!</v>
      </c>
      <c r="AO69" s="265"/>
      <c r="AP69" s="265"/>
      <c r="AQ69" s="265"/>
      <c r="AR69" s="265"/>
      <c r="AS69" s="265"/>
      <c r="AT69" s="265"/>
      <c r="AU69" s="265"/>
      <c r="AV69" s="265"/>
      <c r="AW69" s="265"/>
      <c r="AX69" s="265"/>
      <c r="AY69" s="265"/>
      <c r="AZ69" s="265"/>
      <c r="BA69" s="265"/>
      <c r="BB69" s="265"/>
      <c r="BC69" s="265"/>
      <c r="BD69" s="265"/>
      <c r="BE69" s="265"/>
      <c r="BF69" s="265"/>
      <c r="BG69" s="265"/>
      <c r="BH69" s="265"/>
      <c r="BI69" s="265"/>
      <c r="BJ69" s="265"/>
      <c r="BK69" s="265"/>
      <c r="BL69" s="265"/>
      <c r="BM69" s="265"/>
      <c r="BN69" s="265"/>
      <c r="BO69" s="265"/>
      <c r="BP69" s="265"/>
      <c r="BQ69" s="265"/>
      <c r="BR69" s="265"/>
      <c r="BS69" s="265"/>
      <c r="BT69" s="265"/>
      <c r="BU69" s="265"/>
      <c r="BV69" s="265"/>
      <c r="BW69" s="265"/>
      <c r="BX69" s="265"/>
      <c r="BY69" s="265"/>
      <c r="BZ69" s="20"/>
    </row>
    <row r="70" spans="1:78" ht="15.6" hidden="1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</row>
    <row r="71" spans="1:78" ht="15.6" hidden="1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</row>
    <row r="72" spans="1:78" ht="15.6" hidden="1" x14ac:dyDescent="0.3">
      <c r="A72" s="20"/>
      <c r="B72" s="131" t="s">
        <v>43</v>
      </c>
      <c r="C72" s="21" t="str">
        <f>C6</f>
        <v>11-5</v>
      </c>
      <c r="D72" s="21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131" t="s">
        <v>41</v>
      </c>
      <c r="AI72" s="21" t="s">
        <v>152</v>
      </c>
      <c r="AJ72" s="21"/>
      <c r="AK72" s="20"/>
      <c r="AL72" s="20"/>
      <c r="AM72" s="20"/>
      <c r="AN72" s="20"/>
      <c r="AO72" s="131" t="s">
        <v>43</v>
      </c>
      <c r="AP72" s="21" t="str">
        <f>C72</f>
        <v>11-5</v>
      </c>
      <c r="AQ72" s="21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131" t="s">
        <v>41</v>
      </c>
      <c r="BV72" s="21" t="str">
        <f>AI72</f>
        <v>2 (Genap)</v>
      </c>
      <c r="BW72" s="21"/>
      <c r="BX72" s="20"/>
      <c r="BY72" s="20"/>
      <c r="BZ72" s="20"/>
    </row>
    <row r="73" spans="1:78" ht="15.6" hidden="1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</row>
    <row r="74" spans="1:78" ht="18" hidden="1" customHeight="1" x14ac:dyDescent="0.3">
      <c r="A74" s="290" t="str">
        <f t="shared" ref="A74:AL74" si="37">A8</f>
        <v>No</v>
      </c>
      <c r="B74" s="290" t="str">
        <f t="shared" si="37"/>
        <v>Nama</v>
      </c>
      <c r="C74" s="290" t="str">
        <f t="shared" si="37"/>
        <v>JK</v>
      </c>
      <c r="D74" s="290" t="str">
        <f t="shared" si="37"/>
        <v>Tanggal</v>
      </c>
      <c r="E74" s="290">
        <f t="shared" si="37"/>
        <v>0</v>
      </c>
      <c r="F74" s="290">
        <f t="shared" si="37"/>
        <v>0</v>
      </c>
      <c r="G74" s="290">
        <f t="shared" si="37"/>
        <v>0</v>
      </c>
      <c r="H74" s="290">
        <f t="shared" si="37"/>
        <v>0</v>
      </c>
      <c r="I74" s="290">
        <f t="shared" si="37"/>
        <v>0</v>
      </c>
      <c r="J74" s="290">
        <f t="shared" si="37"/>
        <v>0</v>
      </c>
      <c r="K74" s="290">
        <f t="shared" si="37"/>
        <v>0</v>
      </c>
      <c r="L74" s="290">
        <f t="shared" si="37"/>
        <v>0</v>
      </c>
      <c r="M74" s="290">
        <f t="shared" si="37"/>
        <v>0</v>
      </c>
      <c r="N74" s="290">
        <f t="shared" si="37"/>
        <v>0</v>
      </c>
      <c r="O74" s="290">
        <f t="shared" si="37"/>
        <v>0</v>
      </c>
      <c r="P74" s="290">
        <f t="shared" si="37"/>
        <v>0</v>
      </c>
      <c r="Q74" s="290">
        <f t="shared" si="37"/>
        <v>0</v>
      </c>
      <c r="R74" s="290">
        <f t="shared" si="37"/>
        <v>0</v>
      </c>
      <c r="S74" s="290">
        <f t="shared" si="37"/>
        <v>0</v>
      </c>
      <c r="T74" s="290">
        <f t="shared" si="37"/>
        <v>0</v>
      </c>
      <c r="U74" s="290">
        <f t="shared" si="37"/>
        <v>0</v>
      </c>
      <c r="V74" s="290">
        <f t="shared" si="37"/>
        <v>0</v>
      </c>
      <c r="W74" s="290">
        <f t="shared" si="37"/>
        <v>0</v>
      </c>
      <c r="X74" s="290">
        <f t="shared" si="37"/>
        <v>0</v>
      </c>
      <c r="Y74" s="290">
        <f t="shared" si="37"/>
        <v>0</v>
      </c>
      <c r="Z74" s="290">
        <f t="shared" si="37"/>
        <v>0</v>
      </c>
      <c r="AA74" s="290">
        <f t="shared" si="37"/>
        <v>0</v>
      </c>
      <c r="AB74" s="290">
        <f t="shared" si="37"/>
        <v>0</v>
      </c>
      <c r="AC74" s="290">
        <f t="shared" si="37"/>
        <v>0</v>
      </c>
      <c r="AD74" s="290">
        <f t="shared" si="37"/>
        <v>0</v>
      </c>
      <c r="AE74" s="290">
        <f t="shared" si="37"/>
        <v>0</v>
      </c>
      <c r="AF74" s="290">
        <f t="shared" si="37"/>
        <v>0</v>
      </c>
      <c r="AG74" s="290">
        <f t="shared" si="37"/>
        <v>0</v>
      </c>
      <c r="AH74" s="291" t="str">
        <f t="shared" si="37"/>
        <v>Jumlah Hadir</v>
      </c>
      <c r="AI74" s="290" t="str">
        <f t="shared" si="37"/>
        <v>Jumlah Ketidak Hadiran</v>
      </c>
      <c r="AJ74" s="290">
        <f t="shared" si="37"/>
        <v>0</v>
      </c>
      <c r="AK74" s="290">
        <f t="shared" si="37"/>
        <v>0</v>
      </c>
      <c r="AL74" s="290">
        <f t="shared" si="37"/>
        <v>0</v>
      </c>
      <c r="AM74" s="20"/>
      <c r="AN74" s="290" t="s">
        <v>40</v>
      </c>
      <c r="AO74" s="290" t="s">
        <v>39</v>
      </c>
      <c r="AP74" s="290" t="s">
        <v>38</v>
      </c>
      <c r="AQ74" s="290" t="s">
        <v>154</v>
      </c>
      <c r="AR74" s="290"/>
      <c r="AS74" s="290"/>
      <c r="AT74" s="290"/>
      <c r="AU74" s="290"/>
      <c r="AV74" s="290"/>
      <c r="AW74" s="290"/>
      <c r="AX74" s="290"/>
      <c r="AY74" s="290"/>
      <c r="AZ74" s="290"/>
      <c r="BA74" s="290"/>
      <c r="BB74" s="290"/>
      <c r="BC74" s="290"/>
      <c r="BD74" s="290"/>
      <c r="BE74" s="290"/>
      <c r="BF74" s="290"/>
      <c r="BG74" s="290"/>
      <c r="BH74" s="290"/>
      <c r="BI74" s="290"/>
      <c r="BJ74" s="290"/>
      <c r="BK74" s="290"/>
      <c r="BL74" s="290"/>
      <c r="BM74" s="290"/>
      <c r="BN74" s="290"/>
      <c r="BO74" s="290"/>
      <c r="BP74" s="290"/>
      <c r="BQ74" s="290"/>
      <c r="BR74" s="290"/>
      <c r="BS74" s="290"/>
      <c r="BT74" s="290"/>
      <c r="BU74" s="291" t="s">
        <v>162</v>
      </c>
      <c r="BV74" s="290" t="s">
        <v>163</v>
      </c>
      <c r="BW74" s="290"/>
      <c r="BX74" s="290"/>
      <c r="BY74" s="290"/>
      <c r="BZ74" s="20"/>
    </row>
    <row r="75" spans="1:78" ht="34.5" hidden="1" customHeight="1" x14ac:dyDescent="0.3">
      <c r="A75" s="290">
        <f t="shared" ref="A75:C95" si="38">A9</f>
        <v>0</v>
      </c>
      <c r="B75" s="290">
        <f t="shared" si="38"/>
        <v>0</v>
      </c>
      <c r="C75" s="290">
        <f t="shared" si="38"/>
        <v>0</v>
      </c>
      <c r="D75" s="290" t="e">
        <f>IF(AI72="1 (Ganjil)","Juli "&amp;MID(#REF!,1,4),"Januari "&amp;MID(#REF!,6,4))</f>
        <v>#REF!</v>
      </c>
      <c r="E75" s="290"/>
      <c r="F75" s="290"/>
      <c r="G75" s="290"/>
      <c r="H75" s="290"/>
      <c r="I75" s="290"/>
      <c r="J75" s="290"/>
      <c r="K75" s="290"/>
      <c r="L75" s="290"/>
      <c r="M75" s="290"/>
      <c r="N75" s="290" t="e">
        <f>IF(AI72="1 (Ganjil)","Agustus "&amp;MID(#REF!,1,4),"Februari "&amp;MID(#REF!,6,4))</f>
        <v>#REF!</v>
      </c>
      <c r="O75" s="290"/>
      <c r="P75" s="290"/>
      <c r="Q75" s="290"/>
      <c r="R75" s="290"/>
      <c r="S75" s="290"/>
      <c r="T75" s="290"/>
      <c r="U75" s="290"/>
      <c r="V75" s="290"/>
      <c r="W75" s="290"/>
      <c r="X75" s="290" t="e">
        <f>IF(AI72="1 (Ganjil)","September "&amp;MID(#REF!,1,4),"Maret "&amp;MID(#REF!,6,4))</f>
        <v>#REF!</v>
      </c>
      <c r="Y75" s="290"/>
      <c r="Z75" s="290"/>
      <c r="AA75" s="290"/>
      <c r="AB75" s="290"/>
      <c r="AC75" s="290"/>
      <c r="AD75" s="290"/>
      <c r="AE75" s="290"/>
      <c r="AF75" s="290"/>
      <c r="AG75" s="290"/>
      <c r="AH75" s="291">
        <f t="shared" ref="AH75:AL76" si="39">AH9</f>
        <v>0</v>
      </c>
      <c r="AI75" s="290">
        <f t="shared" si="39"/>
        <v>0</v>
      </c>
      <c r="AJ75" s="290">
        <f t="shared" si="39"/>
        <v>0</v>
      </c>
      <c r="AK75" s="290">
        <f t="shared" si="39"/>
        <v>0</v>
      </c>
      <c r="AL75" s="290">
        <f t="shared" si="39"/>
        <v>0</v>
      </c>
      <c r="AM75" s="20"/>
      <c r="AN75" s="290"/>
      <c r="AO75" s="290"/>
      <c r="AP75" s="290"/>
      <c r="AQ75" s="290" t="e">
        <f>IF(AI72="1 (Ganjil)","Oktober "&amp;MID(#REF!,1,4),"April "&amp;MID(#REF!,6,4))</f>
        <v>#REF!</v>
      </c>
      <c r="AR75" s="290"/>
      <c r="AS75" s="290"/>
      <c r="AT75" s="290"/>
      <c r="AU75" s="290"/>
      <c r="AV75" s="290"/>
      <c r="AW75" s="290"/>
      <c r="AX75" s="290"/>
      <c r="AY75" s="290"/>
      <c r="AZ75" s="290"/>
      <c r="BA75" s="290" t="e">
        <f>IF(AI72="1 (Ganjil)","November "&amp;MID(#REF!,1,4),"Mei "&amp;MID(#REF!,6,4))</f>
        <v>#REF!</v>
      </c>
      <c r="BB75" s="290"/>
      <c r="BC75" s="290"/>
      <c r="BD75" s="290"/>
      <c r="BE75" s="290"/>
      <c r="BF75" s="290"/>
      <c r="BG75" s="290"/>
      <c r="BH75" s="290"/>
      <c r="BI75" s="290"/>
      <c r="BJ75" s="290"/>
      <c r="BK75" s="290" t="e">
        <f>IF(AI72="1 (Ganjil)","Desember "&amp;MID(#REF!,1,4),"Juni "&amp;MID(#REF!,6,4))</f>
        <v>#REF!</v>
      </c>
      <c r="BL75" s="290"/>
      <c r="BM75" s="290"/>
      <c r="BN75" s="290"/>
      <c r="BO75" s="290"/>
      <c r="BP75" s="290"/>
      <c r="BQ75" s="290"/>
      <c r="BR75" s="290"/>
      <c r="BS75" s="290"/>
      <c r="BT75" s="290"/>
      <c r="BU75" s="291"/>
      <c r="BV75" s="290"/>
      <c r="BW75" s="290"/>
      <c r="BX75" s="290"/>
      <c r="BY75" s="290"/>
      <c r="BZ75" s="20"/>
    </row>
    <row r="76" spans="1:78" ht="18" hidden="1" customHeight="1" x14ac:dyDescent="0.3">
      <c r="A76" s="290">
        <f t="shared" si="38"/>
        <v>0</v>
      </c>
      <c r="B76" s="290">
        <f t="shared" si="38"/>
        <v>0</v>
      </c>
      <c r="C76" s="290">
        <f t="shared" si="38"/>
        <v>0</v>
      </c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2"/>
      <c r="AG76" s="132"/>
      <c r="AH76" s="291">
        <f t="shared" si="39"/>
        <v>0</v>
      </c>
      <c r="AI76" s="164" t="str">
        <f t="shared" si="39"/>
        <v>Sakit</v>
      </c>
      <c r="AJ76" s="164" t="str">
        <f t="shared" si="39"/>
        <v>Ijin</v>
      </c>
      <c r="AK76" s="164" t="str">
        <f t="shared" si="39"/>
        <v>Alfa</v>
      </c>
      <c r="AL76" s="164" t="str">
        <f t="shared" si="39"/>
        <v>Total</v>
      </c>
      <c r="AM76" s="20"/>
      <c r="AN76" s="290"/>
      <c r="AO76" s="290"/>
      <c r="AP76" s="290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291"/>
      <c r="BV76" s="164" t="s">
        <v>164</v>
      </c>
      <c r="BW76" s="164" t="s">
        <v>165</v>
      </c>
      <c r="BX76" s="164" t="s">
        <v>166</v>
      </c>
      <c r="BY76" s="164" t="s">
        <v>34</v>
      </c>
      <c r="BZ76" s="20"/>
    </row>
    <row r="77" spans="1:78" ht="18" hidden="1" customHeight="1" x14ac:dyDescent="0.3">
      <c r="A77" s="133">
        <f t="shared" si="38"/>
        <v>1</v>
      </c>
      <c r="B77" s="134" t="str">
        <f t="shared" si="38"/>
        <v>ALYA AZ-ZAHRA</v>
      </c>
      <c r="C77" s="133" t="str">
        <f t="shared" si="38"/>
        <v>P</v>
      </c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3" t="str">
        <f t="shared" ref="AH77:AH106" si="40">IF(COUNTIF(D77:AG77,".")=0,"",COUNTIF(D77:AG77,"."))</f>
        <v/>
      </c>
      <c r="AI77" s="133" t="str">
        <f t="shared" ref="AI77:AI106" si="41">IF(COUNTIF(D77:AG77,"S")=0,"",COUNTIF(D77:AG77,"S"))</f>
        <v/>
      </c>
      <c r="AJ77" s="133" t="str">
        <f t="shared" ref="AJ77:AJ106" si="42">IF(COUNTIF(D77:AG77,"I")=0,"",COUNTIF(D77:AG77,"I"))</f>
        <v/>
      </c>
      <c r="AK77" s="133" t="str">
        <f t="shared" ref="AK77:AK106" si="43">IF(COUNTIF(D77:AG77,"A")=0,"",COUNTIF(D77:AG77,"A"))</f>
        <v/>
      </c>
      <c r="AL77" s="133">
        <f t="shared" ref="AL77:AL106" si="44">SUM(AI77:AK77)</f>
        <v>0</v>
      </c>
      <c r="AM77" s="20"/>
      <c r="AN77" s="133">
        <v>1</v>
      </c>
      <c r="AO77" s="134" t="str">
        <f t="shared" ref="AO77:AP106" si="45">IF(B77="","",B77)</f>
        <v>ALYA AZ-ZAHRA</v>
      </c>
      <c r="AP77" s="133" t="str">
        <f t="shared" si="45"/>
        <v>P</v>
      </c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3" t="str">
        <f t="shared" ref="BU77:BU106" si="46">IF(COUNTIF(AQ77:BT77,".")=0,"",COUNTIF(AQ77:BT77,"."))</f>
        <v/>
      </c>
      <c r="BV77" s="133" t="str">
        <f t="shared" ref="BV77:BV106" si="47">IF(COUNTIF(AQ77:BT77,"S")=0,"",COUNTIF(AQ77:BT77,"S"))</f>
        <v/>
      </c>
      <c r="BW77" s="133" t="str">
        <f t="shared" ref="BW77:BW106" si="48">IF(COUNTIF(AQ77:BT77,"I")=0,"",COUNTIF(AQ77:BT77,"I"))</f>
        <v/>
      </c>
      <c r="BX77" s="133" t="str">
        <f t="shared" ref="BX77:BX106" si="49">IF(COUNTIF(AQ77:BT77,"A")=0,"",COUNTIF(AQ77:BT77,"A"))</f>
        <v/>
      </c>
      <c r="BY77" s="133">
        <f t="shared" ref="BY77:BY106" si="50">SUM(BV77:BX77)</f>
        <v>0</v>
      </c>
      <c r="BZ77" s="20"/>
    </row>
    <row r="78" spans="1:78" ht="18" hidden="1" customHeight="1" x14ac:dyDescent="0.3">
      <c r="A78" s="133">
        <f t="shared" si="38"/>
        <v>2</v>
      </c>
      <c r="B78" s="134" t="str">
        <f t="shared" si="38"/>
        <v>ARFA RAZIQ ADAM</v>
      </c>
      <c r="C78" s="133" t="str">
        <f t="shared" si="38"/>
        <v>L</v>
      </c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3" t="str">
        <f t="shared" si="40"/>
        <v/>
      </c>
      <c r="AI78" s="133" t="str">
        <f t="shared" si="41"/>
        <v/>
      </c>
      <c r="AJ78" s="133" t="str">
        <f t="shared" si="42"/>
        <v/>
      </c>
      <c r="AK78" s="133" t="str">
        <f t="shared" si="43"/>
        <v/>
      </c>
      <c r="AL78" s="133">
        <f t="shared" si="44"/>
        <v>0</v>
      </c>
      <c r="AM78" s="20"/>
      <c r="AN78" s="133">
        <v>2</v>
      </c>
      <c r="AO78" s="134" t="str">
        <f t="shared" si="45"/>
        <v>ARFA RAZIQ ADAM</v>
      </c>
      <c r="AP78" s="133" t="str">
        <f t="shared" si="45"/>
        <v>L</v>
      </c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3" t="str">
        <f t="shared" si="46"/>
        <v/>
      </c>
      <c r="BV78" s="133" t="str">
        <f t="shared" si="47"/>
        <v/>
      </c>
      <c r="BW78" s="133" t="str">
        <f t="shared" si="48"/>
        <v/>
      </c>
      <c r="BX78" s="133" t="str">
        <f t="shared" si="49"/>
        <v/>
      </c>
      <c r="BY78" s="133">
        <f t="shared" si="50"/>
        <v>0</v>
      </c>
      <c r="BZ78" s="20"/>
    </row>
    <row r="79" spans="1:78" ht="18" hidden="1" customHeight="1" x14ac:dyDescent="0.3">
      <c r="A79" s="133">
        <f t="shared" si="38"/>
        <v>3</v>
      </c>
      <c r="B79" s="134" t="str">
        <f t="shared" si="38"/>
        <v>ARGADITYA RAHMAN HIRACAHYA</v>
      </c>
      <c r="C79" s="133" t="str">
        <f t="shared" si="38"/>
        <v>L</v>
      </c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3" t="str">
        <f t="shared" si="40"/>
        <v/>
      </c>
      <c r="AI79" s="133" t="str">
        <f t="shared" si="41"/>
        <v/>
      </c>
      <c r="AJ79" s="133" t="str">
        <f t="shared" si="42"/>
        <v/>
      </c>
      <c r="AK79" s="133" t="str">
        <f t="shared" si="43"/>
        <v/>
      </c>
      <c r="AL79" s="133">
        <f t="shared" si="44"/>
        <v>0</v>
      </c>
      <c r="AM79" s="20"/>
      <c r="AN79" s="133">
        <v>3</v>
      </c>
      <c r="AO79" s="134" t="str">
        <f t="shared" si="45"/>
        <v>ARGADITYA RAHMAN HIRACAHYA</v>
      </c>
      <c r="AP79" s="133" t="str">
        <f t="shared" si="45"/>
        <v>L</v>
      </c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3" t="str">
        <f t="shared" si="46"/>
        <v/>
      </c>
      <c r="BV79" s="133" t="str">
        <f t="shared" si="47"/>
        <v/>
      </c>
      <c r="BW79" s="133" t="str">
        <f t="shared" si="48"/>
        <v/>
      </c>
      <c r="BX79" s="133" t="str">
        <f t="shared" si="49"/>
        <v/>
      </c>
      <c r="BY79" s="133">
        <f t="shared" si="50"/>
        <v>0</v>
      </c>
      <c r="BZ79" s="20"/>
    </row>
    <row r="80" spans="1:78" ht="18" hidden="1" customHeight="1" x14ac:dyDescent="0.3">
      <c r="A80" s="133">
        <f t="shared" si="38"/>
        <v>4</v>
      </c>
      <c r="B80" s="134" t="str">
        <f t="shared" si="38"/>
        <v>DAVIN RAISYA PRATAMA</v>
      </c>
      <c r="C80" s="133" t="str">
        <f t="shared" si="38"/>
        <v>L</v>
      </c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3" t="str">
        <f t="shared" si="40"/>
        <v/>
      </c>
      <c r="AI80" s="133" t="str">
        <f t="shared" si="41"/>
        <v/>
      </c>
      <c r="AJ80" s="133" t="str">
        <f t="shared" si="42"/>
        <v/>
      </c>
      <c r="AK80" s="133" t="str">
        <f t="shared" si="43"/>
        <v/>
      </c>
      <c r="AL80" s="133">
        <f t="shared" si="44"/>
        <v>0</v>
      </c>
      <c r="AM80" s="20"/>
      <c r="AN80" s="133">
        <v>4</v>
      </c>
      <c r="AO80" s="134" t="str">
        <f t="shared" si="45"/>
        <v>DAVIN RAISYA PRATAMA</v>
      </c>
      <c r="AP80" s="133" t="str">
        <f t="shared" si="45"/>
        <v>L</v>
      </c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3" t="str">
        <f t="shared" si="46"/>
        <v/>
      </c>
      <c r="BV80" s="133" t="str">
        <f t="shared" si="47"/>
        <v/>
      </c>
      <c r="BW80" s="133" t="str">
        <f t="shared" si="48"/>
        <v/>
      </c>
      <c r="BX80" s="133" t="str">
        <f t="shared" si="49"/>
        <v/>
      </c>
      <c r="BY80" s="133">
        <f t="shared" si="50"/>
        <v>0</v>
      </c>
      <c r="BZ80" s="20"/>
    </row>
    <row r="81" spans="1:78" ht="18" hidden="1" customHeight="1" x14ac:dyDescent="0.3">
      <c r="A81" s="133">
        <f t="shared" si="38"/>
        <v>5</v>
      </c>
      <c r="B81" s="134" t="str">
        <f t="shared" si="38"/>
        <v>DAVINA CHERRYL AGIESYA</v>
      </c>
      <c r="C81" s="133" t="str">
        <f t="shared" si="38"/>
        <v>P</v>
      </c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3" t="str">
        <f t="shared" si="40"/>
        <v/>
      </c>
      <c r="AI81" s="133" t="str">
        <f t="shared" si="41"/>
        <v/>
      </c>
      <c r="AJ81" s="133" t="str">
        <f t="shared" si="42"/>
        <v/>
      </c>
      <c r="AK81" s="133" t="str">
        <f t="shared" si="43"/>
        <v/>
      </c>
      <c r="AL81" s="133">
        <f t="shared" si="44"/>
        <v>0</v>
      </c>
      <c r="AM81" s="20"/>
      <c r="AN81" s="133">
        <v>5</v>
      </c>
      <c r="AO81" s="134" t="str">
        <f t="shared" si="45"/>
        <v>DAVINA CHERRYL AGIESYA</v>
      </c>
      <c r="AP81" s="133" t="str">
        <f t="shared" si="45"/>
        <v>P</v>
      </c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3" t="str">
        <f t="shared" si="46"/>
        <v/>
      </c>
      <c r="BV81" s="133" t="str">
        <f t="shared" si="47"/>
        <v/>
      </c>
      <c r="BW81" s="133" t="str">
        <f t="shared" si="48"/>
        <v/>
      </c>
      <c r="BX81" s="133" t="str">
        <f t="shared" si="49"/>
        <v/>
      </c>
      <c r="BY81" s="133">
        <f t="shared" si="50"/>
        <v>0</v>
      </c>
      <c r="BZ81" s="20"/>
    </row>
    <row r="82" spans="1:78" ht="18" hidden="1" customHeight="1" x14ac:dyDescent="0.3">
      <c r="A82" s="133">
        <f t="shared" si="38"/>
        <v>6</v>
      </c>
      <c r="B82" s="134" t="str">
        <f t="shared" si="38"/>
        <v>FARHAN GARNADI</v>
      </c>
      <c r="C82" s="133" t="str">
        <f t="shared" si="38"/>
        <v>L</v>
      </c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3" t="str">
        <f t="shared" si="40"/>
        <v/>
      </c>
      <c r="AI82" s="133" t="str">
        <f t="shared" si="41"/>
        <v/>
      </c>
      <c r="AJ82" s="133" t="str">
        <f t="shared" si="42"/>
        <v/>
      </c>
      <c r="AK82" s="133" t="str">
        <f t="shared" si="43"/>
        <v/>
      </c>
      <c r="AL82" s="133">
        <f t="shared" si="44"/>
        <v>0</v>
      </c>
      <c r="AM82" s="20"/>
      <c r="AN82" s="133">
        <v>6</v>
      </c>
      <c r="AO82" s="134" t="str">
        <f t="shared" si="45"/>
        <v>FARHAN GARNADI</v>
      </c>
      <c r="AP82" s="133" t="str">
        <f t="shared" si="45"/>
        <v>L</v>
      </c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3" t="str">
        <f t="shared" si="46"/>
        <v/>
      </c>
      <c r="BV82" s="133" t="str">
        <f t="shared" si="47"/>
        <v/>
      </c>
      <c r="BW82" s="133" t="str">
        <f t="shared" si="48"/>
        <v/>
      </c>
      <c r="BX82" s="133" t="str">
        <f t="shared" si="49"/>
        <v/>
      </c>
      <c r="BY82" s="133">
        <f t="shared" si="50"/>
        <v>0</v>
      </c>
      <c r="BZ82" s="20"/>
    </row>
    <row r="83" spans="1:78" ht="18" hidden="1" customHeight="1" x14ac:dyDescent="0.3">
      <c r="A83" s="133">
        <f t="shared" si="38"/>
        <v>7</v>
      </c>
      <c r="B83" s="134" t="str">
        <f t="shared" si="38"/>
        <v>FARID NAUFAL IDLAN</v>
      </c>
      <c r="C83" s="133" t="str">
        <f t="shared" si="38"/>
        <v>L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3" t="str">
        <f t="shared" si="40"/>
        <v/>
      </c>
      <c r="AI83" s="133" t="str">
        <f t="shared" si="41"/>
        <v/>
      </c>
      <c r="AJ83" s="133" t="str">
        <f t="shared" si="42"/>
        <v/>
      </c>
      <c r="AK83" s="133" t="str">
        <f t="shared" si="43"/>
        <v/>
      </c>
      <c r="AL83" s="133">
        <f t="shared" si="44"/>
        <v>0</v>
      </c>
      <c r="AM83" s="20"/>
      <c r="AN83" s="133">
        <v>7</v>
      </c>
      <c r="AO83" s="134" t="str">
        <f t="shared" si="45"/>
        <v>FARID NAUFAL IDLAN</v>
      </c>
      <c r="AP83" s="133" t="str">
        <f t="shared" si="45"/>
        <v>L</v>
      </c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3" t="str">
        <f t="shared" si="46"/>
        <v/>
      </c>
      <c r="BV83" s="133" t="str">
        <f t="shared" si="47"/>
        <v/>
      </c>
      <c r="BW83" s="133" t="str">
        <f t="shared" si="48"/>
        <v/>
      </c>
      <c r="BX83" s="133" t="str">
        <f t="shared" si="49"/>
        <v/>
      </c>
      <c r="BY83" s="133">
        <f t="shared" si="50"/>
        <v>0</v>
      </c>
      <c r="BZ83" s="20"/>
    </row>
    <row r="84" spans="1:78" ht="18" hidden="1" customHeight="1" x14ac:dyDescent="0.3">
      <c r="A84" s="133">
        <f t="shared" si="38"/>
        <v>8</v>
      </c>
      <c r="B84" s="134" t="str">
        <f t="shared" si="38"/>
        <v>FRESHA INDAH ELVIANNISA</v>
      </c>
      <c r="C84" s="133" t="str">
        <f t="shared" si="38"/>
        <v>P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3" t="str">
        <f t="shared" si="40"/>
        <v/>
      </c>
      <c r="AI84" s="133" t="str">
        <f t="shared" si="41"/>
        <v/>
      </c>
      <c r="AJ84" s="133" t="str">
        <f t="shared" si="42"/>
        <v/>
      </c>
      <c r="AK84" s="133" t="str">
        <f t="shared" si="43"/>
        <v/>
      </c>
      <c r="AL84" s="133">
        <f t="shared" si="44"/>
        <v>0</v>
      </c>
      <c r="AM84" s="20"/>
      <c r="AN84" s="133">
        <v>8</v>
      </c>
      <c r="AO84" s="134" t="str">
        <f t="shared" si="45"/>
        <v>FRESHA INDAH ELVIANNISA</v>
      </c>
      <c r="AP84" s="133" t="str">
        <f t="shared" si="45"/>
        <v>P</v>
      </c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3" t="str">
        <f t="shared" si="46"/>
        <v/>
      </c>
      <c r="BV84" s="133" t="str">
        <f t="shared" si="47"/>
        <v/>
      </c>
      <c r="BW84" s="133" t="str">
        <f t="shared" si="48"/>
        <v/>
      </c>
      <c r="BX84" s="133" t="str">
        <f t="shared" si="49"/>
        <v/>
      </c>
      <c r="BY84" s="133">
        <f t="shared" si="50"/>
        <v>0</v>
      </c>
      <c r="BZ84" s="20"/>
    </row>
    <row r="85" spans="1:78" ht="18" hidden="1" customHeight="1" x14ac:dyDescent="0.3">
      <c r="A85" s="133">
        <f t="shared" si="38"/>
        <v>9</v>
      </c>
      <c r="B85" s="134" t="str">
        <f t="shared" si="38"/>
        <v>GHANI YAZID KHAIRI</v>
      </c>
      <c r="C85" s="133" t="str">
        <f t="shared" si="38"/>
        <v>L</v>
      </c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3" t="str">
        <f t="shared" si="40"/>
        <v/>
      </c>
      <c r="AI85" s="133" t="str">
        <f t="shared" si="41"/>
        <v/>
      </c>
      <c r="AJ85" s="133" t="str">
        <f t="shared" si="42"/>
        <v/>
      </c>
      <c r="AK85" s="133" t="str">
        <f t="shared" si="43"/>
        <v/>
      </c>
      <c r="AL85" s="133">
        <f t="shared" si="44"/>
        <v>0</v>
      </c>
      <c r="AM85" s="20"/>
      <c r="AN85" s="133">
        <v>9</v>
      </c>
      <c r="AO85" s="134" t="str">
        <f t="shared" si="45"/>
        <v>GHANI YAZID KHAIRI</v>
      </c>
      <c r="AP85" s="133" t="str">
        <f t="shared" si="45"/>
        <v>L</v>
      </c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3" t="str">
        <f t="shared" si="46"/>
        <v/>
      </c>
      <c r="BV85" s="133" t="str">
        <f t="shared" si="47"/>
        <v/>
      </c>
      <c r="BW85" s="133" t="str">
        <f t="shared" si="48"/>
        <v/>
      </c>
      <c r="BX85" s="133" t="str">
        <f t="shared" si="49"/>
        <v/>
      </c>
      <c r="BY85" s="133">
        <f t="shared" si="50"/>
        <v>0</v>
      </c>
      <c r="BZ85" s="20"/>
    </row>
    <row r="86" spans="1:78" ht="18" hidden="1" customHeight="1" x14ac:dyDescent="0.3">
      <c r="A86" s="133">
        <f t="shared" si="38"/>
        <v>10</v>
      </c>
      <c r="B86" s="134" t="str">
        <f t="shared" si="38"/>
        <v>GUSNI RAMADHANI</v>
      </c>
      <c r="C86" s="133" t="str">
        <f t="shared" si="38"/>
        <v>L</v>
      </c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3" t="str">
        <f t="shared" si="40"/>
        <v/>
      </c>
      <c r="AI86" s="133" t="str">
        <f t="shared" si="41"/>
        <v/>
      </c>
      <c r="AJ86" s="133" t="str">
        <f t="shared" si="42"/>
        <v/>
      </c>
      <c r="AK86" s="133" t="str">
        <f t="shared" si="43"/>
        <v/>
      </c>
      <c r="AL86" s="133">
        <f t="shared" si="44"/>
        <v>0</v>
      </c>
      <c r="AM86" s="20"/>
      <c r="AN86" s="133">
        <v>10</v>
      </c>
      <c r="AO86" s="134" t="str">
        <f t="shared" si="45"/>
        <v>GUSNI RAMADHANI</v>
      </c>
      <c r="AP86" s="133" t="str">
        <f t="shared" si="45"/>
        <v>L</v>
      </c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3" t="str">
        <f t="shared" si="46"/>
        <v/>
      </c>
      <c r="BV86" s="133" t="str">
        <f t="shared" si="47"/>
        <v/>
      </c>
      <c r="BW86" s="133" t="str">
        <f t="shared" si="48"/>
        <v/>
      </c>
      <c r="BX86" s="133" t="str">
        <f t="shared" si="49"/>
        <v/>
      </c>
      <c r="BY86" s="133">
        <f t="shared" si="50"/>
        <v>0</v>
      </c>
      <c r="BZ86" s="20"/>
    </row>
    <row r="87" spans="1:78" ht="18" hidden="1" customHeight="1" x14ac:dyDescent="0.3">
      <c r="A87" s="133">
        <f t="shared" si="38"/>
        <v>11</v>
      </c>
      <c r="B87" s="134" t="str">
        <f t="shared" si="38"/>
        <v>HANIEF AWWAL ABDILLAH</v>
      </c>
      <c r="C87" s="133" t="str">
        <f t="shared" si="38"/>
        <v>L</v>
      </c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3" t="str">
        <f t="shared" si="40"/>
        <v/>
      </c>
      <c r="AI87" s="133" t="str">
        <f t="shared" si="41"/>
        <v/>
      </c>
      <c r="AJ87" s="133" t="str">
        <f t="shared" si="42"/>
        <v/>
      </c>
      <c r="AK87" s="133" t="str">
        <f t="shared" si="43"/>
        <v/>
      </c>
      <c r="AL87" s="133">
        <f t="shared" si="44"/>
        <v>0</v>
      </c>
      <c r="AM87" s="20"/>
      <c r="AN87" s="133">
        <v>11</v>
      </c>
      <c r="AO87" s="134" t="str">
        <f t="shared" si="45"/>
        <v>HANIEF AWWAL ABDILLAH</v>
      </c>
      <c r="AP87" s="133" t="str">
        <f t="shared" si="45"/>
        <v>L</v>
      </c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3" t="str">
        <f t="shared" si="46"/>
        <v/>
      </c>
      <c r="BV87" s="133" t="str">
        <f t="shared" si="47"/>
        <v/>
      </c>
      <c r="BW87" s="133" t="str">
        <f t="shared" si="48"/>
        <v/>
      </c>
      <c r="BX87" s="133" t="str">
        <f t="shared" si="49"/>
        <v/>
      </c>
      <c r="BY87" s="133">
        <f t="shared" si="50"/>
        <v>0</v>
      </c>
      <c r="BZ87" s="20"/>
    </row>
    <row r="88" spans="1:78" ht="18" hidden="1" customHeight="1" x14ac:dyDescent="0.3">
      <c r="A88" s="133">
        <f t="shared" si="38"/>
        <v>12</v>
      </c>
      <c r="B88" s="134" t="str">
        <f t="shared" si="38"/>
        <v>JIBRIL AL FAUZAN PURNADI</v>
      </c>
      <c r="C88" s="133" t="str">
        <f t="shared" si="38"/>
        <v>L</v>
      </c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3" t="str">
        <f t="shared" si="40"/>
        <v/>
      </c>
      <c r="AI88" s="133" t="str">
        <f t="shared" si="41"/>
        <v/>
      </c>
      <c r="AJ88" s="133" t="str">
        <f t="shared" si="42"/>
        <v/>
      </c>
      <c r="AK88" s="133" t="str">
        <f t="shared" si="43"/>
        <v/>
      </c>
      <c r="AL88" s="133">
        <f t="shared" si="44"/>
        <v>0</v>
      </c>
      <c r="AM88" s="20"/>
      <c r="AN88" s="133">
        <v>12</v>
      </c>
      <c r="AO88" s="134" t="str">
        <f t="shared" si="45"/>
        <v>JIBRIL AL FAUZAN PURNADI</v>
      </c>
      <c r="AP88" s="133" t="str">
        <f t="shared" si="45"/>
        <v>L</v>
      </c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3" t="str">
        <f t="shared" si="46"/>
        <v/>
      </c>
      <c r="BV88" s="133" t="str">
        <f t="shared" si="47"/>
        <v/>
      </c>
      <c r="BW88" s="133" t="str">
        <f t="shared" si="48"/>
        <v/>
      </c>
      <c r="BX88" s="133" t="str">
        <f t="shared" si="49"/>
        <v/>
      </c>
      <c r="BY88" s="133">
        <f t="shared" si="50"/>
        <v>0</v>
      </c>
      <c r="BZ88" s="20"/>
    </row>
    <row r="89" spans="1:78" ht="18" hidden="1" customHeight="1" x14ac:dyDescent="0.3">
      <c r="A89" s="133">
        <f t="shared" si="38"/>
        <v>13</v>
      </c>
      <c r="B89" s="134" t="str">
        <f t="shared" si="38"/>
        <v>JULVIKY ARUN KSATRIA</v>
      </c>
      <c r="C89" s="133" t="str">
        <f t="shared" si="38"/>
        <v>L</v>
      </c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3" t="str">
        <f t="shared" si="40"/>
        <v/>
      </c>
      <c r="AI89" s="133" t="str">
        <f t="shared" si="41"/>
        <v/>
      </c>
      <c r="AJ89" s="133" t="str">
        <f t="shared" si="42"/>
        <v/>
      </c>
      <c r="AK89" s="133" t="str">
        <f t="shared" si="43"/>
        <v/>
      </c>
      <c r="AL89" s="133">
        <f t="shared" si="44"/>
        <v>0</v>
      </c>
      <c r="AM89" s="20"/>
      <c r="AN89" s="133">
        <v>13</v>
      </c>
      <c r="AO89" s="134" t="str">
        <f t="shared" si="45"/>
        <v>JULVIKY ARUN KSATRIA</v>
      </c>
      <c r="AP89" s="133" t="str">
        <f t="shared" si="45"/>
        <v>L</v>
      </c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3" t="str">
        <f t="shared" si="46"/>
        <v/>
      </c>
      <c r="BV89" s="133" t="str">
        <f t="shared" si="47"/>
        <v/>
      </c>
      <c r="BW89" s="133" t="str">
        <f t="shared" si="48"/>
        <v/>
      </c>
      <c r="BX89" s="133" t="str">
        <f t="shared" si="49"/>
        <v/>
      </c>
      <c r="BY89" s="133">
        <f t="shared" si="50"/>
        <v>0</v>
      </c>
      <c r="BZ89" s="20"/>
    </row>
    <row r="90" spans="1:78" ht="18" hidden="1" customHeight="1" x14ac:dyDescent="0.3">
      <c r="A90" s="133" t="str">
        <f t="shared" si="38"/>
        <v>P</v>
      </c>
      <c r="B90" s="134" t="str">
        <f t="shared" si="38"/>
        <v>KANIA ALESHA RIFAYA</v>
      </c>
      <c r="C90" s="133" t="str">
        <f t="shared" si="38"/>
        <v>P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3" t="str">
        <f t="shared" si="40"/>
        <v/>
      </c>
      <c r="AI90" s="133" t="str">
        <f t="shared" si="41"/>
        <v/>
      </c>
      <c r="AJ90" s="133" t="str">
        <f t="shared" si="42"/>
        <v/>
      </c>
      <c r="AK90" s="133" t="str">
        <f t="shared" si="43"/>
        <v/>
      </c>
      <c r="AL90" s="133">
        <f t="shared" si="44"/>
        <v>0</v>
      </c>
      <c r="AM90" s="20"/>
      <c r="AN90" s="133">
        <v>14</v>
      </c>
      <c r="AO90" s="134" t="str">
        <f t="shared" si="45"/>
        <v>KANIA ALESHA RIFAYA</v>
      </c>
      <c r="AP90" s="133" t="str">
        <f t="shared" si="45"/>
        <v>P</v>
      </c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3" t="str">
        <f t="shared" si="46"/>
        <v/>
      </c>
      <c r="BV90" s="133" t="str">
        <f t="shared" si="47"/>
        <v/>
      </c>
      <c r="BW90" s="133" t="str">
        <f t="shared" si="48"/>
        <v/>
      </c>
      <c r="BX90" s="133" t="str">
        <f t="shared" si="49"/>
        <v/>
      </c>
      <c r="BY90" s="133">
        <f t="shared" si="50"/>
        <v>0</v>
      </c>
      <c r="BZ90" s="20"/>
    </row>
    <row r="91" spans="1:78" ht="18" hidden="1" customHeight="1" x14ac:dyDescent="0.3">
      <c r="A91" s="133">
        <f t="shared" si="38"/>
        <v>15</v>
      </c>
      <c r="B91" s="134" t="str">
        <f t="shared" si="38"/>
        <v>LINTANG AKASHA DIPUTRA SULAIMAN</v>
      </c>
      <c r="C91" s="133" t="str">
        <f t="shared" si="38"/>
        <v>L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3" t="str">
        <f t="shared" si="40"/>
        <v/>
      </c>
      <c r="AI91" s="133" t="str">
        <f t="shared" si="41"/>
        <v/>
      </c>
      <c r="AJ91" s="133" t="str">
        <f t="shared" si="42"/>
        <v/>
      </c>
      <c r="AK91" s="133" t="str">
        <f t="shared" si="43"/>
        <v/>
      </c>
      <c r="AL91" s="133">
        <f t="shared" si="44"/>
        <v>0</v>
      </c>
      <c r="AM91" s="20"/>
      <c r="AN91" s="133">
        <v>15</v>
      </c>
      <c r="AO91" s="134" t="str">
        <f t="shared" si="45"/>
        <v>LINTANG AKASHA DIPUTRA SULAIMAN</v>
      </c>
      <c r="AP91" s="133" t="str">
        <f t="shared" si="45"/>
        <v>L</v>
      </c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3" t="str">
        <f t="shared" si="46"/>
        <v/>
      </c>
      <c r="BV91" s="133" t="str">
        <f t="shared" si="47"/>
        <v/>
      </c>
      <c r="BW91" s="133" t="str">
        <f t="shared" si="48"/>
        <v/>
      </c>
      <c r="BX91" s="133" t="str">
        <f t="shared" si="49"/>
        <v/>
      </c>
      <c r="BY91" s="133">
        <f t="shared" si="50"/>
        <v>0</v>
      </c>
      <c r="BZ91" s="20"/>
    </row>
    <row r="92" spans="1:78" ht="18" hidden="1" customHeight="1" x14ac:dyDescent="0.3">
      <c r="A92" s="133">
        <f t="shared" si="38"/>
        <v>16</v>
      </c>
      <c r="B92" s="134" t="str">
        <f t="shared" si="38"/>
        <v>MARITZA JESSENIA ZAYYAN</v>
      </c>
      <c r="C92" s="133" t="str">
        <f t="shared" si="38"/>
        <v>P</v>
      </c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3" t="str">
        <f t="shared" si="40"/>
        <v/>
      </c>
      <c r="AI92" s="133" t="str">
        <f t="shared" si="41"/>
        <v/>
      </c>
      <c r="AJ92" s="133" t="str">
        <f t="shared" si="42"/>
        <v/>
      </c>
      <c r="AK92" s="133" t="str">
        <f t="shared" si="43"/>
        <v/>
      </c>
      <c r="AL92" s="133">
        <f t="shared" si="44"/>
        <v>0</v>
      </c>
      <c r="AM92" s="20"/>
      <c r="AN92" s="133">
        <v>16</v>
      </c>
      <c r="AO92" s="134" t="str">
        <f t="shared" si="45"/>
        <v>MARITZA JESSENIA ZAYYAN</v>
      </c>
      <c r="AP92" s="133" t="str">
        <f t="shared" si="45"/>
        <v>P</v>
      </c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3" t="str">
        <f t="shared" si="46"/>
        <v/>
      </c>
      <c r="BV92" s="133" t="str">
        <f t="shared" si="47"/>
        <v/>
      </c>
      <c r="BW92" s="133" t="str">
        <f t="shared" si="48"/>
        <v/>
      </c>
      <c r="BX92" s="133" t="str">
        <f t="shared" si="49"/>
        <v/>
      </c>
      <c r="BY92" s="133">
        <f t="shared" si="50"/>
        <v>0</v>
      </c>
      <c r="BZ92" s="20"/>
    </row>
    <row r="93" spans="1:78" ht="18" hidden="1" customHeight="1" x14ac:dyDescent="0.3">
      <c r="A93" s="133">
        <f t="shared" si="38"/>
        <v>17</v>
      </c>
      <c r="B93" s="134" t="str">
        <f t="shared" si="38"/>
        <v>MARVELINO YAKUB PANDAPOTAN ARITONANG</v>
      </c>
      <c r="C93" s="133" t="str">
        <f t="shared" si="38"/>
        <v>L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3" t="str">
        <f t="shared" si="40"/>
        <v/>
      </c>
      <c r="AI93" s="133" t="str">
        <f t="shared" si="41"/>
        <v/>
      </c>
      <c r="AJ93" s="133" t="str">
        <f t="shared" si="42"/>
        <v/>
      </c>
      <c r="AK93" s="133" t="str">
        <f t="shared" si="43"/>
        <v/>
      </c>
      <c r="AL93" s="133">
        <f t="shared" si="44"/>
        <v>0</v>
      </c>
      <c r="AM93" s="20"/>
      <c r="AN93" s="133">
        <v>17</v>
      </c>
      <c r="AO93" s="134" t="str">
        <f t="shared" si="45"/>
        <v>MARVELINO YAKUB PANDAPOTAN ARITONANG</v>
      </c>
      <c r="AP93" s="133" t="str">
        <f t="shared" si="45"/>
        <v>L</v>
      </c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3" t="str">
        <f t="shared" si="46"/>
        <v/>
      </c>
      <c r="BV93" s="133" t="str">
        <f t="shared" si="47"/>
        <v/>
      </c>
      <c r="BW93" s="133" t="str">
        <f t="shared" si="48"/>
        <v/>
      </c>
      <c r="BX93" s="133" t="str">
        <f t="shared" si="49"/>
        <v/>
      </c>
      <c r="BY93" s="133">
        <f t="shared" si="50"/>
        <v>0</v>
      </c>
      <c r="BZ93" s="20"/>
    </row>
    <row r="94" spans="1:78" ht="18" hidden="1" customHeight="1" x14ac:dyDescent="0.3">
      <c r="A94" s="133">
        <f t="shared" si="38"/>
        <v>18</v>
      </c>
      <c r="B94" s="134" t="str">
        <f t="shared" si="38"/>
        <v>MOSES GABE PARULIAN BUTAR-BUTAR</v>
      </c>
      <c r="C94" s="133" t="str">
        <f t="shared" si="38"/>
        <v>L</v>
      </c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3" t="str">
        <f t="shared" si="40"/>
        <v/>
      </c>
      <c r="AI94" s="133" t="str">
        <f t="shared" si="41"/>
        <v/>
      </c>
      <c r="AJ94" s="133" t="str">
        <f t="shared" si="42"/>
        <v/>
      </c>
      <c r="AK94" s="133" t="str">
        <f t="shared" si="43"/>
        <v/>
      </c>
      <c r="AL94" s="133">
        <f t="shared" si="44"/>
        <v>0</v>
      </c>
      <c r="AM94" s="20"/>
      <c r="AN94" s="133">
        <v>18</v>
      </c>
      <c r="AO94" s="134" t="str">
        <f t="shared" si="45"/>
        <v>MOSES GABE PARULIAN BUTAR-BUTAR</v>
      </c>
      <c r="AP94" s="133" t="str">
        <f t="shared" si="45"/>
        <v>L</v>
      </c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3" t="str">
        <f t="shared" si="46"/>
        <v/>
      </c>
      <c r="BV94" s="133" t="str">
        <f t="shared" si="47"/>
        <v/>
      </c>
      <c r="BW94" s="133" t="str">
        <f t="shared" si="48"/>
        <v/>
      </c>
      <c r="BX94" s="133" t="str">
        <f t="shared" si="49"/>
        <v/>
      </c>
      <c r="BY94" s="133">
        <f t="shared" si="50"/>
        <v>0</v>
      </c>
      <c r="BZ94" s="20"/>
    </row>
    <row r="95" spans="1:78" ht="18" hidden="1" customHeight="1" x14ac:dyDescent="0.3">
      <c r="A95" s="133">
        <f t="shared" si="38"/>
        <v>19</v>
      </c>
      <c r="B95" s="134" t="str">
        <f t="shared" si="38"/>
        <v>MUHAMMAD AKMAL FIRDAUS</v>
      </c>
      <c r="C95" s="133" t="str">
        <f t="shared" si="38"/>
        <v>L</v>
      </c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3" t="str">
        <f t="shared" si="40"/>
        <v/>
      </c>
      <c r="AI95" s="133" t="str">
        <f t="shared" si="41"/>
        <v/>
      </c>
      <c r="AJ95" s="133" t="str">
        <f t="shared" si="42"/>
        <v/>
      </c>
      <c r="AK95" s="133" t="str">
        <f t="shared" si="43"/>
        <v/>
      </c>
      <c r="AL95" s="133">
        <f t="shared" si="44"/>
        <v>0</v>
      </c>
      <c r="AM95" s="20"/>
      <c r="AN95" s="133">
        <v>19</v>
      </c>
      <c r="AO95" s="134" t="str">
        <f t="shared" si="45"/>
        <v>MUHAMMAD AKMAL FIRDAUS</v>
      </c>
      <c r="AP95" s="133" t="str">
        <f t="shared" si="45"/>
        <v>L</v>
      </c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3" t="str">
        <f t="shared" si="46"/>
        <v/>
      </c>
      <c r="BV95" s="133" t="str">
        <f t="shared" si="47"/>
        <v/>
      </c>
      <c r="BW95" s="133" t="str">
        <f t="shared" si="48"/>
        <v/>
      </c>
      <c r="BX95" s="133" t="str">
        <f t="shared" si="49"/>
        <v/>
      </c>
      <c r="BY95" s="133">
        <f t="shared" si="50"/>
        <v>0</v>
      </c>
      <c r="BZ95" s="20"/>
    </row>
    <row r="96" spans="1:78" ht="18" hidden="1" customHeight="1" x14ac:dyDescent="0.3">
      <c r="A96" s="133" t="e">
        <f>#REF!</f>
        <v>#REF!</v>
      </c>
      <c r="B96" s="134" t="e">
        <f>#REF!</f>
        <v>#REF!</v>
      </c>
      <c r="C96" s="133" t="e">
        <f>#REF!</f>
        <v>#REF!</v>
      </c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3" t="str">
        <f t="shared" si="40"/>
        <v/>
      </c>
      <c r="AI96" s="133" t="str">
        <f t="shared" si="41"/>
        <v/>
      </c>
      <c r="AJ96" s="133" t="str">
        <f t="shared" si="42"/>
        <v/>
      </c>
      <c r="AK96" s="133" t="str">
        <f t="shared" si="43"/>
        <v/>
      </c>
      <c r="AL96" s="133">
        <f t="shared" si="44"/>
        <v>0</v>
      </c>
      <c r="AM96" s="20"/>
      <c r="AN96" s="133">
        <v>20</v>
      </c>
      <c r="AO96" s="134" t="e">
        <f t="shared" si="45"/>
        <v>#REF!</v>
      </c>
      <c r="AP96" s="133" t="e">
        <f t="shared" si="45"/>
        <v>#REF!</v>
      </c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3" t="str">
        <f t="shared" si="46"/>
        <v/>
      </c>
      <c r="BV96" s="133" t="str">
        <f t="shared" si="47"/>
        <v/>
      </c>
      <c r="BW96" s="133" t="str">
        <f t="shared" si="48"/>
        <v/>
      </c>
      <c r="BX96" s="133" t="str">
        <f t="shared" si="49"/>
        <v/>
      </c>
      <c r="BY96" s="133">
        <f t="shared" si="50"/>
        <v>0</v>
      </c>
      <c r="BZ96" s="20"/>
    </row>
    <row r="97" spans="1:78" ht="18" hidden="1" customHeight="1" x14ac:dyDescent="0.3">
      <c r="A97" s="133">
        <f t="shared" ref="A97:C118" si="51">A30</f>
        <v>21</v>
      </c>
      <c r="B97" s="134" t="str">
        <f t="shared" si="51"/>
        <v>MUHAMMAD DAFFA ABDILLAH</v>
      </c>
      <c r="C97" s="133" t="str">
        <f t="shared" si="51"/>
        <v>L</v>
      </c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3" t="str">
        <f t="shared" si="40"/>
        <v/>
      </c>
      <c r="AI97" s="133" t="str">
        <f t="shared" si="41"/>
        <v/>
      </c>
      <c r="AJ97" s="133" t="str">
        <f t="shared" si="42"/>
        <v/>
      </c>
      <c r="AK97" s="133" t="str">
        <f t="shared" si="43"/>
        <v/>
      </c>
      <c r="AL97" s="133">
        <f t="shared" si="44"/>
        <v>0</v>
      </c>
      <c r="AM97" s="20"/>
      <c r="AN97" s="133">
        <v>21</v>
      </c>
      <c r="AO97" s="134" t="str">
        <f t="shared" si="45"/>
        <v>MUHAMMAD DAFFA ABDILLAH</v>
      </c>
      <c r="AP97" s="133" t="str">
        <f t="shared" si="45"/>
        <v>L</v>
      </c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3" t="str">
        <f t="shared" si="46"/>
        <v/>
      </c>
      <c r="BV97" s="133" t="str">
        <f t="shared" si="47"/>
        <v/>
      </c>
      <c r="BW97" s="133" t="str">
        <f t="shared" si="48"/>
        <v/>
      </c>
      <c r="BX97" s="133" t="str">
        <f t="shared" si="49"/>
        <v/>
      </c>
      <c r="BY97" s="133">
        <f t="shared" si="50"/>
        <v>0</v>
      </c>
      <c r="BZ97" s="20"/>
    </row>
    <row r="98" spans="1:78" ht="18" hidden="1" customHeight="1" x14ac:dyDescent="0.3">
      <c r="A98" s="133">
        <f t="shared" si="51"/>
        <v>22</v>
      </c>
      <c r="B98" s="134" t="str">
        <f t="shared" si="51"/>
        <v>MUHAMMAD HILMI AD-DZIKRI</v>
      </c>
      <c r="C98" s="133" t="str">
        <f t="shared" si="51"/>
        <v>L</v>
      </c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3" t="str">
        <f t="shared" si="40"/>
        <v/>
      </c>
      <c r="AI98" s="133" t="str">
        <f t="shared" si="41"/>
        <v/>
      </c>
      <c r="AJ98" s="133" t="str">
        <f t="shared" si="42"/>
        <v/>
      </c>
      <c r="AK98" s="133" t="str">
        <f t="shared" si="43"/>
        <v/>
      </c>
      <c r="AL98" s="133">
        <f t="shared" si="44"/>
        <v>0</v>
      </c>
      <c r="AM98" s="20"/>
      <c r="AN98" s="133">
        <v>22</v>
      </c>
      <c r="AO98" s="134" t="str">
        <f t="shared" si="45"/>
        <v>MUHAMMAD HILMI AD-DZIKRI</v>
      </c>
      <c r="AP98" s="133" t="str">
        <f t="shared" si="45"/>
        <v>L</v>
      </c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3" t="str">
        <f t="shared" si="46"/>
        <v/>
      </c>
      <c r="BV98" s="133" t="str">
        <f t="shared" si="47"/>
        <v/>
      </c>
      <c r="BW98" s="133" t="str">
        <f t="shared" si="48"/>
        <v/>
      </c>
      <c r="BX98" s="133" t="str">
        <f t="shared" si="49"/>
        <v/>
      </c>
      <c r="BY98" s="133">
        <f t="shared" si="50"/>
        <v>0</v>
      </c>
      <c r="BZ98" s="20"/>
    </row>
    <row r="99" spans="1:78" ht="18" hidden="1" customHeight="1" x14ac:dyDescent="0.3">
      <c r="A99" s="133">
        <f t="shared" si="51"/>
        <v>23</v>
      </c>
      <c r="B99" s="134" t="str">
        <f t="shared" si="51"/>
        <v>MUHAMMAD SYARIF ROMDHONI</v>
      </c>
      <c r="C99" s="133" t="str">
        <f t="shared" si="51"/>
        <v>L</v>
      </c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3" t="str">
        <f t="shared" si="40"/>
        <v/>
      </c>
      <c r="AI99" s="133" t="str">
        <f t="shared" si="41"/>
        <v/>
      </c>
      <c r="AJ99" s="133" t="str">
        <f t="shared" si="42"/>
        <v/>
      </c>
      <c r="AK99" s="133" t="str">
        <f t="shared" si="43"/>
        <v/>
      </c>
      <c r="AL99" s="133">
        <f t="shared" si="44"/>
        <v>0</v>
      </c>
      <c r="AM99" s="20"/>
      <c r="AN99" s="133">
        <v>23</v>
      </c>
      <c r="AO99" s="134" t="str">
        <f t="shared" si="45"/>
        <v>MUHAMMAD SYARIF ROMDHONI</v>
      </c>
      <c r="AP99" s="133" t="str">
        <f t="shared" si="45"/>
        <v>L</v>
      </c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3" t="str">
        <f t="shared" si="46"/>
        <v/>
      </c>
      <c r="BV99" s="133" t="str">
        <f t="shared" si="47"/>
        <v/>
      </c>
      <c r="BW99" s="133" t="str">
        <f t="shared" si="48"/>
        <v/>
      </c>
      <c r="BX99" s="133" t="str">
        <f t="shared" si="49"/>
        <v/>
      </c>
      <c r="BY99" s="133">
        <f t="shared" si="50"/>
        <v>0</v>
      </c>
      <c r="BZ99" s="20"/>
    </row>
    <row r="100" spans="1:78" ht="18" hidden="1" customHeight="1" x14ac:dyDescent="0.3">
      <c r="A100" s="133">
        <f t="shared" si="51"/>
        <v>24</v>
      </c>
      <c r="B100" s="134" t="str">
        <f t="shared" si="51"/>
        <v>MUTIARA NUR SYIFA</v>
      </c>
      <c r="C100" s="133" t="str">
        <f t="shared" si="51"/>
        <v>P</v>
      </c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3" t="str">
        <f t="shared" si="40"/>
        <v/>
      </c>
      <c r="AI100" s="133" t="str">
        <f t="shared" si="41"/>
        <v/>
      </c>
      <c r="AJ100" s="133" t="str">
        <f t="shared" si="42"/>
        <v/>
      </c>
      <c r="AK100" s="133" t="str">
        <f t="shared" si="43"/>
        <v/>
      </c>
      <c r="AL100" s="133">
        <f t="shared" si="44"/>
        <v>0</v>
      </c>
      <c r="AM100" s="20"/>
      <c r="AN100" s="133">
        <v>24</v>
      </c>
      <c r="AO100" s="134" t="str">
        <f t="shared" si="45"/>
        <v>MUTIARA NUR SYIFA</v>
      </c>
      <c r="AP100" s="133" t="str">
        <f t="shared" si="45"/>
        <v>P</v>
      </c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3" t="str">
        <f t="shared" si="46"/>
        <v/>
      </c>
      <c r="BV100" s="133" t="str">
        <f t="shared" si="47"/>
        <v/>
      </c>
      <c r="BW100" s="133" t="str">
        <f t="shared" si="48"/>
        <v/>
      </c>
      <c r="BX100" s="133" t="str">
        <f t="shared" si="49"/>
        <v/>
      </c>
      <c r="BY100" s="133">
        <f t="shared" si="50"/>
        <v>0</v>
      </c>
      <c r="BZ100" s="20"/>
    </row>
    <row r="101" spans="1:78" ht="18" hidden="1" customHeight="1" x14ac:dyDescent="0.3">
      <c r="A101" s="133">
        <f t="shared" si="51"/>
        <v>25</v>
      </c>
      <c r="B101" s="134" t="str">
        <f t="shared" si="51"/>
        <v>NABIL MOHAMMAD AZMII AKRAM</v>
      </c>
      <c r="C101" s="133" t="str">
        <f t="shared" si="51"/>
        <v>L</v>
      </c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3" t="str">
        <f t="shared" si="40"/>
        <v/>
      </c>
      <c r="AI101" s="133" t="str">
        <f t="shared" si="41"/>
        <v/>
      </c>
      <c r="AJ101" s="133" t="str">
        <f t="shared" si="42"/>
        <v/>
      </c>
      <c r="AK101" s="133" t="str">
        <f t="shared" si="43"/>
        <v/>
      </c>
      <c r="AL101" s="133">
        <f t="shared" si="44"/>
        <v>0</v>
      </c>
      <c r="AM101" s="20"/>
      <c r="AN101" s="133">
        <v>25</v>
      </c>
      <c r="AO101" s="134" t="str">
        <f t="shared" si="45"/>
        <v>NABIL MOHAMMAD AZMII AKRAM</v>
      </c>
      <c r="AP101" s="133" t="str">
        <f t="shared" si="45"/>
        <v>L</v>
      </c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3" t="str">
        <f t="shared" si="46"/>
        <v/>
      </c>
      <c r="BV101" s="133" t="str">
        <f t="shared" si="47"/>
        <v/>
      </c>
      <c r="BW101" s="133" t="str">
        <f t="shared" si="48"/>
        <v/>
      </c>
      <c r="BX101" s="133" t="str">
        <f t="shared" si="49"/>
        <v/>
      </c>
      <c r="BY101" s="133">
        <f t="shared" si="50"/>
        <v>0</v>
      </c>
      <c r="BZ101" s="20"/>
    </row>
    <row r="102" spans="1:78" ht="18" hidden="1" customHeight="1" x14ac:dyDescent="0.3">
      <c r="A102" s="133">
        <f t="shared" si="51"/>
        <v>26</v>
      </c>
      <c r="B102" s="134" t="str">
        <f t="shared" si="51"/>
        <v>NADINE GAZA AULYA</v>
      </c>
      <c r="C102" s="133" t="str">
        <f t="shared" si="51"/>
        <v>P</v>
      </c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3" t="str">
        <f t="shared" si="40"/>
        <v/>
      </c>
      <c r="AI102" s="133" t="str">
        <f t="shared" si="41"/>
        <v/>
      </c>
      <c r="AJ102" s="133" t="str">
        <f t="shared" si="42"/>
        <v/>
      </c>
      <c r="AK102" s="133" t="str">
        <f t="shared" si="43"/>
        <v/>
      </c>
      <c r="AL102" s="133">
        <f t="shared" si="44"/>
        <v>0</v>
      </c>
      <c r="AM102" s="20"/>
      <c r="AN102" s="133">
        <v>26</v>
      </c>
      <c r="AO102" s="134" t="str">
        <f t="shared" si="45"/>
        <v>NADINE GAZA AULYA</v>
      </c>
      <c r="AP102" s="133" t="str">
        <f t="shared" si="45"/>
        <v>P</v>
      </c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3" t="str">
        <f t="shared" si="46"/>
        <v/>
      </c>
      <c r="BV102" s="133" t="str">
        <f t="shared" si="47"/>
        <v/>
      </c>
      <c r="BW102" s="133" t="str">
        <f t="shared" si="48"/>
        <v/>
      </c>
      <c r="BX102" s="133" t="str">
        <f t="shared" si="49"/>
        <v/>
      </c>
      <c r="BY102" s="133">
        <f t="shared" si="50"/>
        <v>0</v>
      </c>
      <c r="BZ102" s="20"/>
    </row>
    <row r="103" spans="1:78" ht="18" hidden="1" customHeight="1" x14ac:dyDescent="0.3">
      <c r="A103" s="133">
        <f t="shared" si="51"/>
        <v>27</v>
      </c>
      <c r="B103" s="134" t="str">
        <f t="shared" si="51"/>
        <v>NIRVANAZIA SARWAHITA AJIWARA</v>
      </c>
      <c r="C103" s="133" t="str">
        <f t="shared" si="51"/>
        <v>P</v>
      </c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3" t="str">
        <f t="shared" si="40"/>
        <v/>
      </c>
      <c r="AI103" s="133" t="str">
        <f t="shared" si="41"/>
        <v/>
      </c>
      <c r="AJ103" s="133" t="str">
        <f t="shared" si="42"/>
        <v/>
      </c>
      <c r="AK103" s="133" t="str">
        <f t="shared" si="43"/>
        <v/>
      </c>
      <c r="AL103" s="133">
        <f t="shared" si="44"/>
        <v>0</v>
      </c>
      <c r="AM103" s="20"/>
      <c r="AN103" s="133">
        <v>27</v>
      </c>
      <c r="AO103" s="134" t="str">
        <f t="shared" si="45"/>
        <v>NIRVANAZIA SARWAHITA AJIWARA</v>
      </c>
      <c r="AP103" s="133" t="str">
        <f t="shared" si="45"/>
        <v>P</v>
      </c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3" t="str">
        <f t="shared" si="46"/>
        <v/>
      </c>
      <c r="BV103" s="133" t="str">
        <f t="shared" si="47"/>
        <v/>
      </c>
      <c r="BW103" s="133" t="str">
        <f t="shared" si="48"/>
        <v/>
      </c>
      <c r="BX103" s="133" t="str">
        <f t="shared" si="49"/>
        <v/>
      </c>
      <c r="BY103" s="133">
        <f t="shared" si="50"/>
        <v>0</v>
      </c>
      <c r="BZ103" s="20"/>
    </row>
    <row r="104" spans="1:78" ht="18" hidden="1" customHeight="1" x14ac:dyDescent="0.3">
      <c r="A104" s="133">
        <f t="shared" si="51"/>
        <v>28</v>
      </c>
      <c r="B104" s="134" t="str">
        <f t="shared" si="51"/>
        <v>PARAS SANDERIANA ARDIAN</v>
      </c>
      <c r="C104" s="133" t="str">
        <f t="shared" si="51"/>
        <v>P</v>
      </c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3" t="str">
        <f t="shared" si="40"/>
        <v/>
      </c>
      <c r="AI104" s="133" t="str">
        <f t="shared" si="41"/>
        <v/>
      </c>
      <c r="AJ104" s="133" t="str">
        <f t="shared" si="42"/>
        <v/>
      </c>
      <c r="AK104" s="133" t="str">
        <f t="shared" si="43"/>
        <v/>
      </c>
      <c r="AL104" s="133">
        <f t="shared" si="44"/>
        <v>0</v>
      </c>
      <c r="AM104" s="20"/>
      <c r="AN104" s="133">
        <v>28</v>
      </c>
      <c r="AO104" s="134" t="str">
        <f t="shared" si="45"/>
        <v>PARAS SANDERIANA ARDIAN</v>
      </c>
      <c r="AP104" s="133" t="str">
        <f t="shared" si="45"/>
        <v>P</v>
      </c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3" t="str">
        <f t="shared" si="46"/>
        <v/>
      </c>
      <c r="BV104" s="133" t="str">
        <f t="shared" si="47"/>
        <v/>
      </c>
      <c r="BW104" s="133" t="str">
        <f t="shared" si="48"/>
        <v/>
      </c>
      <c r="BX104" s="133" t="str">
        <f t="shared" si="49"/>
        <v/>
      </c>
      <c r="BY104" s="133">
        <f t="shared" si="50"/>
        <v>0</v>
      </c>
      <c r="BZ104" s="20"/>
    </row>
    <row r="105" spans="1:78" ht="18" hidden="1" customHeight="1" x14ac:dyDescent="0.3">
      <c r="A105" s="133">
        <f t="shared" si="51"/>
        <v>29</v>
      </c>
      <c r="B105" s="134" t="str">
        <f t="shared" si="51"/>
        <v>RAGIL SARASWATI</v>
      </c>
      <c r="C105" s="133" t="str">
        <f t="shared" si="51"/>
        <v>P</v>
      </c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3" t="str">
        <f t="shared" si="40"/>
        <v/>
      </c>
      <c r="AI105" s="133" t="str">
        <f t="shared" si="41"/>
        <v/>
      </c>
      <c r="AJ105" s="133" t="str">
        <f t="shared" si="42"/>
        <v/>
      </c>
      <c r="AK105" s="133" t="str">
        <f t="shared" si="43"/>
        <v/>
      </c>
      <c r="AL105" s="133">
        <f t="shared" si="44"/>
        <v>0</v>
      </c>
      <c r="AM105" s="20"/>
      <c r="AN105" s="133">
        <v>29</v>
      </c>
      <c r="AO105" s="134" t="str">
        <f t="shared" si="45"/>
        <v>RAGIL SARASWATI</v>
      </c>
      <c r="AP105" s="133" t="str">
        <f t="shared" si="45"/>
        <v>P</v>
      </c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3" t="str">
        <f t="shared" si="46"/>
        <v/>
      </c>
      <c r="BV105" s="133" t="str">
        <f t="shared" si="47"/>
        <v/>
      </c>
      <c r="BW105" s="133" t="str">
        <f t="shared" si="48"/>
        <v/>
      </c>
      <c r="BX105" s="133" t="str">
        <f t="shared" si="49"/>
        <v/>
      </c>
      <c r="BY105" s="133">
        <f t="shared" si="50"/>
        <v>0</v>
      </c>
      <c r="BZ105" s="20"/>
    </row>
    <row r="106" spans="1:78" ht="18" hidden="1" customHeight="1" x14ac:dyDescent="0.3">
      <c r="A106" s="133">
        <f t="shared" si="51"/>
        <v>30</v>
      </c>
      <c r="B106" s="134" t="str">
        <f t="shared" si="51"/>
        <v>RAJWA DANISWARA RUSPANDI</v>
      </c>
      <c r="C106" s="133" t="str">
        <f t="shared" si="51"/>
        <v>L</v>
      </c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3" t="str">
        <f t="shared" si="40"/>
        <v/>
      </c>
      <c r="AI106" s="133" t="str">
        <f t="shared" si="41"/>
        <v/>
      </c>
      <c r="AJ106" s="133" t="str">
        <f t="shared" si="42"/>
        <v/>
      </c>
      <c r="AK106" s="133" t="str">
        <f t="shared" si="43"/>
        <v/>
      </c>
      <c r="AL106" s="133">
        <f t="shared" si="44"/>
        <v>0</v>
      </c>
      <c r="AM106" s="20"/>
      <c r="AN106" s="133">
        <v>30</v>
      </c>
      <c r="AO106" s="134" t="str">
        <f t="shared" si="45"/>
        <v>RAJWA DANISWARA RUSPANDI</v>
      </c>
      <c r="AP106" s="133" t="str">
        <f t="shared" si="45"/>
        <v>L</v>
      </c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3" t="str">
        <f t="shared" si="46"/>
        <v/>
      </c>
      <c r="BV106" s="133" t="str">
        <f t="shared" si="47"/>
        <v/>
      </c>
      <c r="BW106" s="133" t="str">
        <f t="shared" si="48"/>
        <v/>
      </c>
      <c r="BX106" s="133" t="str">
        <f t="shared" si="49"/>
        <v/>
      </c>
      <c r="BY106" s="133">
        <f t="shared" si="50"/>
        <v>0</v>
      </c>
      <c r="BZ106" s="20"/>
    </row>
    <row r="107" spans="1:78" ht="18" hidden="1" customHeight="1" x14ac:dyDescent="0.3">
      <c r="A107" s="133">
        <f t="shared" si="51"/>
        <v>31</v>
      </c>
      <c r="B107" s="134" t="str">
        <f t="shared" si="51"/>
        <v>RITA MAY LUTVIYANI</v>
      </c>
      <c r="C107" s="133" t="str">
        <f t="shared" si="51"/>
        <v>P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3" t="str">
        <f t="shared" ref="AH107:AH116" si="52">IF(COUNTIF(D107:AG107,".")=0,"",COUNTIF(D107:AG107,"."))</f>
        <v/>
      </c>
      <c r="AI107" s="133" t="str">
        <f t="shared" ref="AI107:AI116" si="53">IF(COUNTIF(D107:AG107,"S")=0,"",COUNTIF(D107:AG107,"S"))</f>
        <v/>
      </c>
      <c r="AJ107" s="133" t="str">
        <f t="shared" ref="AJ107:AJ116" si="54">IF(COUNTIF(D107:AG107,"I")=0,"",COUNTIF(D107:AG107,"I"))</f>
        <v/>
      </c>
      <c r="AK107" s="133" t="str">
        <f t="shared" ref="AK107:AK116" si="55">IF(COUNTIF(D107:AG107,"A")=0,"",COUNTIF(D107:AG107,"A"))</f>
        <v/>
      </c>
      <c r="AL107" s="133">
        <f t="shared" ref="AL107:AL116" si="56">SUM(AI107:AK107)</f>
        <v>0</v>
      </c>
      <c r="AM107" s="20"/>
      <c r="AN107" s="133">
        <v>21</v>
      </c>
      <c r="AO107" s="134" t="str">
        <f t="shared" ref="AO107:AO116" si="57">IF(B107="","",B107)</f>
        <v>RITA MAY LUTVIYANI</v>
      </c>
      <c r="AP107" s="133" t="str">
        <f t="shared" ref="AP107:AP116" si="58">IF(C107="","",C107)</f>
        <v>P</v>
      </c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3" t="str">
        <f t="shared" ref="BU107:BU116" si="59">IF(COUNTIF(AQ107:BT107,".")=0,"",COUNTIF(AQ107:BT107,"."))</f>
        <v/>
      </c>
      <c r="BV107" s="133" t="str">
        <f t="shared" ref="BV107:BV116" si="60">IF(COUNTIF(AQ107:BT107,"S")=0,"",COUNTIF(AQ107:BT107,"S"))</f>
        <v/>
      </c>
      <c r="BW107" s="133" t="str">
        <f t="shared" ref="BW107:BW116" si="61">IF(COUNTIF(AQ107:BT107,"I")=0,"",COUNTIF(AQ107:BT107,"I"))</f>
        <v/>
      </c>
      <c r="BX107" s="133" t="str">
        <f t="shared" ref="BX107:BX116" si="62">IF(COUNTIF(AQ107:BT107,"A")=0,"",COUNTIF(AQ107:BT107,"A"))</f>
        <v/>
      </c>
      <c r="BY107" s="133">
        <f t="shared" ref="BY107:BY116" si="63">SUM(BV107:BX107)</f>
        <v>0</v>
      </c>
      <c r="BZ107" s="20"/>
    </row>
    <row r="108" spans="1:78" ht="18" hidden="1" customHeight="1" x14ac:dyDescent="0.3">
      <c r="A108" s="133">
        <f t="shared" si="51"/>
        <v>32</v>
      </c>
      <c r="B108" s="134" t="str">
        <f t="shared" si="51"/>
        <v>RIZKYTA PRAWINA KUSUMA</v>
      </c>
      <c r="C108" s="133" t="str">
        <f t="shared" si="51"/>
        <v>P</v>
      </c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3" t="str">
        <f t="shared" si="52"/>
        <v/>
      </c>
      <c r="AI108" s="133" t="str">
        <f t="shared" si="53"/>
        <v/>
      </c>
      <c r="AJ108" s="133" t="str">
        <f t="shared" si="54"/>
        <v/>
      </c>
      <c r="AK108" s="133" t="str">
        <f t="shared" si="55"/>
        <v/>
      </c>
      <c r="AL108" s="133">
        <f t="shared" si="56"/>
        <v>0</v>
      </c>
      <c r="AM108" s="20"/>
      <c r="AN108" s="133">
        <v>22</v>
      </c>
      <c r="AO108" s="134" t="str">
        <f t="shared" si="57"/>
        <v>RIZKYTA PRAWINA KUSUMA</v>
      </c>
      <c r="AP108" s="133" t="str">
        <f t="shared" si="58"/>
        <v>P</v>
      </c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3" t="str">
        <f t="shared" si="59"/>
        <v/>
      </c>
      <c r="BV108" s="133" t="str">
        <f t="shared" si="60"/>
        <v/>
      </c>
      <c r="BW108" s="133" t="str">
        <f t="shared" si="61"/>
        <v/>
      </c>
      <c r="BX108" s="133" t="str">
        <f t="shared" si="62"/>
        <v/>
      </c>
      <c r="BY108" s="133">
        <f t="shared" si="63"/>
        <v>0</v>
      </c>
      <c r="BZ108" s="20"/>
    </row>
    <row r="109" spans="1:78" ht="18" hidden="1" customHeight="1" x14ac:dyDescent="0.3">
      <c r="A109" s="133">
        <f t="shared" si="51"/>
        <v>33</v>
      </c>
      <c r="B109" s="134" t="str">
        <f t="shared" si="51"/>
        <v>RIZQI FEBRIAN</v>
      </c>
      <c r="C109" s="133" t="str">
        <f t="shared" si="51"/>
        <v>L</v>
      </c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3" t="str">
        <f t="shared" si="52"/>
        <v/>
      </c>
      <c r="AI109" s="133" t="str">
        <f t="shared" si="53"/>
        <v/>
      </c>
      <c r="AJ109" s="133" t="str">
        <f t="shared" si="54"/>
        <v/>
      </c>
      <c r="AK109" s="133" t="str">
        <f t="shared" si="55"/>
        <v/>
      </c>
      <c r="AL109" s="133">
        <f t="shared" si="56"/>
        <v>0</v>
      </c>
      <c r="AM109" s="20"/>
      <c r="AN109" s="133">
        <v>23</v>
      </c>
      <c r="AO109" s="134" t="str">
        <f t="shared" si="57"/>
        <v>RIZQI FEBRIAN</v>
      </c>
      <c r="AP109" s="133" t="str">
        <f t="shared" si="58"/>
        <v>L</v>
      </c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3" t="str">
        <f t="shared" si="59"/>
        <v/>
      </c>
      <c r="BV109" s="133" t="str">
        <f t="shared" si="60"/>
        <v/>
      </c>
      <c r="BW109" s="133" t="str">
        <f t="shared" si="61"/>
        <v/>
      </c>
      <c r="BX109" s="133" t="str">
        <f t="shared" si="62"/>
        <v/>
      </c>
      <c r="BY109" s="133">
        <f t="shared" si="63"/>
        <v>0</v>
      </c>
      <c r="BZ109" s="20"/>
    </row>
    <row r="110" spans="1:78" ht="18" hidden="1" customHeight="1" x14ac:dyDescent="0.3">
      <c r="A110" s="133">
        <f t="shared" si="51"/>
        <v>34</v>
      </c>
      <c r="B110" s="134" t="str">
        <f t="shared" si="51"/>
        <v>SANDRIYA EKA ANDANI</v>
      </c>
      <c r="C110" s="133" t="str">
        <f t="shared" si="51"/>
        <v>L</v>
      </c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3" t="str">
        <f t="shared" si="52"/>
        <v/>
      </c>
      <c r="AI110" s="133" t="str">
        <f t="shared" si="53"/>
        <v/>
      </c>
      <c r="AJ110" s="133" t="str">
        <f t="shared" si="54"/>
        <v/>
      </c>
      <c r="AK110" s="133" t="str">
        <f t="shared" si="55"/>
        <v/>
      </c>
      <c r="AL110" s="133">
        <f t="shared" si="56"/>
        <v>0</v>
      </c>
      <c r="AM110" s="20"/>
      <c r="AN110" s="133">
        <v>24</v>
      </c>
      <c r="AO110" s="134" t="str">
        <f t="shared" si="57"/>
        <v>SANDRIYA EKA ANDANI</v>
      </c>
      <c r="AP110" s="133" t="str">
        <f t="shared" si="58"/>
        <v>L</v>
      </c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3" t="str">
        <f t="shared" si="59"/>
        <v/>
      </c>
      <c r="BV110" s="133" t="str">
        <f t="shared" si="60"/>
        <v/>
      </c>
      <c r="BW110" s="133" t="str">
        <f t="shared" si="61"/>
        <v/>
      </c>
      <c r="BX110" s="133" t="str">
        <f t="shared" si="62"/>
        <v/>
      </c>
      <c r="BY110" s="133">
        <f t="shared" si="63"/>
        <v>0</v>
      </c>
      <c r="BZ110" s="20"/>
    </row>
    <row r="111" spans="1:78" ht="18" hidden="1" customHeight="1" x14ac:dyDescent="0.3">
      <c r="A111" s="133">
        <f t="shared" si="51"/>
        <v>35</v>
      </c>
      <c r="B111" s="134" t="str">
        <f t="shared" si="51"/>
        <v>YANUAR DAFFA NUR FAHRYAN</v>
      </c>
      <c r="C111" s="133" t="str">
        <f t="shared" si="51"/>
        <v>L</v>
      </c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3" t="str">
        <f t="shared" si="52"/>
        <v/>
      </c>
      <c r="AI111" s="133" t="str">
        <f t="shared" si="53"/>
        <v/>
      </c>
      <c r="AJ111" s="133" t="str">
        <f t="shared" si="54"/>
        <v/>
      </c>
      <c r="AK111" s="133" t="str">
        <f t="shared" si="55"/>
        <v/>
      </c>
      <c r="AL111" s="133">
        <f t="shared" si="56"/>
        <v>0</v>
      </c>
      <c r="AM111" s="20"/>
      <c r="AN111" s="133">
        <v>25</v>
      </c>
      <c r="AO111" s="134" t="str">
        <f t="shared" si="57"/>
        <v>YANUAR DAFFA NUR FAHRYAN</v>
      </c>
      <c r="AP111" s="133" t="str">
        <f t="shared" si="58"/>
        <v>L</v>
      </c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3" t="str">
        <f t="shared" si="59"/>
        <v/>
      </c>
      <c r="BV111" s="133" t="str">
        <f t="shared" si="60"/>
        <v/>
      </c>
      <c r="BW111" s="133" t="str">
        <f t="shared" si="61"/>
        <v/>
      </c>
      <c r="BX111" s="133" t="str">
        <f t="shared" si="62"/>
        <v/>
      </c>
      <c r="BY111" s="133">
        <f t="shared" si="63"/>
        <v>0</v>
      </c>
      <c r="BZ111" s="20"/>
    </row>
    <row r="112" spans="1:78" ht="18" hidden="1" customHeight="1" x14ac:dyDescent="0.3">
      <c r="A112" s="133">
        <f t="shared" si="51"/>
        <v>36</v>
      </c>
      <c r="B112" s="134" t="str">
        <f t="shared" si="51"/>
        <v>YAUZA SASTRA YUSSITA</v>
      </c>
      <c r="C112" s="133" t="str">
        <f t="shared" si="51"/>
        <v>P</v>
      </c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3" t="str">
        <f t="shared" si="52"/>
        <v/>
      </c>
      <c r="AI112" s="133" t="str">
        <f t="shared" si="53"/>
        <v/>
      </c>
      <c r="AJ112" s="133" t="str">
        <f t="shared" si="54"/>
        <v/>
      </c>
      <c r="AK112" s="133" t="str">
        <f t="shared" si="55"/>
        <v/>
      </c>
      <c r="AL112" s="133">
        <f t="shared" si="56"/>
        <v>0</v>
      </c>
      <c r="AM112" s="20"/>
      <c r="AN112" s="133">
        <v>26</v>
      </c>
      <c r="AO112" s="134" t="str">
        <f t="shared" si="57"/>
        <v>YAUZA SASTRA YUSSITA</v>
      </c>
      <c r="AP112" s="133" t="str">
        <f t="shared" si="58"/>
        <v>P</v>
      </c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3" t="str">
        <f t="shared" si="59"/>
        <v/>
      </c>
      <c r="BV112" s="133" t="str">
        <f t="shared" si="60"/>
        <v/>
      </c>
      <c r="BW112" s="133" t="str">
        <f t="shared" si="61"/>
        <v/>
      </c>
      <c r="BX112" s="133" t="str">
        <f t="shared" si="62"/>
        <v/>
      </c>
      <c r="BY112" s="133">
        <f t="shared" si="63"/>
        <v>0</v>
      </c>
      <c r="BZ112" s="20"/>
    </row>
    <row r="113" spans="1:78" ht="18" hidden="1" customHeight="1" x14ac:dyDescent="0.3">
      <c r="A113" s="133">
        <f t="shared" si="51"/>
        <v>37</v>
      </c>
      <c r="B113" s="134">
        <f t="shared" si="51"/>
        <v>0</v>
      </c>
      <c r="C113" s="133">
        <f t="shared" si="51"/>
        <v>0</v>
      </c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3" t="str">
        <f t="shared" si="52"/>
        <v/>
      </c>
      <c r="AI113" s="133" t="str">
        <f t="shared" si="53"/>
        <v/>
      </c>
      <c r="AJ113" s="133" t="str">
        <f t="shared" si="54"/>
        <v/>
      </c>
      <c r="AK113" s="133" t="str">
        <f t="shared" si="55"/>
        <v/>
      </c>
      <c r="AL113" s="133">
        <f t="shared" si="56"/>
        <v>0</v>
      </c>
      <c r="AM113" s="20"/>
      <c r="AN113" s="133">
        <v>27</v>
      </c>
      <c r="AO113" s="134">
        <f t="shared" si="57"/>
        <v>0</v>
      </c>
      <c r="AP113" s="133">
        <f t="shared" si="58"/>
        <v>0</v>
      </c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3" t="str">
        <f t="shared" si="59"/>
        <v/>
      </c>
      <c r="BV113" s="133" t="str">
        <f t="shared" si="60"/>
        <v/>
      </c>
      <c r="BW113" s="133" t="str">
        <f t="shared" si="61"/>
        <v/>
      </c>
      <c r="BX113" s="133" t="str">
        <f t="shared" si="62"/>
        <v/>
      </c>
      <c r="BY113" s="133">
        <f t="shared" si="63"/>
        <v>0</v>
      </c>
      <c r="BZ113" s="20"/>
    </row>
    <row r="114" spans="1:78" ht="18" hidden="1" customHeight="1" x14ac:dyDescent="0.3">
      <c r="A114" s="133">
        <f t="shared" si="51"/>
        <v>38</v>
      </c>
      <c r="B114" s="134">
        <f t="shared" si="51"/>
        <v>0</v>
      </c>
      <c r="C114" s="133">
        <f t="shared" si="51"/>
        <v>0</v>
      </c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3" t="str">
        <f t="shared" si="52"/>
        <v/>
      </c>
      <c r="AI114" s="133" t="str">
        <f t="shared" si="53"/>
        <v/>
      </c>
      <c r="AJ114" s="133" t="str">
        <f t="shared" si="54"/>
        <v/>
      </c>
      <c r="AK114" s="133" t="str">
        <f t="shared" si="55"/>
        <v/>
      </c>
      <c r="AL114" s="133">
        <f t="shared" si="56"/>
        <v>0</v>
      </c>
      <c r="AM114" s="20"/>
      <c r="AN114" s="133">
        <v>28</v>
      </c>
      <c r="AO114" s="134">
        <f t="shared" si="57"/>
        <v>0</v>
      </c>
      <c r="AP114" s="133">
        <f t="shared" si="58"/>
        <v>0</v>
      </c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3" t="str">
        <f t="shared" si="59"/>
        <v/>
      </c>
      <c r="BV114" s="133" t="str">
        <f t="shared" si="60"/>
        <v/>
      </c>
      <c r="BW114" s="133" t="str">
        <f t="shared" si="61"/>
        <v/>
      </c>
      <c r="BX114" s="133" t="str">
        <f t="shared" si="62"/>
        <v/>
      </c>
      <c r="BY114" s="133">
        <f t="shared" si="63"/>
        <v>0</v>
      </c>
      <c r="BZ114" s="20"/>
    </row>
    <row r="115" spans="1:78" ht="18" hidden="1" customHeight="1" x14ac:dyDescent="0.3">
      <c r="A115" s="133">
        <f t="shared" si="51"/>
        <v>39</v>
      </c>
      <c r="B115" s="134">
        <f t="shared" si="51"/>
        <v>0</v>
      </c>
      <c r="C115" s="133">
        <f t="shared" si="51"/>
        <v>0</v>
      </c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3" t="str">
        <f t="shared" si="52"/>
        <v/>
      </c>
      <c r="AI115" s="133" t="str">
        <f t="shared" si="53"/>
        <v/>
      </c>
      <c r="AJ115" s="133" t="str">
        <f t="shared" si="54"/>
        <v/>
      </c>
      <c r="AK115" s="133" t="str">
        <f t="shared" si="55"/>
        <v/>
      </c>
      <c r="AL115" s="133">
        <f t="shared" si="56"/>
        <v>0</v>
      </c>
      <c r="AM115" s="20"/>
      <c r="AN115" s="133">
        <v>29</v>
      </c>
      <c r="AO115" s="134">
        <f t="shared" si="57"/>
        <v>0</v>
      </c>
      <c r="AP115" s="133">
        <f t="shared" si="58"/>
        <v>0</v>
      </c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3" t="str">
        <f t="shared" si="59"/>
        <v/>
      </c>
      <c r="BV115" s="133" t="str">
        <f t="shared" si="60"/>
        <v/>
      </c>
      <c r="BW115" s="133" t="str">
        <f t="shared" si="61"/>
        <v/>
      </c>
      <c r="BX115" s="133" t="str">
        <f t="shared" si="62"/>
        <v/>
      </c>
      <c r="BY115" s="133">
        <f t="shared" si="63"/>
        <v>0</v>
      </c>
      <c r="BZ115" s="20"/>
    </row>
    <row r="116" spans="1:78" ht="18" hidden="1" customHeight="1" x14ac:dyDescent="0.3">
      <c r="A116" s="133">
        <f t="shared" si="51"/>
        <v>40</v>
      </c>
      <c r="B116" s="134">
        <f t="shared" si="51"/>
        <v>0</v>
      </c>
      <c r="C116" s="133">
        <f t="shared" si="51"/>
        <v>0</v>
      </c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3" t="str">
        <f t="shared" si="52"/>
        <v/>
      </c>
      <c r="AI116" s="133" t="str">
        <f t="shared" si="53"/>
        <v/>
      </c>
      <c r="AJ116" s="133" t="str">
        <f t="shared" si="54"/>
        <v/>
      </c>
      <c r="AK116" s="133" t="str">
        <f t="shared" si="55"/>
        <v/>
      </c>
      <c r="AL116" s="133">
        <f t="shared" si="56"/>
        <v>0</v>
      </c>
      <c r="AM116" s="20"/>
      <c r="AN116" s="133">
        <v>30</v>
      </c>
      <c r="AO116" s="134">
        <f t="shared" si="57"/>
        <v>0</v>
      </c>
      <c r="AP116" s="133">
        <f t="shared" si="58"/>
        <v>0</v>
      </c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3" t="str">
        <f t="shared" si="59"/>
        <v/>
      </c>
      <c r="BV116" s="133" t="str">
        <f t="shared" si="60"/>
        <v/>
      </c>
      <c r="BW116" s="133" t="str">
        <f t="shared" si="61"/>
        <v/>
      </c>
      <c r="BX116" s="133" t="str">
        <f t="shared" si="62"/>
        <v/>
      </c>
      <c r="BY116" s="133">
        <f t="shared" si="63"/>
        <v>0</v>
      </c>
      <c r="BZ116" s="20"/>
    </row>
    <row r="117" spans="1:78" ht="18" hidden="1" customHeight="1" x14ac:dyDescent="0.3">
      <c r="A117" s="133">
        <f t="shared" si="51"/>
        <v>41</v>
      </c>
      <c r="B117" s="134">
        <f t="shared" si="51"/>
        <v>0</v>
      </c>
      <c r="C117" s="133">
        <f t="shared" si="51"/>
        <v>0</v>
      </c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3" t="str">
        <f t="shared" ref="AH117:AH126" si="64">IF(COUNTIF(D117:AG117,".")=0,"",COUNTIF(D117:AG117,"."))</f>
        <v/>
      </c>
      <c r="AI117" s="133" t="str">
        <f t="shared" ref="AI117:AI126" si="65">IF(COUNTIF(D117:AG117,"S")=0,"",COUNTIF(D117:AG117,"S"))</f>
        <v/>
      </c>
      <c r="AJ117" s="133" t="str">
        <f t="shared" ref="AJ117:AJ126" si="66">IF(COUNTIF(D117:AG117,"I")=0,"",COUNTIF(D117:AG117,"I"))</f>
        <v/>
      </c>
      <c r="AK117" s="133" t="str">
        <f t="shared" ref="AK117:AK126" si="67">IF(COUNTIF(D117:AG117,"A")=0,"",COUNTIF(D117:AG117,"A"))</f>
        <v/>
      </c>
      <c r="AL117" s="133">
        <f t="shared" ref="AL117:AL126" si="68">SUM(AI117:AK117)</f>
        <v>0</v>
      </c>
      <c r="AM117" s="20"/>
      <c r="AN117" s="133">
        <v>21</v>
      </c>
      <c r="AO117" s="134">
        <f t="shared" ref="AO117:AO126" si="69">IF(B117="","",B117)</f>
        <v>0</v>
      </c>
      <c r="AP117" s="133">
        <f t="shared" ref="AP117:AP126" si="70">IF(C117="","",C117)</f>
        <v>0</v>
      </c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3" t="str">
        <f t="shared" ref="BU117:BU126" si="71">IF(COUNTIF(AQ117:BT117,".")=0,"",COUNTIF(AQ117:BT117,"."))</f>
        <v/>
      </c>
      <c r="BV117" s="133" t="str">
        <f t="shared" ref="BV117:BV126" si="72">IF(COUNTIF(AQ117:BT117,"S")=0,"",COUNTIF(AQ117:BT117,"S"))</f>
        <v/>
      </c>
      <c r="BW117" s="133" t="str">
        <f t="shared" ref="BW117:BW126" si="73">IF(COUNTIF(AQ117:BT117,"I")=0,"",COUNTIF(AQ117:BT117,"I"))</f>
        <v/>
      </c>
      <c r="BX117" s="133" t="str">
        <f t="shared" ref="BX117:BX126" si="74">IF(COUNTIF(AQ117:BT117,"A")=0,"",COUNTIF(AQ117:BT117,"A"))</f>
        <v/>
      </c>
      <c r="BY117" s="133">
        <f t="shared" ref="BY117:BY126" si="75">SUM(BV117:BX117)</f>
        <v>0</v>
      </c>
      <c r="BZ117" s="20"/>
    </row>
    <row r="118" spans="1:78" ht="18" hidden="1" customHeight="1" x14ac:dyDescent="0.3">
      <c r="A118" s="133">
        <f t="shared" si="51"/>
        <v>42</v>
      </c>
      <c r="B118" s="134">
        <f t="shared" si="51"/>
        <v>0</v>
      </c>
      <c r="C118" s="133">
        <f t="shared" si="51"/>
        <v>0</v>
      </c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3" t="str">
        <f t="shared" si="64"/>
        <v/>
      </c>
      <c r="AI118" s="133" t="str">
        <f t="shared" si="65"/>
        <v/>
      </c>
      <c r="AJ118" s="133" t="str">
        <f t="shared" si="66"/>
        <v/>
      </c>
      <c r="AK118" s="133" t="str">
        <f t="shared" si="67"/>
        <v/>
      </c>
      <c r="AL118" s="133">
        <f t="shared" si="68"/>
        <v>0</v>
      </c>
      <c r="AM118" s="20"/>
      <c r="AN118" s="133">
        <v>22</v>
      </c>
      <c r="AO118" s="134">
        <f t="shared" si="69"/>
        <v>0</v>
      </c>
      <c r="AP118" s="133">
        <f t="shared" si="70"/>
        <v>0</v>
      </c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3" t="str">
        <f t="shared" si="71"/>
        <v/>
      </c>
      <c r="BV118" s="133" t="str">
        <f t="shared" si="72"/>
        <v/>
      </c>
      <c r="BW118" s="133" t="str">
        <f t="shared" si="73"/>
        <v/>
      </c>
      <c r="BX118" s="133" t="str">
        <f t="shared" si="74"/>
        <v/>
      </c>
      <c r="BY118" s="133">
        <f t="shared" si="75"/>
        <v>0</v>
      </c>
      <c r="BZ118" s="20"/>
    </row>
    <row r="119" spans="1:78" ht="18" hidden="1" customHeight="1" x14ac:dyDescent="0.3">
      <c r="A119" s="133" t="e">
        <f>#REF!</f>
        <v>#REF!</v>
      </c>
      <c r="B119" s="134" t="e">
        <f>#REF!</f>
        <v>#REF!</v>
      </c>
      <c r="C119" s="133" t="e">
        <f>#REF!</f>
        <v>#REF!</v>
      </c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3" t="str">
        <f t="shared" si="64"/>
        <v/>
      </c>
      <c r="AI119" s="133" t="str">
        <f t="shared" si="65"/>
        <v/>
      </c>
      <c r="AJ119" s="133" t="str">
        <f t="shared" si="66"/>
        <v/>
      </c>
      <c r="AK119" s="133" t="str">
        <f t="shared" si="67"/>
        <v/>
      </c>
      <c r="AL119" s="133">
        <f t="shared" si="68"/>
        <v>0</v>
      </c>
      <c r="AM119" s="20"/>
      <c r="AN119" s="133">
        <v>23</v>
      </c>
      <c r="AO119" s="134" t="e">
        <f t="shared" si="69"/>
        <v>#REF!</v>
      </c>
      <c r="AP119" s="133" t="e">
        <f t="shared" si="70"/>
        <v>#REF!</v>
      </c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3" t="str">
        <f t="shared" si="71"/>
        <v/>
      </c>
      <c r="BV119" s="133" t="str">
        <f t="shared" si="72"/>
        <v/>
      </c>
      <c r="BW119" s="133" t="str">
        <f t="shared" si="73"/>
        <v/>
      </c>
      <c r="BX119" s="133" t="str">
        <f t="shared" si="74"/>
        <v/>
      </c>
      <c r="BY119" s="133">
        <f t="shared" si="75"/>
        <v>0</v>
      </c>
      <c r="BZ119" s="20"/>
    </row>
    <row r="120" spans="1:78" ht="18" hidden="1" customHeight="1" x14ac:dyDescent="0.3">
      <c r="A120" s="133">
        <f t="shared" ref="A120:A126" si="76">A52</f>
        <v>44</v>
      </c>
      <c r="B120" s="134">
        <f t="shared" ref="B120:C126" si="77">B52</f>
        <v>0</v>
      </c>
      <c r="C120" s="133">
        <f t="shared" si="77"/>
        <v>0</v>
      </c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3" t="str">
        <f t="shared" si="64"/>
        <v/>
      </c>
      <c r="AI120" s="133" t="str">
        <f t="shared" si="65"/>
        <v/>
      </c>
      <c r="AJ120" s="133" t="str">
        <f t="shared" si="66"/>
        <v/>
      </c>
      <c r="AK120" s="133" t="str">
        <f t="shared" si="67"/>
        <v/>
      </c>
      <c r="AL120" s="133">
        <f t="shared" si="68"/>
        <v>0</v>
      </c>
      <c r="AM120" s="20"/>
      <c r="AN120" s="133">
        <v>24</v>
      </c>
      <c r="AO120" s="134">
        <f t="shared" si="69"/>
        <v>0</v>
      </c>
      <c r="AP120" s="133">
        <f t="shared" si="70"/>
        <v>0</v>
      </c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3" t="str">
        <f t="shared" si="71"/>
        <v/>
      </c>
      <c r="BV120" s="133" t="str">
        <f t="shared" si="72"/>
        <v/>
      </c>
      <c r="BW120" s="133" t="str">
        <f t="shared" si="73"/>
        <v/>
      </c>
      <c r="BX120" s="133" t="str">
        <f t="shared" si="74"/>
        <v/>
      </c>
      <c r="BY120" s="133">
        <f t="shared" si="75"/>
        <v>0</v>
      </c>
      <c r="BZ120" s="20"/>
    </row>
    <row r="121" spans="1:78" ht="18" hidden="1" customHeight="1" x14ac:dyDescent="0.3">
      <c r="A121" s="133">
        <f t="shared" si="76"/>
        <v>45</v>
      </c>
      <c r="B121" s="134">
        <f t="shared" si="77"/>
        <v>0</v>
      </c>
      <c r="C121" s="133">
        <f t="shared" si="77"/>
        <v>0</v>
      </c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3" t="str">
        <f t="shared" si="64"/>
        <v/>
      </c>
      <c r="AI121" s="133" t="str">
        <f t="shared" si="65"/>
        <v/>
      </c>
      <c r="AJ121" s="133" t="str">
        <f t="shared" si="66"/>
        <v/>
      </c>
      <c r="AK121" s="133" t="str">
        <f t="shared" si="67"/>
        <v/>
      </c>
      <c r="AL121" s="133">
        <f t="shared" si="68"/>
        <v>0</v>
      </c>
      <c r="AM121" s="20"/>
      <c r="AN121" s="133">
        <v>25</v>
      </c>
      <c r="AO121" s="134">
        <f t="shared" si="69"/>
        <v>0</v>
      </c>
      <c r="AP121" s="133">
        <f t="shared" si="70"/>
        <v>0</v>
      </c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3" t="str">
        <f t="shared" si="71"/>
        <v/>
      </c>
      <c r="BV121" s="133" t="str">
        <f t="shared" si="72"/>
        <v/>
      </c>
      <c r="BW121" s="133" t="str">
        <f t="shared" si="73"/>
        <v/>
      </c>
      <c r="BX121" s="133" t="str">
        <f t="shared" si="74"/>
        <v/>
      </c>
      <c r="BY121" s="133">
        <f t="shared" si="75"/>
        <v>0</v>
      </c>
      <c r="BZ121" s="20"/>
    </row>
    <row r="122" spans="1:78" ht="18" hidden="1" customHeight="1" x14ac:dyDescent="0.3">
      <c r="A122" s="133">
        <f t="shared" si="76"/>
        <v>46</v>
      </c>
      <c r="B122" s="134">
        <f t="shared" si="77"/>
        <v>0</v>
      </c>
      <c r="C122" s="133">
        <f t="shared" si="77"/>
        <v>0</v>
      </c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3" t="str">
        <f t="shared" si="64"/>
        <v/>
      </c>
      <c r="AI122" s="133" t="str">
        <f t="shared" si="65"/>
        <v/>
      </c>
      <c r="AJ122" s="133" t="str">
        <f t="shared" si="66"/>
        <v/>
      </c>
      <c r="AK122" s="133" t="str">
        <f t="shared" si="67"/>
        <v/>
      </c>
      <c r="AL122" s="133">
        <f t="shared" si="68"/>
        <v>0</v>
      </c>
      <c r="AM122" s="20"/>
      <c r="AN122" s="133">
        <v>26</v>
      </c>
      <c r="AO122" s="134">
        <f t="shared" si="69"/>
        <v>0</v>
      </c>
      <c r="AP122" s="133">
        <f t="shared" si="70"/>
        <v>0</v>
      </c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3" t="str">
        <f t="shared" si="71"/>
        <v/>
      </c>
      <c r="BV122" s="133" t="str">
        <f t="shared" si="72"/>
        <v/>
      </c>
      <c r="BW122" s="133" t="str">
        <f t="shared" si="73"/>
        <v/>
      </c>
      <c r="BX122" s="133" t="str">
        <f t="shared" si="74"/>
        <v/>
      </c>
      <c r="BY122" s="133">
        <f t="shared" si="75"/>
        <v>0</v>
      </c>
      <c r="BZ122" s="20"/>
    </row>
    <row r="123" spans="1:78" ht="18" hidden="1" customHeight="1" x14ac:dyDescent="0.3">
      <c r="A123" s="133">
        <f t="shared" si="76"/>
        <v>47</v>
      </c>
      <c r="B123" s="134">
        <f t="shared" si="77"/>
        <v>0</v>
      </c>
      <c r="C123" s="133">
        <f t="shared" si="77"/>
        <v>0</v>
      </c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3" t="str">
        <f t="shared" si="64"/>
        <v/>
      </c>
      <c r="AI123" s="133" t="str">
        <f t="shared" si="65"/>
        <v/>
      </c>
      <c r="AJ123" s="133" t="str">
        <f t="shared" si="66"/>
        <v/>
      </c>
      <c r="AK123" s="133" t="str">
        <f t="shared" si="67"/>
        <v/>
      </c>
      <c r="AL123" s="133">
        <f t="shared" si="68"/>
        <v>0</v>
      </c>
      <c r="AM123" s="20"/>
      <c r="AN123" s="133">
        <v>27</v>
      </c>
      <c r="AO123" s="134">
        <f t="shared" si="69"/>
        <v>0</v>
      </c>
      <c r="AP123" s="133">
        <f t="shared" si="70"/>
        <v>0</v>
      </c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3" t="str">
        <f t="shared" si="71"/>
        <v/>
      </c>
      <c r="BV123" s="133" t="str">
        <f t="shared" si="72"/>
        <v/>
      </c>
      <c r="BW123" s="133" t="str">
        <f t="shared" si="73"/>
        <v/>
      </c>
      <c r="BX123" s="133" t="str">
        <f t="shared" si="74"/>
        <v/>
      </c>
      <c r="BY123" s="133">
        <f t="shared" si="75"/>
        <v>0</v>
      </c>
      <c r="BZ123" s="20"/>
    </row>
    <row r="124" spans="1:78" ht="18" hidden="1" customHeight="1" x14ac:dyDescent="0.3">
      <c r="A124" s="133">
        <f t="shared" si="76"/>
        <v>48</v>
      </c>
      <c r="B124" s="134">
        <f t="shared" si="77"/>
        <v>0</v>
      </c>
      <c r="C124" s="133">
        <f t="shared" si="77"/>
        <v>0</v>
      </c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3" t="str">
        <f t="shared" si="64"/>
        <v/>
      </c>
      <c r="AI124" s="133" t="str">
        <f t="shared" si="65"/>
        <v/>
      </c>
      <c r="AJ124" s="133" t="str">
        <f t="shared" si="66"/>
        <v/>
      </c>
      <c r="AK124" s="133" t="str">
        <f t="shared" si="67"/>
        <v/>
      </c>
      <c r="AL124" s="133">
        <f t="shared" si="68"/>
        <v>0</v>
      </c>
      <c r="AM124" s="20"/>
      <c r="AN124" s="133">
        <v>28</v>
      </c>
      <c r="AO124" s="134">
        <f t="shared" si="69"/>
        <v>0</v>
      </c>
      <c r="AP124" s="133">
        <f t="shared" si="70"/>
        <v>0</v>
      </c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3" t="str">
        <f t="shared" si="71"/>
        <v/>
      </c>
      <c r="BV124" s="133" t="str">
        <f t="shared" si="72"/>
        <v/>
      </c>
      <c r="BW124" s="133" t="str">
        <f t="shared" si="73"/>
        <v/>
      </c>
      <c r="BX124" s="133" t="str">
        <f t="shared" si="74"/>
        <v/>
      </c>
      <c r="BY124" s="133">
        <f t="shared" si="75"/>
        <v>0</v>
      </c>
      <c r="BZ124" s="20"/>
    </row>
    <row r="125" spans="1:78" ht="18" hidden="1" customHeight="1" x14ac:dyDescent="0.3">
      <c r="A125" s="133">
        <f t="shared" si="76"/>
        <v>49</v>
      </c>
      <c r="B125" s="134">
        <f t="shared" si="77"/>
        <v>0</v>
      </c>
      <c r="C125" s="133">
        <f t="shared" si="77"/>
        <v>0</v>
      </c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3" t="str">
        <f t="shared" si="64"/>
        <v/>
      </c>
      <c r="AI125" s="133" t="str">
        <f t="shared" si="65"/>
        <v/>
      </c>
      <c r="AJ125" s="133" t="str">
        <f t="shared" si="66"/>
        <v/>
      </c>
      <c r="AK125" s="133" t="str">
        <f t="shared" si="67"/>
        <v/>
      </c>
      <c r="AL125" s="133">
        <f t="shared" si="68"/>
        <v>0</v>
      </c>
      <c r="AM125" s="20"/>
      <c r="AN125" s="133">
        <v>29</v>
      </c>
      <c r="AO125" s="134">
        <f t="shared" si="69"/>
        <v>0</v>
      </c>
      <c r="AP125" s="133">
        <f t="shared" si="70"/>
        <v>0</v>
      </c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3" t="str">
        <f t="shared" si="71"/>
        <v/>
      </c>
      <c r="BV125" s="133" t="str">
        <f t="shared" si="72"/>
        <v/>
      </c>
      <c r="BW125" s="133" t="str">
        <f t="shared" si="73"/>
        <v/>
      </c>
      <c r="BX125" s="133" t="str">
        <f t="shared" si="74"/>
        <v/>
      </c>
      <c r="BY125" s="133">
        <f t="shared" si="75"/>
        <v>0</v>
      </c>
      <c r="BZ125" s="20"/>
    </row>
    <row r="126" spans="1:78" ht="18" hidden="1" customHeight="1" x14ac:dyDescent="0.3">
      <c r="A126" s="133">
        <f t="shared" si="76"/>
        <v>50</v>
      </c>
      <c r="B126" s="134">
        <f t="shared" si="77"/>
        <v>0</v>
      </c>
      <c r="C126" s="133">
        <f t="shared" si="77"/>
        <v>0</v>
      </c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3" t="str">
        <f t="shared" si="64"/>
        <v/>
      </c>
      <c r="AI126" s="133" t="str">
        <f t="shared" si="65"/>
        <v/>
      </c>
      <c r="AJ126" s="133" t="str">
        <f t="shared" si="66"/>
        <v/>
      </c>
      <c r="AK126" s="133" t="str">
        <f t="shared" si="67"/>
        <v/>
      </c>
      <c r="AL126" s="133">
        <f t="shared" si="68"/>
        <v>0</v>
      </c>
      <c r="AM126" s="20"/>
      <c r="AN126" s="133">
        <v>30</v>
      </c>
      <c r="AO126" s="134">
        <f t="shared" si="69"/>
        <v>0</v>
      </c>
      <c r="AP126" s="133">
        <f t="shared" si="70"/>
        <v>0</v>
      </c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3" t="str">
        <f t="shared" si="71"/>
        <v/>
      </c>
      <c r="BV126" s="133" t="str">
        <f t="shared" si="72"/>
        <v/>
      </c>
      <c r="BW126" s="133" t="str">
        <f t="shared" si="73"/>
        <v/>
      </c>
      <c r="BX126" s="133" t="str">
        <f t="shared" si="74"/>
        <v/>
      </c>
      <c r="BY126" s="133">
        <f t="shared" si="75"/>
        <v>0</v>
      </c>
      <c r="BZ126" s="20"/>
    </row>
    <row r="127" spans="1:78" ht="15.6" hidden="1" x14ac:dyDescent="0.3">
      <c r="A127" s="20"/>
      <c r="B127" s="21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1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</row>
    <row r="128" spans="1:78" ht="15.6" hidden="1" x14ac:dyDescent="0.3">
      <c r="A128" s="20"/>
      <c r="B128" s="21" t="s">
        <v>37</v>
      </c>
      <c r="C128" s="20"/>
      <c r="D128" s="20"/>
      <c r="E128" s="20"/>
      <c r="F128" s="20"/>
      <c r="G128" s="21" t="s">
        <v>7</v>
      </c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1" t="e">
        <f>"Bandung Barat,     "&amp;IF(AI72="1 (Ganjil)","Desember "&amp;MID(#REF!,1,4),"Juni "&amp;MID(#REF!,6,4))</f>
        <v>#REF!</v>
      </c>
      <c r="AI128" s="20"/>
      <c r="AJ128" s="20"/>
      <c r="AK128" s="20"/>
      <c r="AL128" s="20"/>
      <c r="AM128" s="20"/>
      <c r="AN128" s="20"/>
      <c r="AO128" s="21" t="s">
        <v>37</v>
      </c>
      <c r="AP128" s="20"/>
      <c r="AQ128" s="20"/>
      <c r="AR128" s="20"/>
      <c r="AS128" s="20"/>
      <c r="AT128" s="21" t="str">
        <f>$G$60</f>
        <v>Mengetahui,</v>
      </c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1" t="e">
        <f>AH128</f>
        <v>#REF!</v>
      </c>
      <c r="BV128" s="20"/>
      <c r="BW128" s="20"/>
      <c r="BX128" s="20"/>
      <c r="BY128" s="20"/>
      <c r="BZ128" s="20"/>
    </row>
    <row r="129" spans="1:78" ht="15.6" hidden="1" x14ac:dyDescent="0.3">
      <c r="A129" s="20"/>
      <c r="B129" s="21" t="s">
        <v>36</v>
      </c>
      <c r="C129" s="20">
        <f>COUNTIF(C77:C106,"L")</f>
        <v>19</v>
      </c>
      <c r="D129" s="20"/>
      <c r="E129" s="20"/>
      <c r="F129" s="20"/>
      <c r="G129" s="21" t="e">
        <f>#REF!</f>
        <v>#REF!</v>
      </c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1" t="e">
        <f>#REF!</f>
        <v>#REF!</v>
      </c>
      <c r="AI129" s="20"/>
      <c r="AJ129" s="20"/>
      <c r="AK129" s="20"/>
      <c r="AL129" s="20"/>
      <c r="AM129" s="20"/>
      <c r="AN129" s="20"/>
      <c r="AO129" s="21" t="s">
        <v>36</v>
      </c>
      <c r="AP129" s="20">
        <f>COUNTIF(AP77:AP106,"L")</f>
        <v>19</v>
      </c>
      <c r="AQ129" s="20"/>
      <c r="AR129" s="20"/>
      <c r="AS129" s="20"/>
      <c r="AT129" s="21" t="e">
        <f>$G$61</f>
        <v>#REF!</v>
      </c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1" t="e">
        <f>#REF!</f>
        <v>#REF!</v>
      </c>
      <c r="BV129" s="20"/>
      <c r="BW129" s="20"/>
      <c r="BX129" s="20"/>
      <c r="BY129" s="20"/>
      <c r="BZ129" s="20"/>
    </row>
    <row r="130" spans="1:78" ht="16.2" hidden="1" thickBot="1" x14ac:dyDescent="0.35">
      <c r="A130" s="20"/>
      <c r="B130" s="31" t="s">
        <v>35</v>
      </c>
      <c r="C130" s="32">
        <f>COUNTIF(C77:C106,"P")</f>
        <v>10</v>
      </c>
      <c r="D130" s="20"/>
      <c r="E130" s="20"/>
      <c r="F130" s="20"/>
      <c r="G130" s="21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1"/>
      <c r="AI130" s="20"/>
      <c r="AJ130" s="20"/>
      <c r="AK130" s="20"/>
      <c r="AL130" s="20"/>
      <c r="AM130" s="20"/>
      <c r="AN130" s="20"/>
      <c r="AO130" s="31" t="s">
        <v>35</v>
      </c>
      <c r="AP130" s="32">
        <f>COUNTIF(AP77:AP106,"P")</f>
        <v>10</v>
      </c>
      <c r="AQ130" s="20"/>
      <c r="AR130" s="20"/>
      <c r="AS130" s="20"/>
      <c r="AT130" s="21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1"/>
      <c r="BV130" s="20"/>
      <c r="BW130" s="20"/>
      <c r="BX130" s="20"/>
      <c r="BY130" s="20"/>
      <c r="BZ130" s="20"/>
    </row>
    <row r="131" spans="1:78" ht="15.6" hidden="1" x14ac:dyDescent="0.3">
      <c r="A131" s="20"/>
      <c r="B131" s="21" t="s">
        <v>34</v>
      </c>
      <c r="C131" s="20">
        <f>SUM(C129:C130)</f>
        <v>29</v>
      </c>
      <c r="D131" s="20"/>
      <c r="E131" s="20"/>
      <c r="F131" s="20"/>
      <c r="G131" s="21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1"/>
      <c r="AI131" s="20"/>
      <c r="AJ131" s="20"/>
      <c r="AK131" s="20"/>
      <c r="AL131" s="20"/>
      <c r="AM131" s="20"/>
      <c r="AN131" s="20"/>
      <c r="AO131" s="21" t="s">
        <v>34</v>
      </c>
      <c r="AP131" s="20">
        <f>SUM(AP129:AP130)</f>
        <v>29</v>
      </c>
      <c r="AQ131" s="20"/>
      <c r="AR131" s="20"/>
      <c r="AS131" s="20"/>
      <c r="AT131" s="21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1"/>
      <c r="BV131" s="20"/>
      <c r="BW131" s="20"/>
      <c r="BX131" s="20"/>
      <c r="BY131" s="20"/>
      <c r="BZ131" s="20"/>
    </row>
    <row r="132" spans="1:78" ht="15.6" hidden="1" x14ac:dyDescent="0.3">
      <c r="A132" s="20"/>
      <c r="B132" s="21"/>
      <c r="C132" s="20"/>
      <c r="D132" s="20"/>
      <c r="E132" s="20"/>
      <c r="F132" s="20"/>
      <c r="G132" s="21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1"/>
      <c r="AI132" s="20"/>
      <c r="AJ132" s="20"/>
      <c r="AK132" s="20"/>
      <c r="AL132" s="20"/>
      <c r="AM132" s="20"/>
      <c r="AN132" s="20"/>
      <c r="AO132" s="21"/>
      <c r="AP132" s="20"/>
      <c r="AQ132" s="20"/>
      <c r="AR132" s="20"/>
      <c r="AS132" s="20"/>
      <c r="AT132" s="21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1"/>
      <c r="BV132" s="20"/>
      <c r="BW132" s="20"/>
      <c r="BX132" s="20"/>
      <c r="BY132" s="20"/>
      <c r="BZ132" s="20"/>
    </row>
    <row r="133" spans="1:78" ht="15.6" hidden="1" x14ac:dyDescent="0.3">
      <c r="A133" s="20"/>
      <c r="B133" s="21"/>
      <c r="C133" s="20"/>
      <c r="D133" s="20"/>
      <c r="E133" s="20"/>
      <c r="F133" s="20"/>
      <c r="G133" s="22" t="e">
        <f>#REF!</f>
        <v>#REF!</v>
      </c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2" t="e">
        <f>#REF!</f>
        <v>#REF!</v>
      </c>
      <c r="AI133" s="20"/>
      <c r="AJ133" s="20"/>
      <c r="AK133" s="20"/>
      <c r="AL133" s="20"/>
      <c r="AM133" s="20"/>
      <c r="AN133" s="20"/>
      <c r="AO133" s="21"/>
      <c r="AP133" s="20"/>
      <c r="AQ133" s="20"/>
      <c r="AR133" s="20"/>
      <c r="AS133" s="20"/>
      <c r="AT133" s="22" t="e">
        <f>#REF!</f>
        <v>#REF!</v>
      </c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2" t="e">
        <f>#REF!</f>
        <v>#REF!</v>
      </c>
      <c r="BV133" s="20"/>
      <c r="BW133" s="20"/>
      <c r="BX133" s="20"/>
      <c r="BY133" s="20"/>
      <c r="BZ133" s="20"/>
    </row>
    <row r="134" spans="1:78" ht="15.6" hidden="1" x14ac:dyDescent="0.3">
      <c r="A134" s="20"/>
      <c r="B134" s="20"/>
      <c r="C134" s="20"/>
      <c r="D134" s="20"/>
      <c r="E134" s="20"/>
      <c r="F134" s="20"/>
      <c r="G134" s="21" t="e">
        <f>#REF!</f>
        <v>#REF!</v>
      </c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1" t="e">
        <f>#REF!&amp;". "&amp;#REF!</f>
        <v>#REF!</v>
      </c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1" t="e">
        <f>#REF!</f>
        <v>#REF!</v>
      </c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1" t="e">
        <f>#REF!&amp;". "&amp;#REF!</f>
        <v>#REF!</v>
      </c>
      <c r="BV134" s="20"/>
      <c r="BW134" s="20"/>
      <c r="BX134" s="20"/>
      <c r="BY134" s="20"/>
      <c r="BZ134" s="20"/>
    </row>
    <row r="135" spans="1:78" ht="15" customHeight="1" x14ac:dyDescent="0.3"/>
    <row r="136" spans="1:78" ht="15" customHeight="1" x14ac:dyDescent="0.3"/>
    <row r="137" spans="1:78" ht="15" customHeight="1" x14ac:dyDescent="0.3"/>
  </sheetData>
  <mergeCells count="48">
    <mergeCell ref="N75:W75"/>
    <mergeCell ref="X75:AG75"/>
    <mergeCell ref="AQ75:AZ75"/>
    <mergeCell ref="BA75:BJ75"/>
    <mergeCell ref="BK75:BT75"/>
    <mergeCell ref="BV8:BY9"/>
    <mergeCell ref="A69:AL69"/>
    <mergeCell ref="AN69:BY69"/>
    <mergeCell ref="A74:A76"/>
    <mergeCell ref="B74:B76"/>
    <mergeCell ref="C74:C76"/>
    <mergeCell ref="D74:AG74"/>
    <mergeCell ref="AH74:AH76"/>
    <mergeCell ref="AI74:AL75"/>
    <mergeCell ref="AN74:AN76"/>
    <mergeCell ref="AO74:AO76"/>
    <mergeCell ref="AP74:AP76"/>
    <mergeCell ref="AQ74:BT74"/>
    <mergeCell ref="BU74:BU76"/>
    <mergeCell ref="BV74:BY75"/>
    <mergeCell ref="D75:M75"/>
    <mergeCell ref="AI8:AL9"/>
    <mergeCell ref="AN8:AN10"/>
    <mergeCell ref="A67:AL67"/>
    <mergeCell ref="AN67:BY67"/>
    <mergeCell ref="A68:AL68"/>
    <mergeCell ref="AN68:BY68"/>
    <mergeCell ref="D9:M9"/>
    <mergeCell ref="N9:W9"/>
    <mergeCell ref="X9:AG9"/>
    <mergeCell ref="AQ9:AZ9"/>
    <mergeCell ref="BA9:BJ9"/>
    <mergeCell ref="BK9:BT9"/>
    <mergeCell ref="AO8:AO10"/>
    <mergeCell ref="AP8:AP10"/>
    <mergeCell ref="AQ8:BT8"/>
    <mergeCell ref="BU8:BU10"/>
    <mergeCell ref="A8:A10"/>
    <mergeCell ref="B8:B10"/>
    <mergeCell ref="C8:C10"/>
    <mergeCell ref="D8:AG8"/>
    <mergeCell ref="AH8:AH10"/>
    <mergeCell ref="A1:AL1"/>
    <mergeCell ref="AN1:BY1"/>
    <mergeCell ref="A2:AL2"/>
    <mergeCell ref="AN2:BY2"/>
    <mergeCell ref="A3:AL3"/>
    <mergeCell ref="AN3:BY3"/>
  </mergeCells>
  <conditionalFormatting sqref="AL50:AL58 BY50:BY58 AL11:AL39 BY11:BY39">
    <cfRule type="cellIs" dxfId="20" priority="11" operator="equal">
      <formula>0</formula>
    </cfRule>
  </conditionalFormatting>
  <conditionalFormatting sqref="BY77:BY106">
    <cfRule type="cellIs" dxfId="19" priority="10" operator="equal">
      <formula>0</formula>
    </cfRule>
  </conditionalFormatting>
  <conditionalFormatting sqref="AL77:AL106">
    <cfRule type="cellIs" dxfId="18" priority="9" operator="equal">
      <formula>0</formula>
    </cfRule>
  </conditionalFormatting>
  <conditionalFormatting sqref="AL40:AL49">
    <cfRule type="cellIs" dxfId="17" priority="7" operator="equal">
      <formula>0</formula>
    </cfRule>
  </conditionalFormatting>
  <conditionalFormatting sqref="BY40:BY49">
    <cfRule type="cellIs" dxfId="16" priority="8" operator="equal">
      <formula>0</formula>
    </cfRule>
  </conditionalFormatting>
  <conditionalFormatting sqref="BY107:BY116">
    <cfRule type="cellIs" dxfId="15" priority="4" operator="equal">
      <formula>0</formula>
    </cfRule>
  </conditionalFormatting>
  <conditionalFormatting sqref="AL107:AL116">
    <cfRule type="cellIs" dxfId="14" priority="3" operator="equal">
      <formula>0</formula>
    </cfRule>
  </conditionalFormatting>
  <conditionalFormatting sqref="BY117:BY126">
    <cfRule type="cellIs" dxfId="13" priority="2" operator="equal">
      <formula>0</formula>
    </cfRule>
  </conditionalFormatting>
  <conditionalFormatting sqref="AL117:AL126">
    <cfRule type="cellIs" dxfId="12" priority="1" operator="equal">
      <formula>0</formula>
    </cfRule>
  </conditionalFormatting>
  <dataValidations xWindow="431" yWindow="594" count="1">
    <dataValidation allowBlank="1" showInputMessage="1" showErrorMessage="1" promptTitle="Cara Pengisian :" prompt=". : Hadir_x000a_S : Sakit_x000a_I : Ijin_x000a_A : Alfa" sqref="AQ77:BT126 D77:AG126 D11:AG58 AQ11:BT58" xr:uid="{00000000-0002-0000-0900-000000000000}"/>
  </dataValidations>
  <printOptions horizontalCentered="1"/>
  <pageMargins left="0.31496062992125984" right="0.27559055118110237" top="0.94488188976377963" bottom="0.51181102362204722" header="0.31496062992125984" footer="0.31496062992125984"/>
  <pageSetup paperSize="9" scale="58" fitToWidth="2" fitToHeight="2" orientation="landscape" horizontalDpi="4294967293" r:id="rId1"/>
  <colBreaks count="1" manualBreakCount="1">
    <brk id="39" max="13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7" tint="-0.499984740745262"/>
  </sheetPr>
  <dimension ref="A1:X118"/>
  <sheetViews>
    <sheetView showGridLines="0" zoomScale="85" zoomScaleNormal="70" zoomScaleSheetLayoutView="70" workbookViewId="0">
      <pane ySplit="11" topLeftCell="A12" activePane="bottomLeft" state="frozen"/>
      <selection activeCell="AQ10" sqref="AQ10:BT10"/>
      <selection pane="bottomLeft" activeCell="J12" sqref="J12"/>
    </sheetView>
  </sheetViews>
  <sheetFormatPr defaultColWidth="0" defaultRowHeight="15.6" zeroHeight="1" x14ac:dyDescent="0.3"/>
  <cols>
    <col min="1" max="1" width="4.5546875" style="20" bestFit="1" customWidth="1"/>
    <col min="2" max="2" width="45.44140625" style="20" customWidth="1"/>
    <col min="3" max="3" width="4.6640625" style="20" customWidth="1"/>
    <col min="4" max="18" width="5.88671875" style="20" customWidth="1"/>
    <col min="19" max="20" width="8.109375" style="20" customWidth="1"/>
    <col min="21" max="21" width="0.5546875" style="112" customWidth="1"/>
    <col min="22" max="22" width="8.109375" style="20" customWidth="1"/>
    <col min="23" max="23" width="36.5546875" style="20" customWidth="1"/>
    <col min="24" max="24" width="0.44140625" style="20" customWidth="1"/>
    <col min="25" max="16384" width="9.109375" style="20" hidden="1"/>
  </cols>
  <sheetData>
    <row r="1" spans="1:24" s="122" customFormat="1" ht="23.4" x14ac:dyDescent="0.3">
      <c r="A1" s="265" t="s">
        <v>142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</row>
    <row r="2" spans="1:24" s="122" customFormat="1" ht="23.4" x14ac:dyDescent="0.3">
      <c r="A2" s="265" t="str">
        <f>CV!A3</f>
        <v>SMA NEGERI 15 KOTA BANDUNG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</row>
    <row r="3" spans="1:24" s="122" customFormat="1" ht="23.4" x14ac:dyDescent="0.3">
      <c r="A3" s="265" t="str">
        <f>CV!A4</f>
        <v>TAHUN AJARAN 2026/2027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</row>
    <row r="4" spans="1:24" ht="16.2" thickBot="1" x14ac:dyDescent="0.35">
      <c r="X4" s="112"/>
    </row>
    <row r="5" spans="1:24" ht="18.75" customHeight="1" x14ac:dyDescent="0.3">
      <c r="B5" s="108" t="s">
        <v>43</v>
      </c>
      <c r="C5" s="181" t="str">
        <f>'Absensi 10-5'!AP6</f>
        <v>10-5</v>
      </c>
      <c r="V5" s="305" t="s">
        <v>139</v>
      </c>
      <c r="W5" s="306"/>
      <c r="X5" s="112"/>
    </row>
    <row r="6" spans="1:24" ht="18.75" customHeight="1" x14ac:dyDescent="0.3">
      <c r="B6" s="108" t="s">
        <v>42</v>
      </c>
      <c r="C6" s="23" t="str">
        <f>PROPER(CV!A27)</f>
        <v>Informatika</v>
      </c>
      <c r="V6" s="307">
        <v>78</v>
      </c>
      <c r="W6" s="308"/>
      <c r="X6" s="112"/>
    </row>
    <row r="7" spans="1:24" ht="18.75" customHeight="1" thickBot="1" x14ac:dyDescent="0.35">
      <c r="B7" s="108" t="s">
        <v>41</v>
      </c>
      <c r="C7" s="23" t="s">
        <v>300</v>
      </c>
      <c r="V7" s="309"/>
      <c r="W7" s="310"/>
      <c r="X7" s="112"/>
    </row>
    <row r="8" spans="1:24" ht="3" customHeight="1" thickBot="1" x14ac:dyDescent="0.35">
      <c r="X8" s="112"/>
    </row>
    <row r="9" spans="1:24" ht="16.5" customHeight="1" x14ac:dyDescent="0.3">
      <c r="A9" s="319" t="s">
        <v>40</v>
      </c>
      <c r="B9" s="317" t="s">
        <v>39</v>
      </c>
      <c r="C9" s="315" t="s">
        <v>38</v>
      </c>
      <c r="D9" s="305" t="s">
        <v>151</v>
      </c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2"/>
      <c r="S9" s="317" t="s">
        <v>141</v>
      </c>
      <c r="T9" s="303" t="s">
        <v>44</v>
      </c>
      <c r="V9" s="311" t="s">
        <v>140</v>
      </c>
      <c r="W9" s="312"/>
      <c r="X9" s="112"/>
    </row>
    <row r="10" spans="1:24" ht="16.2" thickBot="1" x14ac:dyDescent="0.35">
      <c r="A10" s="320"/>
      <c r="B10" s="318"/>
      <c r="C10" s="316"/>
      <c r="D10" s="165" t="s">
        <v>46</v>
      </c>
      <c r="E10" s="166" t="s">
        <v>47</v>
      </c>
      <c r="F10" s="166" t="s">
        <v>48</v>
      </c>
      <c r="G10" s="166" t="s">
        <v>49</v>
      </c>
      <c r="H10" s="166" t="s">
        <v>50</v>
      </c>
      <c r="I10" s="166" t="s">
        <v>51</v>
      </c>
      <c r="J10" s="167" t="s">
        <v>52</v>
      </c>
      <c r="K10" s="166" t="s">
        <v>143</v>
      </c>
      <c r="L10" s="167" t="s">
        <v>144</v>
      </c>
      <c r="M10" s="166" t="s">
        <v>145</v>
      </c>
      <c r="N10" s="167" t="s">
        <v>146</v>
      </c>
      <c r="O10" s="166" t="s">
        <v>147</v>
      </c>
      <c r="P10" s="167" t="s">
        <v>148</v>
      </c>
      <c r="Q10" s="166" t="s">
        <v>149</v>
      </c>
      <c r="R10" s="167" t="s">
        <v>150</v>
      </c>
      <c r="S10" s="318"/>
      <c r="T10" s="304"/>
      <c r="U10" s="113"/>
      <c r="V10" s="313"/>
      <c r="W10" s="314"/>
      <c r="X10" s="113"/>
    </row>
    <row r="11" spans="1:24" ht="16.5" hidden="1" customHeight="1" thickTop="1" thickBot="1" x14ac:dyDescent="0.35">
      <c r="A11" s="30"/>
      <c r="B11" s="29"/>
      <c r="C11" s="96"/>
      <c r="D11" s="91">
        <f t="shared" ref="D11:R11" si="0">IF(COUNTA(D12:D59)&gt;0,1,0)</f>
        <v>1</v>
      </c>
      <c r="E11" s="28">
        <f t="shared" si="0"/>
        <v>0</v>
      </c>
      <c r="F11" s="28">
        <f t="shared" si="0"/>
        <v>0</v>
      </c>
      <c r="G11" s="28">
        <f t="shared" si="0"/>
        <v>0</v>
      </c>
      <c r="H11" s="28">
        <f t="shared" si="0"/>
        <v>0</v>
      </c>
      <c r="I11" s="28">
        <f t="shared" si="0"/>
        <v>0</v>
      </c>
      <c r="J11" s="118">
        <f t="shared" si="0"/>
        <v>0</v>
      </c>
      <c r="K11" s="28">
        <f t="shared" si="0"/>
        <v>0</v>
      </c>
      <c r="L11" s="28">
        <f t="shared" si="0"/>
        <v>0</v>
      </c>
      <c r="M11" s="28">
        <f t="shared" si="0"/>
        <v>0</v>
      </c>
      <c r="N11" s="28">
        <f t="shared" si="0"/>
        <v>0</v>
      </c>
      <c r="O11" s="28">
        <f t="shared" si="0"/>
        <v>0</v>
      </c>
      <c r="P11" s="28">
        <f t="shared" si="0"/>
        <v>0</v>
      </c>
      <c r="Q11" s="28">
        <f t="shared" si="0"/>
        <v>0</v>
      </c>
      <c r="R11" s="28">
        <f t="shared" si="0"/>
        <v>0</v>
      </c>
      <c r="S11" s="28">
        <f>IF(SUM(S12:S59)=0,0,1)</f>
        <v>0</v>
      </c>
      <c r="T11" s="92">
        <f>SUM(D11:R11)</f>
        <v>1</v>
      </c>
      <c r="U11" s="113"/>
      <c r="V11" s="114"/>
      <c r="W11" s="115"/>
      <c r="X11" s="113"/>
    </row>
    <row r="12" spans="1:24" ht="15.9" customHeight="1" thickTop="1" x14ac:dyDescent="0.3">
      <c r="A12" s="171">
        <v>1</v>
      </c>
      <c r="B12" s="172" t="str">
        <f>'Absensi 10-5'!AO11</f>
        <v>ADINDA PRABANDARI KINASIH</v>
      </c>
      <c r="C12" s="173" t="str">
        <f>'Absensi 10-5'!AP11</f>
        <v>P</v>
      </c>
      <c r="D12" s="93">
        <v>58.615384615384613</v>
      </c>
      <c r="E12" s="45"/>
      <c r="F12" s="45"/>
      <c r="G12" s="45"/>
      <c r="H12" s="45"/>
      <c r="I12" s="45"/>
      <c r="J12" s="119"/>
      <c r="K12" s="45"/>
      <c r="L12" s="45"/>
      <c r="M12" s="45"/>
      <c r="N12" s="45"/>
      <c r="O12" s="45"/>
      <c r="P12" s="45"/>
      <c r="Q12" s="45"/>
      <c r="R12" s="45"/>
      <c r="S12" s="45"/>
      <c r="T12" s="168">
        <f>IFERROR(IF(S$11=0,SUM(D12:R12)/T$11,SUM(D12:R12)/T$11*70%+S12*30%),"")</f>
        <v>58.615384615384613</v>
      </c>
      <c r="V12" s="302" t="s">
        <v>46</v>
      </c>
      <c r="W12" s="301" t="s">
        <v>302</v>
      </c>
      <c r="X12" s="112"/>
    </row>
    <row r="13" spans="1:24" ht="15.9" customHeight="1" x14ac:dyDescent="0.3">
      <c r="A13" s="174">
        <v>2</v>
      </c>
      <c r="B13" s="172" t="str">
        <f>'Absensi 10-5'!AO12</f>
        <v>ALIFA MEYLANI SAFITRI</v>
      </c>
      <c r="C13" s="173" t="str">
        <f>'Absensi 10-5'!AP12</f>
        <v>P</v>
      </c>
      <c r="D13" s="94">
        <v>54.307692307692307</v>
      </c>
      <c r="E13" s="9"/>
      <c r="F13" s="9"/>
      <c r="G13" s="9"/>
      <c r="H13" s="9"/>
      <c r="I13" s="9"/>
      <c r="J13" s="120"/>
      <c r="K13" s="9"/>
      <c r="L13" s="9"/>
      <c r="M13" s="9"/>
      <c r="N13" s="9"/>
      <c r="O13" s="9"/>
      <c r="P13" s="9"/>
      <c r="Q13" s="9"/>
      <c r="R13" s="9"/>
      <c r="S13" s="9"/>
      <c r="T13" s="169">
        <f t="shared" ref="T13:T59" si="1">IFERROR(IF(S$11=0,ROUNDUP(SUM(D13:R13)/T$11,0),ROUNDUP(SUM(D13:R13)/T$11*70%+S13*30%,0)),"")</f>
        <v>55</v>
      </c>
      <c r="V13" s="293"/>
      <c r="W13" s="295"/>
      <c r="X13" s="112"/>
    </row>
    <row r="14" spans="1:24" ht="15.9" customHeight="1" x14ac:dyDescent="0.3">
      <c r="A14" s="174">
        <v>3</v>
      </c>
      <c r="B14" s="172" t="str">
        <f>'Absensi 10-5'!AO13</f>
        <v>AMALIA NURFADILAH</v>
      </c>
      <c r="C14" s="173" t="str">
        <f>'Absensi 10-5'!AP13</f>
        <v>P</v>
      </c>
      <c r="D14" s="94">
        <v>62.92307692307692</v>
      </c>
      <c r="E14" s="9"/>
      <c r="F14" s="9"/>
      <c r="G14" s="9"/>
      <c r="H14" s="9"/>
      <c r="I14" s="9"/>
      <c r="J14" s="120"/>
      <c r="K14" s="9"/>
      <c r="L14" s="9"/>
      <c r="M14" s="9"/>
      <c r="N14" s="9"/>
      <c r="O14" s="9"/>
      <c r="P14" s="9"/>
      <c r="Q14" s="9"/>
      <c r="R14" s="9"/>
      <c r="S14" s="9"/>
      <c r="T14" s="169">
        <f t="shared" si="1"/>
        <v>63</v>
      </c>
      <c r="V14" s="294"/>
      <c r="W14" s="296"/>
      <c r="X14" s="112"/>
    </row>
    <row r="15" spans="1:24" ht="15.9" customHeight="1" x14ac:dyDescent="0.3">
      <c r="A15" s="171">
        <v>4</v>
      </c>
      <c r="B15" s="172" t="str">
        <f>'Absensi 10-5'!AO14</f>
        <v>ARIA KUSUMAH</v>
      </c>
      <c r="C15" s="173" t="str">
        <f>'Absensi 10-5'!AP14</f>
        <v>L</v>
      </c>
      <c r="D15" s="94">
        <v>67.230769230769226</v>
      </c>
      <c r="E15" s="9"/>
      <c r="F15" s="9"/>
      <c r="G15" s="9"/>
      <c r="H15" s="9"/>
      <c r="I15" s="9"/>
      <c r="J15" s="120"/>
      <c r="K15" s="9"/>
      <c r="L15" s="9"/>
      <c r="M15" s="9"/>
      <c r="N15" s="9"/>
      <c r="O15" s="9"/>
      <c r="P15" s="9"/>
      <c r="Q15" s="9"/>
      <c r="R15" s="9"/>
      <c r="S15" s="9"/>
      <c r="T15" s="169">
        <f t="shared" si="1"/>
        <v>68</v>
      </c>
      <c r="V15" s="293" t="s">
        <v>47</v>
      </c>
      <c r="W15" s="295"/>
      <c r="X15" s="112"/>
    </row>
    <row r="16" spans="1:24" ht="15.9" customHeight="1" x14ac:dyDescent="0.3">
      <c r="A16" s="174">
        <v>5</v>
      </c>
      <c r="B16" s="172" t="str">
        <f>'Absensi 10-5'!AO15</f>
        <v>AULIA KINASIH</v>
      </c>
      <c r="C16" s="173" t="str">
        <f>'Absensi 10-5'!AP15</f>
        <v>P</v>
      </c>
      <c r="D16" s="94">
        <v>65.07692307692308</v>
      </c>
      <c r="E16" s="9"/>
      <c r="F16" s="9"/>
      <c r="G16" s="9"/>
      <c r="H16" s="9"/>
      <c r="I16" s="9"/>
      <c r="J16" s="120"/>
      <c r="K16" s="9"/>
      <c r="L16" s="9"/>
      <c r="M16" s="109"/>
      <c r="N16" s="9"/>
      <c r="O16" s="9"/>
      <c r="P16" s="9"/>
      <c r="Q16" s="9"/>
      <c r="R16" s="9"/>
      <c r="S16" s="9"/>
      <c r="T16" s="169">
        <f t="shared" si="1"/>
        <v>66</v>
      </c>
      <c r="V16" s="293"/>
      <c r="W16" s="295"/>
      <c r="X16" s="112"/>
    </row>
    <row r="17" spans="1:24" ht="15.9" customHeight="1" x14ac:dyDescent="0.3">
      <c r="A17" s="174">
        <v>6</v>
      </c>
      <c r="B17" s="172" t="str">
        <f>'Absensi 10-5'!AO16</f>
        <v>BALQIS FANIDA SORAYA</v>
      </c>
      <c r="C17" s="173" t="str">
        <f>'Absensi 10-5'!AP16</f>
        <v>P</v>
      </c>
      <c r="D17" s="94">
        <v>54.307692307692307</v>
      </c>
      <c r="E17" s="9"/>
      <c r="F17" s="9"/>
      <c r="G17" s="9"/>
      <c r="H17" s="9"/>
      <c r="I17" s="9"/>
      <c r="J17" s="120"/>
      <c r="K17" s="9"/>
      <c r="L17" s="9"/>
      <c r="M17" s="9"/>
      <c r="N17" s="9"/>
      <c r="O17" s="9"/>
      <c r="P17" s="9"/>
      <c r="Q17" s="9"/>
      <c r="R17" s="9"/>
      <c r="S17" s="9"/>
      <c r="T17" s="169">
        <f t="shared" si="1"/>
        <v>55</v>
      </c>
      <c r="V17" s="294"/>
      <c r="W17" s="296"/>
      <c r="X17" s="112"/>
    </row>
    <row r="18" spans="1:24" ht="15.9" customHeight="1" x14ac:dyDescent="0.3">
      <c r="A18" s="171">
        <v>7</v>
      </c>
      <c r="B18" s="172" t="str">
        <f>'Absensi 10-5'!AO17</f>
        <v>CAHYA ISMAIL</v>
      </c>
      <c r="C18" s="173" t="str">
        <f>'Absensi 10-5'!AP17</f>
        <v>L</v>
      </c>
      <c r="D18" s="94">
        <v>50</v>
      </c>
      <c r="E18" s="9"/>
      <c r="F18" s="9"/>
      <c r="G18" s="9"/>
      <c r="H18" s="9"/>
      <c r="I18" s="9"/>
      <c r="J18" s="120"/>
      <c r="K18" s="9"/>
      <c r="L18" s="9"/>
      <c r="M18" s="9"/>
      <c r="N18" s="9"/>
      <c r="O18" s="9"/>
      <c r="P18" s="9"/>
      <c r="Q18" s="9"/>
      <c r="R18" s="9"/>
      <c r="S18" s="9"/>
      <c r="T18" s="169">
        <f t="shared" si="1"/>
        <v>50</v>
      </c>
      <c r="V18" s="293" t="s">
        <v>48</v>
      </c>
      <c r="W18" s="295"/>
      <c r="X18" s="112"/>
    </row>
    <row r="19" spans="1:24" ht="15.9" customHeight="1" x14ac:dyDescent="0.3">
      <c r="A19" s="174">
        <v>8</v>
      </c>
      <c r="B19" s="172" t="str">
        <f>'Absensi 10-5'!AO18</f>
        <v>CHIARA HASNA ZHAFIRA</v>
      </c>
      <c r="C19" s="173" t="str">
        <f>'Absensi 10-5'!AP18</f>
        <v>P</v>
      </c>
      <c r="D19" s="94">
        <v>65.07692307692308</v>
      </c>
      <c r="E19" s="9"/>
      <c r="F19" s="9"/>
      <c r="G19" s="9"/>
      <c r="H19" s="9"/>
      <c r="I19" s="9"/>
      <c r="J19" s="120"/>
      <c r="K19" s="9"/>
      <c r="L19" s="9"/>
      <c r="M19" s="9"/>
      <c r="N19" s="9"/>
      <c r="O19" s="9"/>
      <c r="P19" s="9"/>
      <c r="Q19" s="9"/>
      <c r="R19" s="9"/>
      <c r="S19" s="9"/>
      <c r="T19" s="169">
        <f t="shared" si="1"/>
        <v>66</v>
      </c>
      <c r="V19" s="293"/>
      <c r="W19" s="295"/>
      <c r="X19" s="112"/>
    </row>
    <row r="20" spans="1:24" ht="15.9" customHeight="1" x14ac:dyDescent="0.3">
      <c r="A20" s="174">
        <v>9</v>
      </c>
      <c r="B20" s="172" t="str">
        <f>'Absensi 10-5'!AO19</f>
        <v>DEVILIA AULIA PUTRI</v>
      </c>
      <c r="C20" s="173" t="str">
        <f>'Absensi 10-5'!AP19</f>
        <v>P</v>
      </c>
      <c r="D20" s="94">
        <v>65.07692307692308</v>
      </c>
      <c r="E20" s="9"/>
      <c r="F20" s="9"/>
      <c r="G20" s="9"/>
      <c r="H20" s="9"/>
      <c r="I20" s="9"/>
      <c r="J20" s="120"/>
      <c r="K20" s="9"/>
      <c r="L20" s="9"/>
      <c r="M20" s="9"/>
      <c r="N20" s="9"/>
      <c r="O20" s="9"/>
      <c r="P20" s="9"/>
      <c r="Q20" s="9"/>
      <c r="R20" s="9"/>
      <c r="S20" s="9"/>
      <c r="T20" s="169">
        <f t="shared" si="1"/>
        <v>66</v>
      </c>
      <c r="V20" s="294"/>
      <c r="W20" s="296"/>
      <c r="X20" s="112"/>
    </row>
    <row r="21" spans="1:24" ht="15.9" customHeight="1" x14ac:dyDescent="0.3">
      <c r="A21" s="171">
        <v>10</v>
      </c>
      <c r="B21" s="172" t="str">
        <f>'Absensi 10-5'!AO20</f>
        <v>EGA YUDA NUGRAHA</v>
      </c>
      <c r="C21" s="173" t="str">
        <f>'Absensi 10-5'!AP20</f>
        <v>L</v>
      </c>
      <c r="D21" s="94">
        <v>67.230769230769226</v>
      </c>
      <c r="E21" s="9"/>
      <c r="F21" s="9"/>
      <c r="G21" s="9"/>
      <c r="H21" s="9"/>
      <c r="I21" s="9"/>
      <c r="J21" s="120"/>
      <c r="K21" s="9"/>
      <c r="L21" s="9"/>
      <c r="M21" s="9"/>
      <c r="N21" s="9"/>
      <c r="O21" s="9"/>
      <c r="P21" s="9"/>
      <c r="Q21" s="9"/>
      <c r="R21" s="9"/>
      <c r="S21" s="9"/>
      <c r="T21" s="169">
        <f t="shared" si="1"/>
        <v>68</v>
      </c>
      <c r="V21" s="293" t="s">
        <v>49</v>
      </c>
      <c r="W21" s="295"/>
      <c r="X21" s="112"/>
    </row>
    <row r="22" spans="1:24" ht="15.9" customHeight="1" x14ac:dyDescent="0.3">
      <c r="A22" s="174">
        <v>11</v>
      </c>
      <c r="B22" s="172" t="str">
        <f>'Absensi 10-5'!AO21</f>
        <v>ELMIRA ZAHIYA RUSDI</v>
      </c>
      <c r="C22" s="173" t="str">
        <f>'Absensi 10-5'!AP21</f>
        <v>P</v>
      </c>
      <c r="D22" s="94">
        <v>62.92307692307692</v>
      </c>
      <c r="E22" s="9"/>
      <c r="F22" s="9"/>
      <c r="G22" s="9"/>
      <c r="H22" s="9"/>
      <c r="I22" s="9"/>
      <c r="J22" s="120"/>
      <c r="K22" s="9"/>
      <c r="L22" s="9"/>
      <c r="M22" s="9"/>
      <c r="N22" s="9"/>
      <c r="O22" s="9"/>
      <c r="P22" s="9"/>
      <c r="Q22" s="9"/>
      <c r="R22" s="9"/>
      <c r="S22" s="9"/>
      <c r="T22" s="169">
        <f t="shared" si="1"/>
        <v>63</v>
      </c>
      <c r="V22" s="293"/>
      <c r="W22" s="295"/>
      <c r="X22" s="112"/>
    </row>
    <row r="23" spans="1:24" ht="15.9" customHeight="1" x14ac:dyDescent="0.3">
      <c r="A23" s="174">
        <v>12</v>
      </c>
      <c r="B23" s="172" t="str">
        <f>'Absensi 10-5'!AO22</f>
        <v>FAHRAN FATUROHMAN</v>
      </c>
      <c r="C23" s="173" t="str">
        <f>'Absensi 10-5'!AP22</f>
        <v>L</v>
      </c>
      <c r="D23" s="94">
        <v>62.92307692307692</v>
      </c>
      <c r="E23" s="9"/>
      <c r="F23" s="9"/>
      <c r="G23" s="9"/>
      <c r="H23" s="9"/>
      <c r="I23" s="9"/>
      <c r="J23" s="120"/>
      <c r="K23" s="9"/>
      <c r="L23" s="9"/>
      <c r="M23" s="9"/>
      <c r="N23" s="9"/>
      <c r="O23" s="9"/>
      <c r="P23" s="9"/>
      <c r="Q23" s="9"/>
      <c r="R23" s="9"/>
      <c r="S23" s="9"/>
      <c r="T23" s="169">
        <f t="shared" si="1"/>
        <v>63</v>
      </c>
      <c r="V23" s="294"/>
      <c r="W23" s="296"/>
      <c r="X23" s="112"/>
    </row>
    <row r="24" spans="1:24" ht="15.9" customHeight="1" x14ac:dyDescent="0.3">
      <c r="A24" s="171">
        <v>13</v>
      </c>
      <c r="B24" s="172" t="str">
        <f>'Absensi 10-5'!AO23</f>
        <v>FAKHIRA SALWA NABILA</v>
      </c>
      <c r="C24" s="173" t="str">
        <f>'Absensi 10-5'!AP23</f>
        <v>P</v>
      </c>
      <c r="D24" s="94">
        <v>65.07692307692308</v>
      </c>
      <c r="E24" s="9"/>
      <c r="F24" s="9"/>
      <c r="G24" s="9"/>
      <c r="H24" s="9"/>
      <c r="I24" s="9"/>
      <c r="J24" s="120"/>
      <c r="K24" s="9"/>
      <c r="L24" s="9"/>
      <c r="M24" s="9"/>
      <c r="N24" s="9"/>
      <c r="O24" s="9"/>
      <c r="P24" s="9"/>
      <c r="Q24" s="9"/>
      <c r="R24" s="9"/>
      <c r="S24" s="9"/>
      <c r="T24" s="169">
        <f t="shared" si="1"/>
        <v>66</v>
      </c>
      <c r="V24" s="293" t="s">
        <v>50</v>
      </c>
      <c r="W24" s="295"/>
      <c r="X24" s="112"/>
    </row>
    <row r="25" spans="1:24" ht="15.9" customHeight="1" x14ac:dyDescent="0.3">
      <c r="A25" s="174">
        <v>14</v>
      </c>
      <c r="B25" s="172" t="str">
        <f>'Absensi 10-5'!AO24</f>
        <v>FATHIYYA AMEERA QUEENNARRA EDWARD</v>
      </c>
      <c r="C25" s="173" t="str">
        <f>'Absensi 10-5'!AP24</f>
        <v>P</v>
      </c>
      <c r="D25" s="94">
        <v>71.538461538461547</v>
      </c>
      <c r="E25" s="9"/>
      <c r="F25" s="9"/>
      <c r="G25" s="9"/>
      <c r="H25" s="9"/>
      <c r="I25" s="9"/>
      <c r="J25" s="120"/>
      <c r="K25" s="9"/>
      <c r="L25" s="9"/>
      <c r="M25" s="9"/>
      <c r="N25" s="9"/>
      <c r="O25" s="9"/>
      <c r="P25" s="9"/>
      <c r="Q25" s="9"/>
      <c r="R25" s="9"/>
      <c r="S25" s="9"/>
      <c r="T25" s="169">
        <f t="shared" si="1"/>
        <v>72</v>
      </c>
      <c r="V25" s="293"/>
      <c r="W25" s="295"/>
      <c r="X25" s="112"/>
    </row>
    <row r="26" spans="1:24" ht="15.9" customHeight="1" x14ac:dyDescent="0.3">
      <c r="A26" s="174">
        <v>15</v>
      </c>
      <c r="B26" s="172" t="str">
        <f>'Absensi 10-5'!AO25</f>
        <v>FAUZAN SYAWAL PRATAMA</v>
      </c>
      <c r="C26" s="173" t="str">
        <f>'Absensi 10-5'!AP25</f>
        <v>L</v>
      </c>
      <c r="D26" s="94">
        <v>65.07692307692308</v>
      </c>
      <c r="E26" s="9"/>
      <c r="F26" s="9"/>
      <c r="G26" s="9"/>
      <c r="H26" s="9"/>
      <c r="I26" s="9"/>
      <c r="J26" s="120"/>
      <c r="K26" s="9"/>
      <c r="L26" s="9"/>
      <c r="M26" s="9"/>
      <c r="N26" s="9"/>
      <c r="O26" s="9"/>
      <c r="P26" s="9"/>
      <c r="Q26" s="9"/>
      <c r="R26" s="9"/>
      <c r="S26" s="9"/>
      <c r="T26" s="169">
        <f t="shared" si="1"/>
        <v>66</v>
      </c>
      <c r="V26" s="294"/>
      <c r="W26" s="296"/>
      <c r="X26" s="112"/>
    </row>
    <row r="27" spans="1:24" ht="15.9" customHeight="1" x14ac:dyDescent="0.3">
      <c r="A27" s="171">
        <v>16</v>
      </c>
      <c r="B27" s="172" t="str">
        <f>'Absensi 10-5'!AO26</f>
        <v>GHEA RAHMAYANI</v>
      </c>
      <c r="C27" s="173" t="str">
        <f>'Absensi 10-5'!AP26</f>
        <v>P</v>
      </c>
      <c r="D27" s="94">
        <v>62.92307692307692</v>
      </c>
      <c r="E27" s="9"/>
      <c r="F27" s="9"/>
      <c r="G27" s="9"/>
      <c r="H27" s="9"/>
      <c r="I27" s="9"/>
      <c r="J27" s="120"/>
      <c r="K27" s="9"/>
      <c r="L27" s="9"/>
      <c r="M27" s="9"/>
      <c r="N27" s="9"/>
      <c r="O27" s="9"/>
      <c r="P27" s="9"/>
      <c r="Q27" s="9"/>
      <c r="R27" s="9"/>
      <c r="S27" s="9"/>
      <c r="T27" s="169">
        <f t="shared" si="1"/>
        <v>63</v>
      </c>
      <c r="V27" s="293" t="s">
        <v>51</v>
      </c>
      <c r="W27" s="295"/>
      <c r="X27" s="112"/>
    </row>
    <row r="28" spans="1:24" ht="15.9" customHeight="1" x14ac:dyDescent="0.3">
      <c r="A28" s="174">
        <v>17</v>
      </c>
      <c r="B28" s="172" t="str">
        <f>'Absensi 10-5'!AO27</f>
        <v>INTANIA RAMADANIA</v>
      </c>
      <c r="C28" s="173" t="str">
        <f>'Absensi 10-5'!AP27</f>
        <v>P</v>
      </c>
      <c r="D28" s="94">
        <v>52.153846153846153</v>
      </c>
      <c r="E28" s="9"/>
      <c r="F28" s="9"/>
      <c r="G28" s="9"/>
      <c r="H28" s="9"/>
      <c r="I28" s="9"/>
      <c r="J28" s="120"/>
      <c r="K28" s="9"/>
      <c r="L28" s="9"/>
      <c r="M28" s="9"/>
      <c r="N28" s="9"/>
      <c r="O28" s="9"/>
      <c r="P28" s="9"/>
      <c r="Q28" s="9"/>
      <c r="R28" s="9"/>
      <c r="S28" s="9"/>
      <c r="T28" s="169">
        <f t="shared" si="1"/>
        <v>53</v>
      </c>
      <c r="V28" s="293"/>
      <c r="W28" s="295"/>
      <c r="X28" s="112"/>
    </row>
    <row r="29" spans="1:24" ht="15.9" customHeight="1" x14ac:dyDescent="0.3">
      <c r="A29" s="174">
        <v>18</v>
      </c>
      <c r="B29" s="172" t="str">
        <f>'Absensi 10-5'!AO28</f>
        <v>JAUZA HANA NABILA</v>
      </c>
      <c r="C29" s="173" t="str">
        <f>'Absensi 10-5'!AP28</f>
        <v>P</v>
      </c>
      <c r="D29" s="94">
        <v>54.307692307692307</v>
      </c>
      <c r="E29" s="9"/>
      <c r="F29" s="9"/>
      <c r="G29" s="9"/>
      <c r="H29" s="9"/>
      <c r="I29" s="9"/>
      <c r="J29" s="120"/>
      <c r="K29" s="9"/>
      <c r="L29" s="9"/>
      <c r="M29" s="9"/>
      <c r="N29" s="9"/>
      <c r="O29" s="9"/>
      <c r="P29" s="9"/>
      <c r="Q29" s="9"/>
      <c r="R29" s="9"/>
      <c r="S29" s="9"/>
      <c r="T29" s="169">
        <f t="shared" si="1"/>
        <v>55</v>
      </c>
      <c r="V29" s="294"/>
      <c r="W29" s="296"/>
      <c r="X29" s="112"/>
    </row>
    <row r="30" spans="1:24" ht="15.9" customHeight="1" x14ac:dyDescent="0.3">
      <c r="A30" s="171">
        <v>19</v>
      </c>
      <c r="B30" s="172" t="str">
        <f>'Absensi 10-5'!AO29</f>
        <v>KEYSHA NUR RAHAYU</v>
      </c>
      <c r="C30" s="173" t="str">
        <f>'Absensi 10-5'!AP29</f>
        <v>P</v>
      </c>
      <c r="D30" s="94">
        <v>67.230769230769226</v>
      </c>
      <c r="E30" s="9"/>
      <c r="F30" s="9"/>
      <c r="G30" s="9"/>
      <c r="H30" s="9"/>
      <c r="I30" s="9"/>
      <c r="J30" s="120"/>
      <c r="K30" s="9"/>
      <c r="L30" s="9"/>
      <c r="M30" s="9"/>
      <c r="N30" s="9"/>
      <c r="O30" s="9"/>
      <c r="P30" s="9"/>
      <c r="Q30" s="9"/>
      <c r="R30" s="9"/>
      <c r="S30" s="9"/>
      <c r="T30" s="169">
        <f t="shared" si="1"/>
        <v>68</v>
      </c>
      <c r="V30" s="293" t="s">
        <v>52</v>
      </c>
      <c r="W30" s="295"/>
      <c r="X30" s="112"/>
    </row>
    <row r="31" spans="1:24" ht="15.9" customHeight="1" x14ac:dyDescent="0.3">
      <c r="A31" s="174">
        <v>20</v>
      </c>
      <c r="B31" s="172" t="str">
        <f>'Absensi 10-5'!AO30</f>
        <v>MAHESYA LILY</v>
      </c>
      <c r="C31" s="173" t="str">
        <f>'Absensi 10-5'!AP30</f>
        <v>P</v>
      </c>
      <c r="D31" s="94">
        <v>67.230769230769226</v>
      </c>
      <c r="E31" s="9"/>
      <c r="F31" s="9"/>
      <c r="G31" s="9"/>
      <c r="H31" s="9"/>
      <c r="I31" s="9"/>
      <c r="J31" s="120"/>
      <c r="K31" s="9"/>
      <c r="L31" s="9"/>
      <c r="M31" s="9"/>
      <c r="N31" s="9"/>
      <c r="O31" s="9"/>
      <c r="P31" s="9"/>
      <c r="Q31" s="9"/>
      <c r="R31" s="9"/>
      <c r="S31" s="9"/>
      <c r="T31" s="169">
        <f t="shared" si="1"/>
        <v>68</v>
      </c>
      <c r="V31" s="294"/>
      <c r="W31" s="296"/>
      <c r="X31" s="112"/>
    </row>
    <row r="32" spans="1:24" ht="15.9" customHeight="1" x14ac:dyDescent="0.3">
      <c r="A32" s="174">
        <v>21</v>
      </c>
      <c r="B32" s="172" t="str">
        <f>'Absensi 10-5'!AO31</f>
        <v>MALVIN AKSATRYA DANISWARA KUSMANA</v>
      </c>
      <c r="C32" s="173" t="str">
        <f>'Absensi 10-5'!AP31</f>
        <v>L</v>
      </c>
      <c r="D32" s="94">
        <v>78</v>
      </c>
      <c r="E32" s="9"/>
      <c r="F32" s="9"/>
      <c r="G32" s="9"/>
      <c r="H32" s="9"/>
      <c r="I32" s="9"/>
      <c r="J32" s="120"/>
      <c r="K32" s="9"/>
      <c r="L32" s="9"/>
      <c r="M32" s="9"/>
      <c r="N32" s="9"/>
      <c r="O32" s="9"/>
      <c r="P32" s="9"/>
      <c r="Q32" s="9"/>
      <c r="R32" s="9"/>
      <c r="S32" s="9"/>
      <c r="T32" s="169">
        <f t="shared" si="1"/>
        <v>78</v>
      </c>
      <c r="V32" s="293" t="s">
        <v>143</v>
      </c>
      <c r="W32" s="295"/>
      <c r="X32" s="112"/>
    </row>
    <row r="33" spans="1:24" ht="15.9" customHeight="1" x14ac:dyDescent="0.3">
      <c r="A33" s="171">
        <v>22</v>
      </c>
      <c r="B33" s="172" t="str">
        <f>'Absensi 10-5'!AO32</f>
        <v>MARWA NURHAA NAFIAH</v>
      </c>
      <c r="C33" s="173" t="str">
        <f>'Absensi 10-5'!AP32</f>
        <v>P</v>
      </c>
      <c r="D33" s="94">
        <v>65.07692307692308</v>
      </c>
      <c r="E33" s="9"/>
      <c r="F33" s="9"/>
      <c r="G33" s="9"/>
      <c r="H33" s="9"/>
      <c r="I33" s="9"/>
      <c r="J33" s="120"/>
      <c r="K33" s="9"/>
      <c r="L33" s="9"/>
      <c r="M33" s="9"/>
      <c r="N33" s="9"/>
      <c r="O33" s="9"/>
      <c r="P33" s="9"/>
      <c r="Q33" s="9"/>
      <c r="R33" s="9"/>
      <c r="S33" s="9"/>
      <c r="T33" s="169">
        <f t="shared" si="1"/>
        <v>66</v>
      </c>
      <c r="V33" s="293"/>
      <c r="W33" s="295"/>
      <c r="X33" s="112"/>
    </row>
    <row r="34" spans="1:24" ht="15.9" customHeight="1" x14ac:dyDescent="0.3">
      <c r="A34" s="174">
        <v>23</v>
      </c>
      <c r="B34" s="172" t="str">
        <f>'Absensi 10-5'!AO33</f>
        <v>MIKAIL AL KAUTSAR SIMA PAWITRA</v>
      </c>
      <c r="C34" s="173" t="str">
        <f>'Absensi 10-5'!AP33</f>
        <v>L</v>
      </c>
      <c r="D34" s="94">
        <v>65.07692307692308</v>
      </c>
      <c r="E34" s="9"/>
      <c r="F34" s="9"/>
      <c r="G34" s="9"/>
      <c r="H34" s="9"/>
      <c r="I34" s="9"/>
      <c r="J34" s="120"/>
      <c r="K34" s="9"/>
      <c r="L34" s="9"/>
      <c r="M34" s="9"/>
      <c r="N34" s="9"/>
      <c r="O34" s="9"/>
      <c r="P34" s="9"/>
      <c r="Q34" s="9"/>
      <c r="R34" s="9"/>
      <c r="S34" s="9"/>
      <c r="T34" s="169">
        <f t="shared" si="1"/>
        <v>66</v>
      </c>
      <c r="V34" s="294"/>
      <c r="W34" s="296"/>
      <c r="X34" s="112"/>
    </row>
    <row r="35" spans="1:24" ht="15.9" customHeight="1" x14ac:dyDescent="0.3">
      <c r="A35" s="174">
        <v>24</v>
      </c>
      <c r="B35" s="172" t="str">
        <f>'Absensi 10-5'!AO34</f>
        <v>MUHAMAD AGUNG RIVA RISQULOH</v>
      </c>
      <c r="C35" s="173" t="str">
        <f>'Absensi 10-5'!AP34</f>
        <v>L</v>
      </c>
      <c r="D35" s="94">
        <v>58.615384615384613</v>
      </c>
      <c r="E35" s="9"/>
      <c r="F35" s="9"/>
      <c r="G35" s="9"/>
      <c r="H35" s="9"/>
      <c r="I35" s="9"/>
      <c r="J35" s="120"/>
      <c r="K35" s="9"/>
      <c r="L35" s="9"/>
      <c r="M35" s="9"/>
      <c r="N35" s="9"/>
      <c r="O35" s="9"/>
      <c r="P35" s="9"/>
      <c r="Q35" s="9"/>
      <c r="R35" s="9"/>
      <c r="S35" s="9"/>
      <c r="T35" s="169">
        <f t="shared" si="1"/>
        <v>59</v>
      </c>
      <c r="V35" s="293" t="s">
        <v>144</v>
      </c>
      <c r="W35" s="295"/>
      <c r="X35" s="112"/>
    </row>
    <row r="36" spans="1:24" ht="15.9" customHeight="1" x14ac:dyDescent="0.3">
      <c r="A36" s="171">
        <v>25</v>
      </c>
      <c r="B36" s="172" t="str">
        <f>'Absensi 10-5'!AO35</f>
        <v>MUHAMAD FAJAR DWI PUTRA</v>
      </c>
      <c r="C36" s="173" t="str">
        <f>'Absensi 10-5'!AP35</f>
        <v>L</v>
      </c>
      <c r="D36" s="94">
        <v>71.538461538461547</v>
      </c>
      <c r="E36" s="9"/>
      <c r="F36" s="9"/>
      <c r="G36" s="9"/>
      <c r="H36" s="9"/>
      <c r="I36" s="9"/>
      <c r="J36" s="120"/>
      <c r="K36" s="9"/>
      <c r="L36" s="9"/>
      <c r="M36" s="9"/>
      <c r="N36" s="9"/>
      <c r="O36" s="9"/>
      <c r="P36" s="9"/>
      <c r="Q36" s="9"/>
      <c r="R36" s="9"/>
      <c r="S36" s="9"/>
      <c r="T36" s="169">
        <f t="shared" si="1"/>
        <v>72</v>
      </c>
      <c r="V36" s="293"/>
      <c r="W36" s="295"/>
      <c r="X36" s="112"/>
    </row>
    <row r="37" spans="1:24" ht="15.9" customHeight="1" x14ac:dyDescent="0.3">
      <c r="A37" s="174">
        <v>26</v>
      </c>
      <c r="B37" s="172" t="str">
        <f>'Absensi 10-5'!AO36</f>
        <v>MUHAMAD PAHMI PUTRA SANGGARA</v>
      </c>
      <c r="C37" s="173" t="str">
        <f>'Absensi 10-5'!AP36</f>
        <v>L</v>
      </c>
      <c r="D37" s="94">
        <v>52.153846153846153</v>
      </c>
      <c r="E37" s="9"/>
      <c r="F37" s="9"/>
      <c r="G37" s="9"/>
      <c r="H37" s="9"/>
      <c r="I37" s="9"/>
      <c r="J37" s="120"/>
      <c r="K37" s="9"/>
      <c r="L37" s="9"/>
      <c r="M37" s="9"/>
      <c r="N37" s="9"/>
      <c r="O37" s="9"/>
      <c r="P37" s="9"/>
      <c r="Q37" s="9"/>
      <c r="R37" s="9"/>
      <c r="S37" s="9"/>
      <c r="T37" s="169">
        <f t="shared" si="1"/>
        <v>53</v>
      </c>
      <c r="V37" s="294"/>
      <c r="W37" s="296"/>
      <c r="X37" s="112"/>
    </row>
    <row r="38" spans="1:24" ht="15.9" customHeight="1" x14ac:dyDescent="0.3">
      <c r="A38" s="174">
        <v>27</v>
      </c>
      <c r="B38" s="172" t="str">
        <f>'Absensi 10-5'!AO37</f>
        <v>MUHAMMAD AZRIL ILHAM</v>
      </c>
      <c r="C38" s="173" t="str">
        <f>'Absensi 10-5'!AP37</f>
        <v>L</v>
      </c>
      <c r="D38" s="94">
        <v>52.153846153846153</v>
      </c>
      <c r="E38" s="9"/>
      <c r="F38" s="9"/>
      <c r="G38" s="9"/>
      <c r="H38" s="9"/>
      <c r="I38" s="9"/>
      <c r="J38" s="120"/>
      <c r="K38" s="9"/>
      <c r="L38" s="9"/>
      <c r="M38" s="9"/>
      <c r="N38" s="9"/>
      <c r="O38" s="9"/>
      <c r="P38" s="9"/>
      <c r="Q38" s="9"/>
      <c r="R38" s="9"/>
      <c r="S38" s="9"/>
      <c r="T38" s="169">
        <f t="shared" si="1"/>
        <v>53</v>
      </c>
      <c r="V38" s="293" t="s">
        <v>145</v>
      </c>
      <c r="W38" s="295"/>
      <c r="X38" s="112"/>
    </row>
    <row r="39" spans="1:24" ht="15.9" customHeight="1" x14ac:dyDescent="0.3">
      <c r="A39" s="171">
        <v>28</v>
      </c>
      <c r="B39" s="172" t="str">
        <f>'Absensi 10-5'!AO38</f>
        <v>MUHAMMAD KAFI AL-FATIH</v>
      </c>
      <c r="C39" s="173" t="str">
        <f>'Absensi 10-5'!AP38</f>
        <v>L</v>
      </c>
      <c r="D39" s="94">
        <v>69.384615384615387</v>
      </c>
      <c r="E39" s="9"/>
      <c r="F39" s="9"/>
      <c r="G39" s="9"/>
      <c r="H39" s="9"/>
      <c r="I39" s="9"/>
      <c r="J39" s="120"/>
      <c r="K39" s="9"/>
      <c r="L39" s="9"/>
      <c r="M39" s="9"/>
      <c r="N39" s="9"/>
      <c r="O39" s="9"/>
      <c r="P39" s="9"/>
      <c r="Q39" s="9"/>
      <c r="R39" s="9"/>
      <c r="S39" s="9"/>
      <c r="T39" s="169">
        <f t="shared" si="1"/>
        <v>70</v>
      </c>
      <c r="V39" s="293"/>
      <c r="W39" s="295"/>
      <c r="X39" s="112"/>
    </row>
    <row r="40" spans="1:24" ht="15.9" customHeight="1" x14ac:dyDescent="0.3">
      <c r="A40" s="174">
        <v>29</v>
      </c>
      <c r="B40" s="172" t="str">
        <f>'Absensi 10-5'!AO39</f>
        <v>MUHAMMAD KARIZA AL FAKHRI</v>
      </c>
      <c r="C40" s="173" t="str">
        <f>'Absensi 10-5'!AP39</f>
        <v>L</v>
      </c>
      <c r="D40" s="94">
        <v>67.230769230769226</v>
      </c>
      <c r="E40" s="9"/>
      <c r="F40" s="9"/>
      <c r="G40" s="9"/>
      <c r="H40" s="9"/>
      <c r="I40" s="9"/>
      <c r="J40" s="120"/>
      <c r="K40" s="9"/>
      <c r="L40" s="9"/>
      <c r="M40" s="9"/>
      <c r="N40" s="9"/>
      <c r="O40" s="9"/>
      <c r="P40" s="9"/>
      <c r="Q40" s="9"/>
      <c r="R40" s="9"/>
      <c r="S40" s="9"/>
      <c r="T40" s="169">
        <f t="shared" si="1"/>
        <v>68</v>
      </c>
      <c r="V40" s="294"/>
      <c r="W40" s="296"/>
      <c r="X40" s="112"/>
    </row>
    <row r="41" spans="1:24" ht="15.9" customHeight="1" x14ac:dyDescent="0.3">
      <c r="A41" s="174">
        <v>30</v>
      </c>
      <c r="B41" s="172" t="str">
        <f>'Absensi 10-5'!AO40</f>
        <v>MUHAMMAD MAHIN</v>
      </c>
      <c r="C41" s="173" t="str">
        <f>'Absensi 10-5'!AP40</f>
        <v>L</v>
      </c>
      <c r="D41" s="94">
        <v>67.230769230769226</v>
      </c>
      <c r="E41" s="9"/>
      <c r="F41" s="9"/>
      <c r="G41" s="9"/>
      <c r="H41" s="9"/>
      <c r="I41" s="9"/>
      <c r="J41" s="120"/>
      <c r="K41" s="9"/>
      <c r="L41" s="9"/>
      <c r="M41" s="9"/>
      <c r="N41" s="9"/>
      <c r="O41" s="9"/>
      <c r="P41" s="9"/>
      <c r="Q41" s="9"/>
      <c r="R41" s="9"/>
      <c r="S41" s="9"/>
      <c r="T41" s="169">
        <f t="shared" si="1"/>
        <v>68</v>
      </c>
      <c r="V41" s="293" t="s">
        <v>146</v>
      </c>
      <c r="W41" s="295"/>
      <c r="X41" s="112"/>
    </row>
    <row r="42" spans="1:24" ht="15.9" customHeight="1" x14ac:dyDescent="0.3">
      <c r="A42" s="171">
        <v>31</v>
      </c>
      <c r="B42" s="172" t="str">
        <f>'Absensi 10-5'!AO41</f>
        <v>MUHAMMAD WILDAN FIRDAUS</v>
      </c>
      <c r="C42" s="173" t="str">
        <f>'Absensi 10-5'!AP41</f>
        <v>L</v>
      </c>
      <c r="D42" s="94">
        <v>60.769230769230774</v>
      </c>
      <c r="E42" s="9"/>
      <c r="F42" s="9"/>
      <c r="G42" s="9"/>
      <c r="H42" s="9"/>
      <c r="I42" s="9"/>
      <c r="J42" s="120"/>
      <c r="K42" s="9"/>
      <c r="L42" s="9"/>
      <c r="M42" s="9"/>
      <c r="N42" s="9"/>
      <c r="O42" s="9"/>
      <c r="P42" s="9"/>
      <c r="Q42" s="9"/>
      <c r="R42" s="9"/>
      <c r="S42" s="9"/>
      <c r="T42" s="169">
        <f t="shared" si="1"/>
        <v>61</v>
      </c>
      <c r="V42" s="293"/>
      <c r="W42" s="295"/>
      <c r="X42" s="112"/>
    </row>
    <row r="43" spans="1:24" ht="15.9" customHeight="1" x14ac:dyDescent="0.3">
      <c r="A43" s="174">
        <v>32</v>
      </c>
      <c r="B43" s="172" t="str">
        <f>'Absensi 10-5'!AO42</f>
        <v>NAILA DZIKRIA AZMI</v>
      </c>
      <c r="C43" s="173" t="str">
        <f>'Absensi 10-5'!AP42</f>
        <v>P</v>
      </c>
      <c r="D43" s="94">
        <v>73.692307692307693</v>
      </c>
      <c r="E43" s="9"/>
      <c r="F43" s="9"/>
      <c r="G43" s="9"/>
      <c r="H43" s="9"/>
      <c r="I43" s="9"/>
      <c r="J43" s="120"/>
      <c r="K43" s="9"/>
      <c r="L43" s="9"/>
      <c r="M43" s="9"/>
      <c r="N43" s="9"/>
      <c r="O43" s="9"/>
      <c r="P43" s="9"/>
      <c r="Q43" s="9"/>
      <c r="R43" s="9"/>
      <c r="S43" s="9"/>
      <c r="T43" s="169">
        <f t="shared" si="1"/>
        <v>74</v>
      </c>
      <c r="V43" s="294"/>
      <c r="W43" s="296"/>
      <c r="X43" s="112"/>
    </row>
    <row r="44" spans="1:24" ht="15.9" customHeight="1" x14ac:dyDescent="0.3">
      <c r="A44" s="174">
        <v>33</v>
      </c>
      <c r="B44" s="172" t="str">
        <f>'Absensi 10-5'!AO43</f>
        <v>NAJLA DWI MUSTIKA</v>
      </c>
      <c r="C44" s="173" t="str">
        <f>'Absensi 10-5'!AP43</f>
        <v>P</v>
      </c>
      <c r="D44" s="94">
        <v>65.07692307692308</v>
      </c>
      <c r="E44" s="9"/>
      <c r="F44" s="9"/>
      <c r="G44" s="9"/>
      <c r="H44" s="9"/>
      <c r="I44" s="9"/>
      <c r="J44" s="120"/>
      <c r="K44" s="9"/>
      <c r="L44" s="9"/>
      <c r="M44" s="9"/>
      <c r="N44" s="9"/>
      <c r="O44" s="9"/>
      <c r="P44" s="9"/>
      <c r="Q44" s="9"/>
      <c r="R44" s="9"/>
      <c r="S44" s="9"/>
      <c r="T44" s="169">
        <f t="shared" si="1"/>
        <v>66</v>
      </c>
      <c r="V44" s="293" t="s">
        <v>147</v>
      </c>
      <c r="W44" s="295"/>
      <c r="X44" s="112"/>
    </row>
    <row r="45" spans="1:24" ht="15.9" customHeight="1" x14ac:dyDescent="0.3">
      <c r="A45" s="171">
        <v>34</v>
      </c>
      <c r="B45" s="172" t="str">
        <f>'Absensi 10-5'!AO44</f>
        <v>NANDA FAUZIAH SULISTIO</v>
      </c>
      <c r="C45" s="173" t="str">
        <f>'Absensi 10-5'!AP44</f>
        <v>P</v>
      </c>
      <c r="D45" s="94">
        <v>67.230769230769226</v>
      </c>
      <c r="E45" s="9"/>
      <c r="F45" s="9"/>
      <c r="G45" s="9"/>
      <c r="H45" s="9"/>
      <c r="I45" s="9"/>
      <c r="J45" s="120"/>
      <c r="K45" s="9"/>
      <c r="L45" s="9"/>
      <c r="M45" s="9"/>
      <c r="N45" s="9"/>
      <c r="O45" s="9"/>
      <c r="P45" s="9"/>
      <c r="Q45" s="9"/>
      <c r="R45" s="9"/>
      <c r="S45" s="9"/>
      <c r="T45" s="169">
        <f t="shared" si="1"/>
        <v>68</v>
      </c>
      <c r="V45" s="293"/>
      <c r="W45" s="295"/>
      <c r="X45" s="112"/>
    </row>
    <row r="46" spans="1:24" ht="15.9" customHeight="1" x14ac:dyDescent="0.3">
      <c r="A46" s="174">
        <v>35</v>
      </c>
      <c r="B46" s="172" t="str">
        <f>'Absensi 10-5'!AO45</f>
        <v>NIZAM ALHABSI</v>
      </c>
      <c r="C46" s="173" t="str">
        <f>'Absensi 10-5'!AP45</f>
        <v>L</v>
      </c>
      <c r="D46" s="94">
        <v>60.769230769230774</v>
      </c>
      <c r="E46" s="9"/>
      <c r="F46" s="9"/>
      <c r="G46" s="9"/>
      <c r="H46" s="9"/>
      <c r="I46" s="9"/>
      <c r="J46" s="120"/>
      <c r="K46" s="9"/>
      <c r="L46" s="9"/>
      <c r="M46" s="9"/>
      <c r="N46" s="9"/>
      <c r="O46" s="9"/>
      <c r="P46" s="9"/>
      <c r="Q46" s="9"/>
      <c r="R46" s="9"/>
      <c r="S46" s="9"/>
      <c r="T46" s="169">
        <f t="shared" si="1"/>
        <v>61</v>
      </c>
      <c r="V46" s="294"/>
      <c r="W46" s="296"/>
      <c r="X46" s="112"/>
    </row>
    <row r="47" spans="1:24" ht="15.9" customHeight="1" x14ac:dyDescent="0.3">
      <c r="A47" s="174">
        <v>36</v>
      </c>
      <c r="B47" s="172" t="str">
        <f>'Absensi 10-5'!AO46</f>
        <v>PASCALIA PUTRI ISMAYA</v>
      </c>
      <c r="C47" s="173" t="str">
        <f>'Absensi 10-5'!AP46</f>
        <v>P</v>
      </c>
      <c r="D47" s="94">
        <v>65.07692307692308</v>
      </c>
      <c r="E47" s="9"/>
      <c r="F47" s="9"/>
      <c r="G47" s="9"/>
      <c r="H47" s="9"/>
      <c r="I47" s="9"/>
      <c r="J47" s="120"/>
      <c r="K47" s="9"/>
      <c r="L47" s="9"/>
      <c r="M47" s="9"/>
      <c r="N47" s="9"/>
      <c r="O47" s="9"/>
      <c r="P47" s="9"/>
      <c r="Q47" s="9"/>
      <c r="R47" s="9"/>
      <c r="S47" s="9"/>
      <c r="T47" s="169">
        <f t="shared" si="1"/>
        <v>66</v>
      </c>
      <c r="V47" s="293" t="s">
        <v>148</v>
      </c>
      <c r="W47" s="295"/>
      <c r="X47" s="112"/>
    </row>
    <row r="48" spans="1:24" ht="15.9" customHeight="1" x14ac:dyDescent="0.3">
      <c r="A48" s="171">
        <v>37</v>
      </c>
      <c r="B48" s="172" t="str">
        <f>'Absensi 10-5'!AO47</f>
        <v>PUTRI AULIA</v>
      </c>
      <c r="C48" s="173" t="str">
        <f>'Absensi 10-5'!AP47</f>
        <v>P</v>
      </c>
      <c r="D48" s="94">
        <v>54.307692307692307</v>
      </c>
      <c r="E48" s="9"/>
      <c r="F48" s="9"/>
      <c r="G48" s="9"/>
      <c r="H48" s="9"/>
      <c r="I48" s="9"/>
      <c r="J48" s="120"/>
      <c r="K48" s="9"/>
      <c r="L48" s="9"/>
      <c r="M48" s="9"/>
      <c r="N48" s="9"/>
      <c r="O48" s="9"/>
      <c r="P48" s="9"/>
      <c r="Q48" s="9"/>
      <c r="R48" s="9"/>
      <c r="S48" s="9"/>
      <c r="T48" s="169">
        <f t="shared" si="1"/>
        <v>55</v>
      </c>
      <c r="V48" s="293"/>
      <c r="W48" s="295"/>
      <c r="X48" s="112"/>
    </row>
    <row r="49" spans="1:24" ht="15.9" customHeight="1" x14ac:dyDescent="0.3">
      <c r="A49" s="174">
        <v>38</v>
      </c>
      <c r="B49" s="172" t="str">
        <f>'Absensi 10-5'!AO48</f>
        <v>REDI RAHMANA</v>
      </c>
      <c r="C49" s="173" t="str">
        <f>'Absensi 10-5'!AP48</f>
        <v>L</v>
      </c>
      <c r="D49" s="94">
        <v>58.615384615384613</v>
      </c>
      <c r="E49" s="9"/>
      <c r="F49" s="9"/>
      <c r="G49" s="9"/>
      <c r="H49" s="9"/>
      <c r="I49" s="9"/>
      <c r="J49" s="120"/>
      <c r="K49" s="9"/>
      <c r="L49" s="9"/>
      <c r="M49" s="9"/>
      <c r="N49" s="9"/>
      <c r="O49" s="9"/>
      <c r="P49" s="9"/>
      <c r="Q49" s="9"/>
      <c r="R49" s="9"/>
      <c r="S49" s="9"/>
      <c r="T49" s="169">
        <f t="shared" si="1"/>
        <v>59</v>
      </c>
      <c r="V49" s="294"/>
      <c r="W49" s="296"/>
      <c r="X49" s="112"/>
    </row>
    <row r="50" spans="1:24" ht="15.9" customHeight="1" x14ac:dyDescent="0.3">
      <c r="A50" s="174">
        <v>39</v>
      </c>
      <c r="B50" s="172" t="str">
        <f>'Absensi 10-5'!AO49</f>
        <v>REYSHA PERMATA KASIH</v>
      </c>
      <c r="C50" s="173" t="str">
        <f>'Absensi 10-5'!AP49</f>
        <v>P</v>
      </c>
      <c r="D50" s="94">
        <v>62.92307692307692</v>
      </c>
      <c r="E50" s="9"/>
      <c r="F50" s="9"/>
      <c r="G50" s="9"/>
      <c r="H50" s="9"/>
      <c r="I50" s="9"/>
      <c r="J50" s="120"/>
      <c r="K50" s="9"/>
      <c r="L50" s="9"/>
      <c r="M50" s="9"/>
      <c r="N50" s="9"/>
      <c r="O50" s="9"/>
      <c r="P50" s="9"/>
      <c r="Q50" s="9"/>
      <c r="R50" s="9"/>
      <c r="S50" s="9"/>
      <c r="T50" s="169">
        <f t="shared" ref="T50:T58" si="2">IFERROR(IF(S$11=0,ROUNDUP(SUM(D50:R50)/T$11,0),ROUNDUP(SUM(D50:R50)/T$11*70%+S50*30%,0)),"")</f>
        <v>63</v>
      </c>
      <c r="V50" s="293" t="s">
        <v>149</v>
      </c>
      <c r="W50" s="295"/>
      <c r="X50" s="112"/>
    </row>
    <row r="51" spans="1:24" ht="15.9" customHeight="1" x14ac:dyDescent="0.3">
      <c r="A51" s="171">
        <v>40</v>
      </c>
      <c r="B51" s="172" t="str">
        <f>'Absensi 10-5'!AO50</f>
        <v>SAKHA FAWWAZUL FIKRI</v>
      </c>
      <c r="C51" s="173" t="str">
        <f>'Absensi 10-5'!AP50</f>
        <v>L</v>
      </c>
      <c r="D51" s="94">
        <v>65.07692307692308</v>
      </c>
      <c r="E51" s="9"/>
      <c r="F51" s="9"/>
      <c r="G51" s="9"/>
      <c r="H51" s="9"/>
      <c r="I51" s="9"/>
      <c r="J51" s="120"/>
      <c r="K51" s="9"/>
      <c r="L51" s="9"/>
      <c r="M51" s="9"/>
      <c r="N51" s="9"/>
      <c r="O51" s="9"/>
      <c r="P51" s="9"/>
      <c r="Q51" s="9"/>
      <c r="R51" s="9"/>
      <c r="S51" s="9"/>
      <c r="T51" s="169">
        <f t="shared" si="2"/>
        <v>66</v>
      </c>
      <c r="V51" s="293"/>
      <c r="W51" s="295"/>
      <c r="X51" s="112"/>
    </row>
    <row r="52" spans="1:24" ht="15.9" customHeight="1" x14ac:dyDescent="0.3">
      <c r="A52" s="174">
        <v>41</v>
      </c>
      <c r="B52" s="172" t="str">
        <f>'Absensi 10-5'!AO51</f>
        <v>SYABIL FAUZAN ALTAAF</v>
      </c>
      <c r="C52" s="173" t="str">
        <f>'Absensi 10-5'!AP51</f>
        <v>L</v>
      </c>
      <c r="D52" s="94">
        <v>58.615384615384613</v>
      </c>
      <c r="E52" s="9"/>
      <c r="F52" s="9"/>
      <c r="G52" s="9"/>
      <c r="H52" s="9"/>
      <c r="I52" s="9"/>
      <c r="J52" s="120"/>
      <c r="K52" s="9"/>
      <c r="L52" s="9"/>
      <c r="M52" s="9"/>
      <c r="N52" s="9"/>
      <c r="O52" s="9"/>
      <c r="P52" s="9"/>
      <c r="Q52" s="9"/>
      <c r="R52" s="9"/>
      <c r="S52" s="9"/>
      <c r="T52" s="169">
        <f t="shared" si="2"/>
        <v>59</v>
      </c>
      <c r="V52" s="294"/>
      <c r="W52" s="296"/>
      <c r="X52" s="112"/>
    </row>
    <row r="53" spans="1:24" ht="15.9" customHeight="1" x14ac:dyDescent="0.3">
      <c r="A53" s="174">
        <v>42</v>
      </c>
      <c r="B53" s="172" t="str">
        <f>'Absensi 10-5'!AO52</f>
        <v>TIARA SILVIA</v>
      </c>
      <c r="C53" s="173" t="str">
        <f>'Absensi 10-5'!AP52</f>
        <v>P</v>
      </c>
      <c r="D53" s="94">
        <v>78</v>
      </c>
      <c r="E53" s="9"/>
      <c r="F53" s="9"/>
      <c r="G53" s="9"/>
      <c r="H53" s="9"/>
      <c r="I53" s="9"/>
      <c r="J53" s="120"/>
      <c r="K53" s="9"/>
      <c r="L53" s="9"/>
      <c r="M53" s="9"/>
      <c r="N53" s="9"/>
      <c r="O53" s="9"/>
      <c r="P53" s="9"/>
      <c r="Q53" s="9"/>
      <c r="R53" s="9"/>
      <c r="S53" s="9"/>
      <c r="T53" s="169">
        <f t="shared" si="2"/>
        <v>78</v>
      </c>
      <c r="V53" s="293"/>
      <c r="W53" s="295"/>
      <c r="X53" s="112"/>
    </row>
    <row r="54" spans="1:24" ht="15.9" customHeight="1" x14ac:dyDescent="0.3">
      <c r="A54" s="171">
        <v>43</v>
      </c>
      <c r="B54" s="172" t="str">
        <f>'Absensi 10-5'!AO53</f>
        <v>TRINANSYAH WIDYANA</v>
      </c>
      <c r="C54" s="173" t="str">
        <f>'Absensi 10-5'!AP53</f>
        <v>L</v>
      </c>
      <c r="D54" s="94">
        <v>62.92307692307692</v>
      </c>
      <c r="E54" s="9"/>
      <c r="F54" s="9"/>
      <c r="G54" s="9"/>
      <c r="H54" s="9"/>
      <c r="I54" s="9"/>
      <c r="J54" s="120"/>
      <c r="K54" s="9"/>
      <c r="L54" s="9"/>
      <c r="M54" s="9"/>
      <c r="N54" s="9"/>
      <c r="O54" s="9"/>
      <c r="P54" s="9"/>
      <c r="Q54" s="9"/>
      <c r="R54" s="9"/>
      <c r="S54" s="9"/>
      <c r="T54" s="169">
        <f t="shared" si="2"/>
        <v>63</v>
      </c>
      <c r="V54" s="294"/>
      <c r="W54" s="296"/>
      <c r="X54" s="112"/>
    </row>
    <row r="55" spans="1:24" ht="15.9" customHeight="1" x14ac:dyDescent="0.3">
      <c r="A55" s="174">
        <v>44</v>
      </c>
      <c r="B55" s="172" t="str">
        <f>'Absensi 10-5'!AO54</f>
        <v>WENDRIK ISMAIL</v>
      </c>
      <c r="C55" s="173" t="str">
        <f>'Absensi 10-5'!AP54</f>
        <v>L</v>
      </c>
      <c r="D55" s="94">
        <v>50</v>
      </c>
      <c r="E55" s="9"/>
      <c r="F55" s="9"/>
      <c r="G55" s="9"/>
      <c r="H55" s="9"/>
      <c r="I55" s="9"/>
      <c r="J55" s="120"/>
      <c r="K55" s="9"/>
      <c r="L55" s="9"/>
      <c r="M55" s="9"/>
      <c r="N55" s="9"/>
      <c r="O55" s="9"/>
      <c r="P55" s="9"/>
      <c r="Q55" s="9"/>
      <c r="R55" s="9"/>
      <c r="S55" s="9"/>
      <c r="T55" s="169">
        <f t="shared" si="2"/>
        <v>50</v>
      </c>
      <c r="V55" s="299"/>
      <c r="W55" s="297"/>
      <c r="X55" s="112"/>
    </row>
    <row r="56" spans="1:24" ht="15.9" customHeight="1" x14ac:dyDescent="0.3">
      <c r="A56" s="174">
        <v>45</v>
      </c>
      <c r="B56" s="172" t="str">
        <f>'Absensi 10-5'!AO55</f>
        <v>YUSUF NAUFAL HABIBI</v>
      </c>
      <c r="C56" s="173" t="str">
        <f>'Absensi 10-5'!AP55</f>
        <v>L</v>
      </c>
      <c r="D56" s="94">
        <v>60.769230769230774</v>
      </c>
      <c r="E56" s="9"/>
      <c r="F56" s="9"/>
      <c r="G56" s="9"/>
      <c r="H56" s="9"/>
      <c r="I56" s="9"/>
      <c r="J56" s="120"/>
      <c r="K56" s="9"/>
      <c r="L56" s="9"/>
      <c r="M56" s="9"/>
      <c r="N56" s="9"/>
      <c r="O56" s="9"/>
      <c r="P56" s="9"/>
      <c r="Q56" s="9"/>
      <c r="R56" s="9"/>
      <c r="S56" s="9"/>
      <c r="T56" s="169">
        <f t="shared" si="2"/>
        <v>61</v>
      </c>
      <c r="V56" s="293"/>
      <c r="W56" s="295"/>
      <c r="X56" s="112"/>
    </row>
    <row r="57" spans="1:24" ht="15.9" customHeight="1" x14ac:dyDescent="0.3">
      <c r="A57" s="171">
        <v>46</v>
      </c>
      <c r="B57" s="172" t="str">
        <f>'Absensi 10-5'!AO56</f>
        <v>ZAHIRA NAFISSA</v>
      </c>
      <c r="C57" s="173" t="str">
        <f>'Absensi 10-5'!AP56</f>
        <v>P</v>
      </c>
      <c r="D57" s="94">
        <v>67.230769230769226</v>
      </c>
      <c r="E57" s="9"/>
      <c r="F57" s="9"/>
      <c r="G57" s="9"/>
      <c r="H57" s="9"/>
      <c r="I57" s="9"/>
      <c r="J57" s="120"/>
      <c r="K57" s="9"/>
      <c r="L57" s="9"/>
      <c r="M57" s="9"/>
      <c r="N57" s="9"/>
      <c r="O57" s="9"/>
      <c r="P57" s="9"/>
      <c r="Q57" s="9"/>
      <c r="R57" s="9"/>
      <c r="S57" s="9"/>
      <c r="T57" s="169">
        <f t="shared" si="2"/>
        <v>68</v>
      </c>
      <c r="V57" s="293"/>
      <c r="W57" s="295"/>
      <c r="X57" s="112"/>
    </row>
    <row r="58" spans="1:24" ht="15.9" customHeight="1" x14ac:dyDescent="0.3">
      <c r="A58" s="174">
        <v>47</v>
      </c>
      <c r="B58" s="172" t="str">
        <f>'Absensi 10-5'!AO57</f>
        <v/>
      </c>
      <c r="C58" s="173" t="str">
        <f>'Absensi 10-5'!AP57</f>
        <v/>
      </c>
      <c r="D58" s="94"/>
      <c r="E58" s="9"/>
      <c r="F58" s="9"/>
      <c r="G58" s="9"/>
      <c r="H58" s="9"/>
      <c r="I58" s="9"/>
      <c r="J58" s="120"/>
      <c r="K58" s="9"/>
      <c r="L58" s="9"/>
      <c r="M58" s="9"/>
      <c r="N58" s="9"/>
      <c r="O58" s="9"/>
      <c r="P58" s="9"/>
      <c r="Q58" s="9"/>
      <c r="R58" s="9"/>
      <c r="S58" s="9"/>
      <c r="T58" s="169">
        <f t="shared" si="2"/>
        <v>0</v>
      </c>
      <c r="V58" s="293"/>
      <c r="W58" s="295"/>
      <c r="X58" s="112"/>
    </row>
    <row r="59" spans="1:24" ht="15.9" customHeight="1" thickBot="1" x14ac:dyDescent="0.35">
      <c r="A59" s="174">
        <v>48</v>
      </c>
      <c r="B59" s="172" t="str">
        <f>'Absensi 10-5'!AO58</f>
        <v/>
      </c>
      <c r="C59" s="173" t="str">
        <f>'Absensi 10-5'!AP58</f>
        <v/>
      </c>
      <c r="D59" s="95"/>
      <c r="E59" s="46"/>
      <c r="F59" s="46"/>
      <c r="G59" s="46"/>
      <c r="H59" s="46"/>
      <c r="I59" s="46"/>
      <c r="J59" s="121"/>
      <c r="K59" s="46"/>
      <c r="L59" s="46"/>
      <c r="M59" s="46"/>
      <c r="N59" s="46"/>
      <c r="O59" s="46"/>
      <c r="P59" s="46"/>
      <c r="Q59" s="46"/>
      <c r="R59" s="46"/>
      <c r="S59" s="46"/>
      <c r="T59" s="170">
        <f t="shared" si="1"/>
        <v>0</v>
      </c>
      <c r="V59" s="300"/>
      <c r="W59" s="298"/>
      <c r="X59" s="112"/>
    </row>
    <row r="60" spans="1:24" x14ac:dyDescent="0.3">
      <c r="B60" s="21"/>
    </row>
    <row r="61" spans="1:24" x14ac:dyDescent="0.3">
      <c r="B61" s="21" t="str">
        <f>CONCATENATE('Absensi 10-5'!B60)</f>
        <v>Jumlah Siswa :</v>
      </c>
      <c r="E61" s="21" t="str">
        <f>'Absensi 10-5'!AT60</f>
        <v>Mengetahui,</v>
      </c>
      <c r="V61" s="21" t="str">
        <f>'Absensi 10-5'!BU60</f>
        <v>Bandung,    Oktober 2026</v>
      </c>
    </row>
    <row r="62" spans="1:24" x14ac:dyDescent="0.3">
      <c r="B62" s="21" t="str">
        <f>CONCATENATE('Absensi 10-5'!B61)</f>
        <v>Laki-laki</v>
      </c>
      <c r="C62" s="20">
        <f>COUNTIF(C12:C59,"L")</f>
        <v>22</v>
      </c>
      <c r="E62" s="21" t="str">
        <f>'Absensi 10-5'!AT61</f>
        <v>Wali Kelas</v>
      </c>
      <c r="V62" s="21" t="str">
        <f>'Absensi 10-5'!BU61</f>
        <v>Guru Mata Pelajaran</v>
      </c>
    </row>
    <row r="63" spans="1:24" ht="16.2" thickBot="1" x14ac:dyDescent="0.35">
      <c r="B63" s="31" t="str">
        <f>CONCATENATE('Absensi 10-5'!B62)</f>
        <v>Perempuan</v>
      </c>
      <c r="C63" s="32">
        <f>COUNTIF(C12:C59,"P")</f>
        <v>24</v>
      </c>
      <c r="E63" s="21"/>
      <c r="V63" s="21"/>
    </row>
    <row r="64" spans="1:24" x14ac:dyDescent="0.3">
      <c r="B64" s="21" t="str">
        <f>CONCATENATE('Absensi 10-5'!B63)</f>
        <v>Total</v>
      </c>
      <c r="C64" s="20">
        <f>SUM(C62:C63)</f>
        <v>46</v>
      </c>
      <c r="E64" s="21"/>
      <c r="V64" s="21"/>
    </row>
    <row r="65" spans="1:24" x14ac:dyDescent="0.3">
      <c r="B65" s="21"/>
      <c r="E65" s="21"/>
      <c r="V65" s="21"/>
    </row>
    <row r="66" spans="1:24" x14ac:dyDescent="0.3">
      <c r="B66" s="21"/>
      <c r="E66" s="22" t="str">
        <f>'Absensi 10-5'!AT65</f>
        <v>Moch. Maulana Hidayat, S.Pd.</v>
      </c>
      <c r="V66" s="22" t="str">
        <f>'Absensi 10-5'!BU65</f>
        <v>AHMAD NURSYIFA, S.Kom.</v>
      </c>
    </row>
    <row r="67" spans="1:24" x14ac:dyDescent="0.3">
      <c r="E67" s="21" t="str">
        <f>'Absensi 10-5'!AT66</f>
        <v>NIP. 199011162024211011</v>
      </c>
      <c r="V67" s="21" t="str">
        <f>'Absensi 10-5'!BU66</f>
        <v>NIP. -</v>
      </c>
    </row>
    <row r="68" spans="1:24" s="122" customFormat="1" ht="23.4" hidden="1" x14ac:dyDescent="0.3">
      <c r="A68" s="265" t="str">
        <f t="shared" ref="A68:W68" si="3">A1</f>
        <v>FORM NILAI PESERTA DIDIK</v>
      </c>
      <c r="B68" s="265">
        <f t="shared" si="3"/>
        <v>0</v>
      </c>
      <c r="C68" s="265">
        <f t="shared" si="3"/>
        <v>0</v>
      </c>
      <c r="D68" s="265">
        <f t="shared" si="3"/>
        <v>0</v>
      </c>
      <c r="E68" s="265">
        <f t="shared" si="3"/>
        <v>0</v>
      </c>
      <c r="F68" s="265">
        <f t="shared" si="3"/>
        <v>0</v>
      </c>
      <c r="G68" s="265">
        <f t="shared" si="3"/>
        <v>0</v>
      </c>
      <c r="H68" s="265">
        <f t="shared" si="3"/>
        <v>0</v>
      </c>
      <c r="I68" s="265">
        <f t="shared" si="3"/>
        <v>0</v>
      </c>
      <c r="J68" s="265">
        <f t="shared" si="3"/>
        <v>0</v>
      </c>
      <c r="K68" s="265">
        <f t="shared" si="3"/>
        <v>0</v>
      </c>
      <c r="L68" s="265">
        <f t="shared" si="3"/>
        <v>0</v>
      </c>
      <c r="M68" s="265">
        <f t="shared" si="3"/>
        <v>0</v>
      </c>
      <c r="N68" s="265">
        <f t="shared" si="3"/>
        <v>0</v>
      </c>
      <c r="O68" s="265">
        <f t="shared" si="3"/>
        <v>0</v>
      </c>
      <c r="P68" s="265">
        <f t="shared" si="3"/>
        <v>0</v>
      </c>
      <c r="Q68" s="265">
        <f t="shared" si="3"/>
        <v>0</v>
      </c>
      <c r="R68" s="265">
        <f t="shared" si="3"/>
        <v>0</v>
      </c>
      <c r="S68" s="265">
        <f t="shared" si="3"/>
        <v>0</v>
      </c>
      <c r="T68" s="265">
        <f t="shared" si="3"/>
        <v>0</v>
      </c>
      <c r="U68" s="265">
        <f t="shared" si="3"/>
        <v>0</v>
      </c>
      <c r="V68" s="265">
        <f t="shared" si="3"/>
        <v>0</v>
      </c>
      <c r="W68" s="265">
        <f t="shared" si="3"/>
        <v>0</v>
      </c>
    </row>
    <row r="69" spans="1:24" s="122" customFormat="1" ht="23.4" hidden="1" x14ac:dyDescent="0.3">
      <c r="A69" s="265" t="str">
        <f t="shared" ref="A69:W69" si="4">A2</f>
        <v>SMA NEGERI 15 KOTA BANDUNG</v>
      </c>
      <c r="B69" s="265">
        <f t="shared" si="4"/>
        <v>0</v>
      </c>
      <c r="C69" s="265">
        <f t="shared" si="4"/>
        <v>0</v>
      </c>
      <c r="D69" s="265">
        <f t="shared" si="4"/>
        <v>0</v>
      </c>
      <c r="E69" s="265">
        <f t="shared" si="4"/>
        <v>0</v>
      </c>
      <c r="F69" s="265">
        <f t="shared" si="4"/>
        <v>0</v>
      </c>
      <c r="G69" s="265">
        <f t="shared" si="4"/>
        <v>0</v>
      </c>
      <c r="H69" s="265">
        <f t="shared" si="4"/>
        <v>0</v>
      </c>
      <c r="I69" s="265">
        <f t="shared" si="4"/>
        <v>0</v>
      </c>
      <c r="J69" s="265">
        <f t="shared" si="4"/>
        <v>0</v>
      </c>
      <c r="K69" s="265">
        <f t="shared" si="4"/>
        <v>0</v>
      </c>
      <c r="L69" s="265">
        <f t="shared" si="4"/>
        <v>0</v>
      </c>
      <c r="M69" s="265">
        <f t="shared" si="4"/>
        <v>0</v>
      </c>
      <c r="N69" s="265">
        <f t="shared" si="4"/>
        <v>0</v>
      </c>
      <c r="O69" s="265">
        <f t="shared" si="4"/>
        <v>0</v>
      </c>
      <c r="P69" s="265">
        <f t="shared" si="4"/>
        <v>0</v>
      </c>
      <c r="Q69" s="265">
        <f t="shared" si="4"/>
        <v>0</v>
      </c>
      <c r="R69" s="265">
        <f t="shared" si="4"/>
        <v>0</v>
      </c>
      <c r="S69" s="265">
        <f t="shared" si="4"/>
        <v>0</v>
      </c>
      <c r="T69" s="265">
        <f t="shared" si="4"/>
        <v>0</v>
      </c>
      <c r="U69" s="265">
        <f t="shared" si="4"/>
        <v>0</v>
      </c>
      <c r="V69" s="265">
        <f t="shared" si="4"/>
        <v>0</v>
      </c>
      <c r="W69" s="265">
        <f t="shared" si="4"/>
        <v>0</v>
      </c>
    </row>
    <row r="70" spans="1:24" s="122" customFormat="1" ht="23.4" hidden="1" x14ac:dyDescent="0.3">
      <c r="A70" s="265" t="str">
        <f t="shared" ref="A70:W70" si="5">A3</f>
        <v>TAHUN AJARAN 2026/2027</v>
      </c>
      <c r="B70" s="265">
        <f t="shared" si="5"/>
        <v>0</v>
      </c>
      <c r="C70" s="265">
        <f t="shared" si="5"/>
        <v>0</v>
      </c>
      <c r="D70" s="265">
        <f t="shared" si="5"/>
        <v>0</v>
      </c>
      <c r="E70" s="265">
        <f t="shared" si="5"/>
        <v>0</v>
      </c>
      <c r="F70" s="265">
        <f t="shared" si="5"/>
        <v>0</v>
      </c>
      <c r="G70" s="265">
        <f t="shared" si="5"/>
        <v>0</v>
      </c>
      <c r="H70" s="265">
        <f t="shared" si="5"/>
        <v>0</v>
      </c>
      <c r="I70" s="265">
        <f t="shared" si="5"/>
        <v>0</v>
      </c>
      <c r="J70" s="265">
        <f t="shared" si="5"/>
        <v>0</v>
      </c>
      <c r="K70" s="265">
        <f t="shared" si="5"/>
        <v>0</v>
      </c>
      <c r="L70" s="265">
        <f t="shared" si="5"/>
        <v>0</v>
      </c>
      <c r="M70" s="265">
        <f t="shared" si="5"/>
        <v>0</v>
      </c>
      <c r="N70" s="265">
        <f t="shared" si="5"/>
        <v>0</v>
      </c>
      <c r="O70" s="265">
        <f t="shared" si="5"/>
        <v>0</v>
      </c>
      <c r="P70" s="265">
        <f t="shared" si="5"/>
        <v>0</v>
      </c>
      <c r="Q70" s="265">
        <f t="shared" si="5"/>
        <v>0</v>
      </c>
      <c r="R70" s="265">
        <f t="shared" si="5"/>
        <v>0</v>
      </c>
      <c r="S70" s="265">
        <f t="shared" si="5"/>
        <v>0</v>
      </c>
      <c r="T70" s="265">
        <f t="shared" si="5"/>
        <v>0</v>
      </c>
      <c r="U70" s="265">
        <f t="shared" si="5"/>
        <v>0</v>
      </c>
      <c r="V70" s="265">
        <f t="shared" si="5"/>
        <v>0</v>
      </c>
      <c r="W70" s="265">
        <f t="shared" si="5"/>
        <v>0</v>
      </c>
    </row>
    <row r="71" spans="1:24" ht="16.2" hidden="1" thickBot="1" x14ac:dyDescent="0.35">
      <c r="X71" s="112"/>
    </row>
    <row r="72" spans="1:24" ht="18.75" hidden="1" customHeight="1" x14ac:dyDescent="0.3">
      <c r="B72" s="108" t="str">
        <f>B5</f>
        <v>Kelas</v>
      </c>
      <c r="C72" s="23" t="str">
        <f>C5</f>
        <v>10-5</v>
      </c>
      <c r="V72" s="323" t="str">
        <f t="shared" ref="V72:W74" si="6">V5</f>
        <v>Nilai Kriteria Ketuntasan Minimal (KKM)</v>
      </c>
      <c r="W72" s="324">
        <f t="shared" si="6"/>
        <v>0</v>
      </c>
      <c r="X72" s="112"/>
    </row>
    <row r="73" spans="1:24" ht="18.75" hidden="1" customHeight="1" x14ac:dyDescent="0.3">
      <c r="B73" s="108" t="str">
        <f>B6</f>
        <v>Mata Pelajaran</v>
      </c>
      <c r="C73" s="23" t="str">
        <f>C6</f>
        <v>Informatika</v>
      </c>
      <c r="V73" s="307">
        <f t="shared" si="6"/>
        <v>78</v>
      </c>
      <c r="W73" s="308">
        <f t="shared" si="6"/>
        <v>0</v>
      </c>
      <c r="X73" s="112"/>
    </row>
    <row r="74" spans="1:24" ht="18.75" hidden="1" customHeight="1" thickBot="1" x14ac:dyDescent="0.35">
      <c r="B74" s="108" t="str">
        <f>B7</f>
        <v>Semester</v>
      </c>
      <c r="C74" s="23" t="s">
        <v>176</v>
      </c>
      <c r="V74" s="309">
        <f t="shared" si="6"/>
        <v>0</v>
      </c>
      <c r="W74" s="310">
        <f t="shared" si="6"/>
        <v>0</v>
      </c>
      <c r="X74" s="112"/>
    </row>
    <row r="75" spans="1:24" ht="3" hidden="1" customHeight="1" thickBot="1" x14ac:dyDescent="0.35">
      <c r="X75" s="112"/>
    </row>
    <row r="76" spans="1:24" ht="16.5" hidden="1" customHeight="1" x14ac:dyDescent="0.3">
      <c r="A76" s="325" t="str">
        <f t="shared" ref="A76:T76" si="7">A9</f>
        <v>No</v>
      </c>
      <c r="B76" s="327" t="str">
        <f t="shared" si="7"/>
        <v>Nama</v>
      </c>
      <c r="C76" s="329" t="str">
        <f t="shared" si="7"/>
        <v>JK</v>
      </c>
      <c r="D76" s="323" t="str">
        <f t="shared" si="7"/>
        <v>Nilai Harian</v>
      </c>
      <c r="E76" s="331">
        <f t="shared" si="7"/>
        <v>0</v>
      </c>
      <c r="F76" s="331">
        <f t="shared" si="7"/>
        <v>0</v>
      </c>
      <c r="G76" s="331">
        <f t="shared" si="7"/>
        <v>0</v>
      </c>
      <c r="H76" s="331">
        <f t="shared" si="7"/>
        <v>0</v>
      </c>
      <c r="I76" s="331">
        <f t="shared" si="7"/>
        <v>0</v>
      </c>
      <c r="J76" s="331">
        <f t="shared" si="7"/>
        <v>0</v>
      </c>
      <c r="K76" s="331">
        <f t="shared" si="7"/>
        <v>0</v>
      </c>
      <c r="L76" s="331">
        <f t="shared" si="7"/>
        <v>0</v>
      </c>
      <c r="M76" s="331">
        <f t="shared" si="7"/>
        <v>0</v>
      </c>
      <c r="N76" s="331">
        <f t="shared" si="7"/>
        <v>0</v>
      </c>
      <c r="O76" s="331">
        <f t="shared" si="7"/>
        <v>0</v>
      </c>
      <c r="P76" s="331">
        <f t="shared" si="7"/>
        <v>0</v>
      </c>
      <c r="Q76" s="331">
        <f t="shared" si="7"/>
        <v>0</v>
      </c>
      <c r="R76" s="332">
        <f t="shared" si="7"/>
        <v>0</v>
      </c>
      <c r="S76" s="327" t="str">
        <f t="shared" si="7"/>
        <v>ASAS</v>
      </c>
      <c r="T76" s="333" t="str">
        <f t="shared" si="7"/>
        <v>R2</v>
      </c>
      <c r="V76" s="335" t="str">
        <f>V9</f>
        <v>KD / Materi Pengetahuan :</v>
      </c>
      <c r="W76" s="336">
        <f>W9</f>
        <v>0</v>
      </c>
      <c r="X76" s="112"/>
    </row>
    <row r="77" spans="1:24" ht="16.2" hidden="1" thickBot="1" x14ac:dyDescent="0.35">
      <c r="A77" s="326">
        <f t="shared" ref="A77:T77" si="8">A10</f>
        <v>0</v>
      </c>
      <c r="B77" s="328">
        <f t="shared" si="8"/>
        <v>0</v>
      </c>
      <c r="C77" s="330">
        <f t="shared" si="8"/>
        <v>0</v>
      </c>
      <c r="D77" s="110" t="str">
        <f t="shared" si="8"/>
        <v>PH 1</v>
      </c>
      <c r="E77" s="111" t="str">
        <f t="shared" si="8"/>
        <v>PH 2</v>
      </c>
      <c r="F77" s="111" t="str">
        <f t="shared" si="8"/>
        <v>PH 3</v>
      </c>
      <c r="G77" s="111" t="str">
        <f t="shared" si="8"/>
        <v>PH 4</v>
      </c>
      <c r="H77" s="111" t="str">
        <f t="shared" si="8"/>
        <v>PH 5</v>
      </c>
      <c r="I77" s="111" t="str">
        <f t="shared" si="8"/>
        <v>PH 6</v>
      </c>
      <c r="J77" s="117" t="str">
        <f t="shared" si="8"/>
        <v>PH 7</v>
      </c>
      <c r="K77" s="111" t="str">
        <f t="shared" si="8"/>
        <v>PH 8</v>
      </c>
      <c r="L77" s="117" t="str">
        <f t="shared" si="8"/>
        <v>PH 9</v>
      </c>
      <c r="M77" s="111" t="str">
        <f t="shared" si="8"/>
        <v>PH 10</v>
      </c>
      <c r="N77" s="117" t="str">
        <f t="shared" si="8"/>
        <v>PH 11</v>
      </c>
      <c r="O77" s="111" t="str">
        <f t="shared" si="8"/>
        <v>PH 12</v>
      </c>
      <c r="P77" s="117" t="str">
        <f t="shared" si="8"/>
        <v>PH 13</v>
      </c>
      <c r="Q77" s="111" t="str">
        <f t="shared" si="8"/>
        <v>PH 14</v>
      </c>
      <c r="R77" s="117" t="str">
        <f t="shared" si="8"/>
        <v>PH 15</v>
      </c>
      <c r="S77" s="328">
        <f t="shared" si="8"/>
        <v>0</v>
      </c>
      <c r="T77" s="334">
        <f t="shared" si="8"/>
        <v>0</v>
      </c>
      <c r="U77" s="113"/>
      <c r="V77" s="337">
        <f>V10</f>
        <v>0</v>
      </c>
      <c r="W77" s="338">
        <f>W10</f>
        <v>0</v>
      </c>
      <c r="X77" s="113"/>
    </row>
    <row r="78" spans="1:24" ht="16.5" hidden="1" customHeight="1" x14ac:dyDescent="0.3">
      <c r="A78" s="30"/>
      <c r="B78" s="29"/>
      <c r="C78" s="96"/>
      <c r="D78" s="91">
        <f t="shared" ref="D78:R78" si="9">IF(COUNTA(D79:D108)&gt;0,1,0)</f>
        <v>0</v>
      </c>
      <c r="E78" s="28">
        <f t="shared" si="9"/>
        <v>0</v>
      </c>
      <c r="F78" s="28">
        <f t="shared" si="9"/>
        <v>0</v>
      </c>
      <c r="G78" s="28">
        <f t="shared" si="9"/>
        <v>0</v>
      </c>
      <c r="H78" s="28">
        <f t="shared" si="9"/>
        <v>0</v>
      </c>
      <c r="I78" s="28">
        <f t="shared" si="9"/>
        <v>0</v>
      </c>
      <c r="J78" s="118">
        <f t="shared" si="9"/>
        <v>0</v>
      </c>
      <c r="K78" s="28">
        <f t="shared" si="9"/>
        <v>0</v>
      </c>
      <c r="L78" s="28">
        <f t="shared" si="9"/>
        <v>0</v>
      </c>
      <c r="M78" s="28">
        <f t="shared" si="9"/>
        <v>0</v>
      </c>
      <c r="N78" s="28">
        <f t="shared" si="9"/>
        <v>0</v>
      </c>
      <c r="O78" s="28">
        <f t="shared" si="9"/>
        <v>0</v>
      </c>
      <c r="P78" s="28">
        <f t="shared" si="9"/>
        <v>0</v>
      </c>
      <c r="Q78" s="28">
        <f t="shared" si="9"/>
        <v>0</v>
      </c>
      <c r="R78" s="28">
        <f t="shared" si="9"/>
        <v>0</v>
      </c>
      <c r="S78" s="28">
        <f>IF(SUM(S79:S108)=0,0,1)</f>
        <v>0</v>
      </c>
      <c r="T78" s="92">
        <f>SUM(D78:R78)</f>
        <v>0</v>
      </c>
      <c r="U78" s="113"/>
      <c r="V78" s="114"/>
      <c r="W78" s="115"/>
      <c r="X78" s="113"/>
    </row>
    <row r="79" spans="1:24" ht="15.9" hidden="1" customHeight="1" thickTop="1" x14ac:dyDescent="0.3">
      <c r="A79" s="100">
        <f t="shared" ref="A79:A97" si="10">A12</f>
        <v>1</v>
      </c>
      <c r="B79" s="101" t="str">
        <f>IF(ISERROR(VLOOKUP(CONCATENATE(A79,$C$5),#REF!,4,0)),"",(VLOOKUP(CONCATENATE(A79,$C$5),#REF!,4,0)))</f>
        <v/>
      </c>
      <c r="C79" s="104" t="str">
        <f>IF(ISERROR(VLOOKUP(CONCATENATE(A79,$C$5),#REF!,5,0)),"",(VLOOKUP(CONCATENATE(A79,$C$5),#REF!,5,0)))</f>
        <v/>
      </c>
      <c r="D79" s="93"/>
      <c r="E79" s="45"/>
      <c r="F79" s="45"/>
      <c r="G79" s="45"/>
      <c r="H79" s="45"/>
      <c r="I79" s="45"/>
      <c r="J79" s="119"/>
      <c r="K79" s="45"/>
      <c r="L79" s="45"/>
      <c r="M79" s="45"/>
      <c r="N79" s="45"/>
      <c r="O79" s="45"/>
      <c r="P79" s="45"/>
      <c r="Q79" s="45"/>
      <c r="R79" s="45"/>
      <c r="S79" s="45"/>
      <c r="T79" s="97">
        <f>IFERROR(IF(S$11=0,SUM(D79:R79)/T$11,SUM(D79:R79)/T$11*70%+S79*30%),"")</f>
        <v>0</v>
      </c>
      <c r="V79" s="339" t="str">
        <f t="shared" ref="V79:V97" si="11">V12</f>
        <v>PH 1</v>
      </c>
      <c r="W79" s="341"/>
      <c r="X79" s="112"/>
    </row>
    <row r="80" spans="1:24" ht="15.9" hidden="1" customHeight="1" x14ac:dyDescent="0.3">
      <c r="A80" s="102">
        <f t="shared" si="10"/>
        <v>2</v>
      </c>
      <c r="B80" s="105" t="str">
        <f>IF(ISERROR(VLOOKUP(CONCATENATE(A80,$C$5),#REF!,4,0)),"",(VLOOKUP(CONCATENATE(A80,$C$5),#REF!,4,0)))</f>
        <v/>
      </c>
      <c r="C80" s="116" t="str">
        <f>IF(ISERROR(VLOOKUP(CONCATENATE(A80,$C$5),#REF!,5,0)),"",(VLOOKUP(CONCATENATE(A80,$C$5),#REF!,5,0)))</f>
        <v/>
      </c>
      <c r="D80" s="94"/>
      <c r="E80" s="9"/>
      <c r="F80" s="9"/>
      <c r="G80" s="9"/>
      <c r="H80" s="9"/>
      <c r="I80" s="9"/>
      <c r="J80" s="120"/>
      <c r="K80" s="9"/>
      <c r="L80" s="9"/>
      <c r="M80" s="9"/>
      <c r="N80" s="9"/>
      <c r="O80" s="9"/>
      <c r="P80" s="9"/>
      <c r="Q80" s="9"/>
      <c r="R80" s="9"/>
      <c r="S80" s="9"/>
      <c r="T80" s="98">
        <f t="shared" ref="T80:T108" si="12">IFERROR(IF(S$11=0,ROUNDUP(SUM(D80:R80)/T$11,0),ROUNDUP(SUM(D80:R80)/T$11*70%+S80*30%,0)),"")</f>
        <v>0</v>
      </c>
      <c r="V80" s="340">
        <f t="shared" si="11"/>
        <v>0</v>
      </c>
      <c r="W80" s="342"/>
      <c r="X80" s="112"/>
    </row>
    <row r="81" spans="1:24" ht="15.9" hidden="1" customHeight="1" x14ac:dyDescent="0.3">
      <c r="A81" s="102">
        <f t="shared" si="10"/>
        <v>3</v>
      </c>
      <c r="B81" s="105" t="str">
        <f>IF(ISERROR(VLOOKUP(CONCATENATE(A81,$C$5),#REF!,4,0)),"",(VLOOKUP(CONCATENATE(A81,$C$5),#REF!,4,0)))</f>
        <v/>
      </c>
      <c r="C81" s="116" t="str">
        <f>IF(ISERROR(VLOOKUP(CONCATENATE(A81,$C$5),#REF!,5,0)),"",(VLOOKUP(CONCATENATE(A81,$C$5),#REF!,5,0)))</f>
        <v/>
      </c>
      <c r="D81" s="94"/>
      <c r="E81" s="9"/>
      <c r="F81" s="9"/>
      <c r="G81" s="9"/>
      <c r="H81" s="9"/>
      <c r="I81" s="9"/>
      <c r="J81" s="120"/>
      <c r="K81" s="9"/>
      <c r="L81" s="9"/>
      <c r="M81" s="9"/>
      <c r="N81" s="9"/>
      <c r="O81" s="9"/>
      <c r="P81" s="9"/>
      <c r="Q81" s="9"/>
      <c r="R81" s="9"/>
      <c r="S81" s="9"/>
      <c r="T81" s="98">
        <f t="shared" si="12"/>
        <v>0</v>
      </c>
      <c r="V81" s="340">
        <f t="shared" si="11"/>
        <v>0</v>
      </c>
      <c r="W81" s="343"/>
      <c r="X81" s="112"/>
    </row>
    <row r="82" spans="1:24" ht="15.9" hidden="1" customHeight="1" x14ac:dyDescent="0.3">
      <c r="A82" s="102">
        <f t="shared" si="10"/>
        <v>4</v>
      </c>
      <c r="B82" s="105" t="str">
        <f>IF(ISERROR(VLOOKUP(CONCATENATE(A82,$C$5),#REF!,4,0)),"",(VLOOKUP(CONCATENATE(A82,$C$5),#REF!,4,0)))</f>
        <v/>
      </c>
      <c r="C82" s="116" t="str">
        <f>IF(ISERROR(VLOOKUP(CONCATENATE(A82,$C$5),#REF!,5,0)),"",(VLOOKUP(CONCATENATE(A82,$C$5),#REF!,5,0)))</f>
        <v/>
      </c>
      <c r="D82" s="94"/>
      <c r="E82" s="9"/>
      <c r="F82" s="9"/>
      <c r="G82" s="9"/>
      <c r="H82" s="9"/>
      <c r="I82" s="9"/>
      <c r="J82" s="120"/>
      <c r="K82" s="9"/>
      <c r="L82" s="9"/>
      <c r="M82" s="9"/>
      <c r="N82" s="9"/>
      <c r="O82" s="9"/>
      <c r="P82" s="9"/>
      <c r="Q82" s="9"/>
      <c r="R82" s="9"/>
      <c r="S82" s="9"/>
      <c r="T82" s="98">
        <f t="shared" si="12"/>
        <v>0</v>
      </c>
      <c r="V82" s="340" t="str">
        <f t="shared" si="11"/>
        <v>PH 2</v>
      </c>
      <c r="W82" s="343"/>
      <c r="X82" s="112"/>
    </row>
    <row r="83" spans="1:24" ht="15.9" hidden="1" customHeight="1" x14ac:dyDescent="0.3">
      <c r="A83" s="102">
        <f t="shared" si="10"/>
        <v>5</v>
      </c>
      <c r="B83" s="105" t="str">
        <f>IF(ISERROR(VLOOKUP(CONCATENATE(A83,$C$5),#REF!,4,0)),"",(VLOOKUP(CONCATENATE(A83,$C$5),#REF!,4,0)))</f>
        <v/>
      </c>
      <c r="C83" s="116" t="str">
        <f>IF(ISERROR(VLOOKUP(CONCATENATE(A83,$C$5),#REF!,5,0)),"",(VLOOKUP(CONCATENATE(A83,$C$5),#REF!,5,0)))</f>
        <v/>
      </c>
      <c r="D83" s="94"/>
      <c r="E83" s="9"/>
      <c r="F83" s="9"/>
      <c r="G83" s="9"/>
      <c r="H83" s="9"/>
      <c r="I83" s="9"/>
      <c r="J83" s="120"/>
      <c r="K83" s="9"/>
      <c r="L83" s="9"/>
      <c r="M83" s="109"/>
      <c r="N83" s="9"/>
      <c r="O83" s="9"/>
      <c r="P83" s="9"/>
      <c r="Q83" s="9"/>
      <c r="R83" s="9"/>
      <c r="S83" s="9"/>
      <c r="T83" s="98">
        <f t="shared" si="12"/>
        <v>0</v>
      </c>
      <c r="V83" s="340">
        <f t="shared" si="11"/>
        <v>0</v>
      </c>
      <c r="W83" s="343"/>
      <c r="X83" s="112"/>
    </row>
    <row r="84" spans="1:24" ht="15.9" hidden="1" customHeight="1" x14ac:dyDescent="0.3">
      <c r="A84" s="102">
        <f t="shared" si="10"/>
        <v>6</v>
      </c>
      <c r="B84" s="105" t="str">
        <f>IF(ISERROR(VLOOKUP(CONCATENATE(A84,$C$5),#REF!,4,0)),"",(VLOOKUP(CONCATENATE(A84,$C$5),#REF!,4,0)))</f>
        <v/>
      </c>
      <c r="C84" s="116" t="str">
        <f>IF(ISERROR(VLOOKUP(CONCATENATE(A84,$C$5),#REF!,5,0)),"",(VLOOKUP(CONCATENATE(A84,$C$5),#REF!,5,0)))</f>
        <v/>
      </c>
      <c r="D84" s="94"/>
      <c r="E84" s="9"/>
      <c r="F84" s="9"/>
      <c r="G84" s="9"/>
      <c r="H84" s="9"/>
      <c r="I84" s="9"/>
      <c r="J84" s="120"/>
      <c r="K84" s="9"/>
      <c r="L84" s="9"/>
      <c r="M84" s="9"/>
      <c r="N84" s="9"/>
      <c r="O84" s="9"/>
      <c r="P84" s="9"/>
      <c r="Q84" s="9"/>
      <c r="R84" s="9"/>
      <c r="S84" s="9"/>
      <c r="T84" s="98">
        <f t="shared" si="12"/>
        <v>0</v>
      </c>
      <c r="V84" s="340">
        <f t="shared" si="11"/>
        <v>0</v>
      </c>
      <c r="W84" s="343"/>
      <c r="X84" s="112"/>
    </row>
    <row r="85" spans="1:24" ht="15.9" hidden="1" customHeight="1" x14ac:dyDescent="0.3">
      <c r="A85" s="102">
        <f t="shared" si="10"/>
        <v>7</v>
      </c>
      <c r="B85" s="105" t="str">
        <f>IF(ISERROR(VLOOKUP(CONCATENATE(A85,$C$5),#REF!,4,0)),"",(VLOOKUP(CONCATENATE(A85,$C$5),#REF!,4,0)))</f>
        <v/>
      </c>
      <c r="C85" s="116" t="str">
        <f>IF(ISERROR(VLOOKUP(CONCATENATE(A85,$C$5),#REF!,5,0)),"",(VLOOKUP(CONCATENATE(A85,$C$5),#REF!,5,0)))</f>
        <v/>
      </c>
      <c r="D85" s="94"/>
      <c r="E85" s="9"/>
      <c r="F85" s="9"/>
      <c r="G85" s="9"/>
      <c r="H85" s="9"/>
      <c r="I85" s="9"/>
      <c r="J85" s="120"/>
      <c r="K85" s="9"/>
      <c r="L85" s="9"/>
      <c r="M85" s="9"/>
      <c r="N85" s="9"/>
      <c r="O85" s="9"/>
      <c r="P85" s="9"/>
      <c r="Q85" s="9"/>
      <c r="R85" s="9"/>
      <c r="S85" s="9"/>
      <c r="T85" s="98">
        <f t="shared" si="12"/>
        <v>0</v>
      </c>
      <c r="V85" s="340" t="str">
        <f t="shared" si="11"/>
        <v>PH 3</v>
      </c>
      <c r="W85" s="343"/>
      <c r="X85" s="112"/>
    </row>
    <row r="86" spans="1:24" ht="15.9" hidden="1" customHeight="1" x14ac:dyDescent="0.3">
      <c r="A86" s="102">
        <f t="shared" si="10"/>
        <v>8</v>
      </c>
      <c r="B86" s="105" t="str">
        <f>IF(ISERROR(VLOOKUP(CONCATENATE(A86,$C$5),#REF!,4,0)),"",(VLOOKUP(CONCATENATE(A86,$C$5),#REF!,4,0)))</f>
        <v/>
      </c>
      <c r="C86" s="116" t="str">
        <f>IF(ISERROR(VLOOKUP(CONCATENATE(A86,$C$5),#REF!,5,0)),"",(VLOOKUP(CONCATENATE(A86,$C$5),#REF!,5,0)))</f>
        <v/>
      </c>
      <c r="D86" s="94"/>
      <c r="E86" s="9"/>
      <c r="F86" s="9"/>
      <c r="G86" s="9"/>
      <c r="H86" s="9"/>
      <c r="I86" s="9"/>
      <c r="J86" s="120"/>
      <c r="K86" s="9"/>
      <c r="L86" s="9"/>
      <c r="M86" s="9"/>
      <c r="N86" s="9"/>
      <c r="O86" s="9"/>
      <c r="P86" s="9"/>
      <c r="Q86" s="9"/>
      <c r="R86" s="9"/>
      <c r="S86" s="9"/>
      <c r="T86" s="98">
        <f t="shared" si="12"/>
        <v>0</v>
      </c>
      <c r="V86" s="340">
        <f t="shared" si="11"/>
        <v>0</v>
      </c>
      <c r="W86" s="343"/>
      <c r="X86" s="112"/>
    </row>
    <row r="87" spans="1:24" ht="15.9" hidden="1" customHeight="1" x14ac:dyDescent="0.3">
      <c r="A87" s="102">
        <f t="shared" si="10"/>
        <v>9</v>
      </c>
      <c r="B87" s="105" t="str">
        <f>IF(ISERROR(VLOOKUP(CONCATENATE(A87,$C$5),#REF!,4,0)),"",(VLOOKUP(CONCATENATE(A87,$C$5),#REF!,4,0)))</f>
        <v/>
      </c>
      <c r="C87" s="116" t="str">
        <f>IF(ISERROR(VLOOKUP(CONCATENATE(A87,$C$5),#REF!,5,0)),"",(VLOOKUP(CONCATENATE(A87,$C$5),#REF!,5,0)))</f>
        <v/>
      </c>
      <c r="D87" s="94"/>
      <c r="E87" s="9"/>
      <c r="F87" s="9"/>
      <c r="G87" s="9"/>
      <c r="H87" s="9"/>
      <c r="I87" s="9"/>
      <c r="J87" s="120"/>
      <c r="K87" s="9"/>
      <c r="L87" s="9"/>
      <c r="M87" s="9"/>
      <c r="N87" s="9"/>
      <c r="O87" s="9"/>
      <c r="P87" s="9"/>
      <c r="Q87" s="9"/>
      <c r="R87" s="9"/>
      <c r="S87" s="9"/>
      <c r="T87" s="98">
        <f t="shared" si="12"/>
        <v>0</v>
      </c>
      <c r="V87" s="340">
        <f t="shared" si="11"/>
        <v>0</v>
      </c>
      <c r="W87" s="343"/>
      <c r="X87" s="112"/>
    </row>
    <row r="88" spans="1:24" ht="15.9" hidden="1" customHeight="1" x14ac:dyDescent="0.3">
      <c r="A88" s="102">
        <f t="shared" si="10"/>
        <v>10</v>
      </c>
      <c r="B88" s="105" t="str">
        <f>IF(ISERROR(VLOOKUP(CONCATENATE(A88,$C$5),#REF!,4,0)),"",(VLOOKUP(CONCATENATE(A88,$C$5),#REF!,4,0)))</f>
        <v/>
      </c>
      <c r="C88" s="116" t="str">
        <f>IF(ISERROR(VLOOKUP(CONCATENATE(A88,$C$5),#REF!,5,0)),"",(VLOOKUP(CONCATENATE(A88,$C$5),#REF!,5,0)))</f>
        <v/>
      </c>
      <c r="D88" s="94"/>
      <c r="E88" s="9"/>
      <c r="F88" s="9"/>
      <c r="G88" s="9"/>
      <c r="H88" s="9"/>
      <c r="I88" s="9"/>
      <c r="J88" s="120"/>
      <c r="K88" s="9"/>
      <c r="L88" s="9"/>
      <c r="M88" s="9"/>
      <c r="N88" s="9"/>
      <c r="O88" s="9"/>
      <c r="P88" s="9"/>
      <c r="Q88" s="9"/>
      <c r="R88" s="9"/>
      <c r="S88" s="9"/>
      <c r="T88" s="98">
        <f t="shared" si="12"/>
        <v>0</v>
      </c>
      <c r="V88" s="340" t="str">
        <f t="shared" si="11"/>
        <v>PH 4</v>
      </c>
      <c r="W88" s="343"/>
      <c r="X88" s="112"/>
    </row>
    <row r="89" spans="1:24" ht="15.9" hidden="1" customHeight="1" x14ac:dyDescent="0.3">
      <c r="A89" s="102">
        <f t="shared" si="10"/>
        <v>11</v>
      </c>
      <c r="B89" s="105" t="str">
        <f>IF(ISERROR(VLOOKUP(CONCATENATE(A89,$C$5),#REF!,4,0)),"",(VLOOKUP(CONCATENATE(A89,$C$5),#REF!,4,0)))</f>
        <v/>
      </c>
      <c r="C89" s="116" t="str">
        <f>IF(ISERROR(VLOOKUP(CONCATENATE(A89,$C$5),#REF!,5,0)),"",(VLOOKUP(CONCATENATE(A89,$C$5),#REF!,5,0)))</f>
        <v/>
      </c>
      <c r="D89" s="94"/>
      <c r="E89" s="9"/>
      <c r="F89" s="9"/>
      <c r="G89" s="9"/>
      <c r="H89" s="9"/>
      <c r="I89" s="9"/>
      <c r="J89" s="120"/>
      <c r="K89" s="9"/>
      <c r="L89" s="9"/>
      <c r="M89" s="9"/>
      <c r="N89" s="9"/>
      <c r="O89" s="9"/>
      <c r="P89" s="9"/>
      <c r="Q89" s="9"/>
      <c r="R89" s="9"/>
      <c r="S89" s="9"/>
      <c r="T89" s="98">
        <f t="shared" si="12"/>
        <v>0</v>
      </c>
      <c r="V89" s="340">
        <f t="shared" si="11"/>
        <v>0</v>
      </c>
      <c r="W89" s="343"/>
      <c r="X89" s="112"/>
    </row>
    <row r="90" spans="1:24" ht="15.9" hidden="1" customHeight="1" x14ac:dyDescent="0.3">
      <c r="A90" s="102">
        <f t="shared" si="10"/>
        <v>12</v>
      </c>
      <c r="B90" s="105" t="str">
        <f>IF(ISERROR(VLOOKUP(CONCATENATE(A90,$C$5),#REF!,4,0)),"",(VLOOKUP(CONCATENATE(A90,$C$5),#REF!,4,0)))</f>
        <v/>
      </c>
      <c r="C90" s="116" t="str">
        <f>IF(ISERROR(VLOOKUP(CONCATENATE(A90,$C$5),#REF!,5,0)),"",(VLOOKUP(CONCATENATE(A90,$C$5),#REF!,5,0)))</f>
        <v/>
      </c>
      <c r="D90" s="94"/>
      <c r="E90" s="9"/>
      <c r="F90" s="9"/>
      <c r="G90" s="9"/>
      <c r="H90" s="9"/>
      <c r="I90" s="9"/>
      <c r="J90" s="120"/>
      <c r="K90" s="9"/>
      <c r="L90" s="9"/>
      <c r="M90" s="9"/>
      <c r="N90" s="9"/>
      <c r="O90" s="9"/>
      <c r="P90" s="9"/>
      <c r="Q90" s="9"/>
      <c r="R90" s="9"/>
      <c r="S90" s="9"/>
      <c r="T90" s="98">
        <f t="shared" si="12"/>
        <v>0</v>
      </c>
      <c r="V90" s="340">
        <f t="shared" si="11"/>
        <v>0</v>
      </c>
      <c r="W90" s="343"/>
      <c r="X90" s="112"/>
    </row>
    <row r="91" spans="1:24" ht="15.9" hidden="1" customHeight="1" x14ac:dyDescent="0.3">
      <c r="A91" s="102">
        <f t="shared" si="10"/>
        <v>13</v>
      </c>
      <c r="B91" s="105" t="str">
        <f>IF(ISERROR(VLOOKUP(CONCATENATE(A91,$C$5),#REF!,4,0)),"",(VLOOKUP(CONCATENATE(A91,$C$5),#REF!,4,0)))</f>
        <v/>
      </c>
      <c r="C91" s="116" t="str">
        <f>IF(ISERROR(VLOOKUP(CONCATENATE(A91,$C$5),#REF!,5,0)),"",(VLOOKUP(CONCATENATE(A91,$C$5),#REF!,5,0)))</f>
        <v/>
      </c>
      <c r="D91" s="94"/>
      <c r="E91" s="9"/>
      <c r="F91" s="9"/>
      <c r="G91" s="9"/>
      <c r="H91" s="9"/>
      <c r="I91" s="9"/>
      <c r="J91" s="120"/>
      <c r="K91" s="9"/>
      <c r="L91" s="9"/>
      <c r="M91" s="9"/>
      <c r="N91" s="9"/>
      <c r="O91" s="9"/>
      <c r="P91" s="9"/>
      <c r="Q91" s="9"/>
      <c r="R91" s="9"/>
      <c r="S91" s="9"/>
      <c r="T91" s="98">
        <f t="shared" si="12"/>
        <v>0</v>
      </c>
      <c r="V91" s="340" t="str">
        <f t="shared" si="11"/>
        <v>PH 5</v>
      </c>
      <c r="W91" s="343"/>
      <c r="X91" s="112"/>
    </row>
    <row r="92" spans="1:24" ht="15.9" hidden="1" customHeight="1" x14ac:dyDescent="0.3">
      <c r="A92" s="102">
        <f t="shared" si="10"/>
        <v>14</v>
      </c>
      <c r="B92" s="105" t="str">
        <f>IF(ISERROR(VLOOKUP(CONCATENATE(A92,$C$5),#REF!,4,0)),"",(VLOOKUP(CONCATENATE(A92,$C$5),#REF!,4,0)))</f>
        <v/>
      </c>
      <c r="C92" s="116" t="str">
        <f>IF(ISERROR(VLOOKUP(CONCATENATE(A92,$C$5),#REF!,5,0)),"",(VLOOKUP(CONCATENATE(A92,$C$5),#REF!,5,0)))</f>
        <v/>
      </c>
      <c r="D92" s="94"/>
      <c r="E92" s="9"/>
      <c r="F92" s="9"/>
      <c r="G92" s="9"/>
      <c r="H92" s="9"/>
      <c r="I92" s="9"/>
      <c r="J92" s="120"/>
      <c r="K92" s="9"/>
      <c r="L92" s="9"/>
      <c r="M92" s="9"/>
      <c r="N92" s="9"/>
      <c r="O92" s="9"/>
      <c r="P92" s="9"/>
      <c r="Q92" s="9"/>
      <c r="R92" s="9"/>
      <c r="S92" s="9"/>
      <c r="T92" s="98">
        <f t="shared" si="12"/>
        <v>0</v>
      </c>
      <c r="V92" s="340">
        <f t="shared" si="11"/>
        <v>0</v>
      </c>
      <c r="W92" s="343"/>
      <c r="X92" s="112"/>
    </row>
    <row r="93" spans="1:24" ht="15.9" hidden="1" customHeight="1" x14ac:dyDescent="0.3">
      <c r="A93" s="102">
        <f t="shared" si="10"/>
        <v>15</v>
      </c>
      <c r="B93" s="105" t="str">
        <f>IF(ISERROR(VLOOKUP(CONCATENATE(A93,$C$5),#REF!,4,0)),"",(VLOOKUP(CONCATENATE(A93,$C$5),#REF!,4,0)))</f>
        <v/>
      </c>
      <c r="C93" s="116" t="str">
        <f>IF(ISERROR(VLOOKUP(CONCATENATE(A93,$C$5),#REF!,5,0)),"",(VLOOKUP(CONCATENATE(A93,$C$5),#REF!,5,0)))</f>
        <v/>
      </c>
      <c r="D93" s="94"/>
      <c r="E93" s="9"/>
      <c r="F93" s="9"/>
      <c r="G93" s="9"/>
      <c r="H93" s="9"/>
      <c r="I93" s="9"/>
      <c r="J93" s="120"/>
      <c r="K93" s="9"/>
      <c r="L93" s="9"/>
      <c r="M93" s="9"/>
      <c r="N93" s="9"/>
      <c r="O93" s="9"/>
      <c r="P93" s="9"/>
      <c r="Q93" s="9"/>
      <c r="R93" s="9"/>
      <c r="S93" s="9"/>
      <c r="T93" s="98">
        <f t="shared" si="12"/>
        <v>0</v>
      </c>
      <c r="V93" s="340">
        <f t="shared" si="11"/>
        <v>0</v>
      </c>
      <c r="W93" s="343"/>
      <c r="X93" s="112"/>
    </row>
    <row r="94" spans="1:24" ht="15.9" hidden="1" customHeight="1" x14ac:dyDescent="0.3">
      <c r="A94" s="102">
        <f t="shared" si="10"/>
        <v>16</v>
      </c>
      <c r="B94" s="105" t="str">
        <f>IF(ISERROR(VLOOKUP(CONCATENATE(A94,$C$5),#REF!,4,0)),"",(VLOOKUP(CONCATENATE(A94,$C$5),#REF!,4,0)))</f>
        <v/>
      </c>
      <c r="C94" s="116" t="str">
        <f>IF(ISERROR(VLOOKUP(CONCATENATE(A94,$C$5),#REF!,5,0)),"",(VLOOKUP(CONCATENATE(A94,$C$5),#REF!,5,0)))</f>
        <v/>
      </c>
      <c r="D94" s="94"/>
      <c r="E94" s="9"/>
      <c r="F94" s="9"/>
      <c r="G94" s="9"/>
      <c r="H94" s="9"/>
      <c r="I94" s="9"/>
      <c r="J94" s="120"/>
      <c r="K94" s="9"/>
      <c r="L94" s="9"/>
      <c r="M94" s="9"/>
      <c r="N94" s="9"/>
      <c r="O94" s="9"/>
      <c r="P94" s="9"/>
      <c r="Q94" s="9"/>
      <c r="R94" s="9"/>
      <c r="S94" s="9"/>
      <c r="T94" s="98">
        <f t="shared" si="12"/>
        <v>0</v>
      </c>
      <c r="V94" s="340" t="str">
        <f t="shared" si="11"/>
        <v>PH 6</v>
      </c>
      <c r="W94" s="343"/>
      <c r="X94" s="112"/>
    </row>
    <row r="95" spans="1:24" ht="15.9" hidden="1" customHeight="1" x14ac:dyDescent="0.3">
      <c r="A95" s="102">
        <f t="shared" si="10"/>
        <v>17</v>
      </c>
      <c r="B95" s="105" t="str">
        <f>IF(ISERROR(VLOOKUP(CONCATENATE(A95,$C$5),#REF!,4,0)),"",(VLOOKUP(CONCATENATE(A95,$C$5),#REF!,4,0)))</f>
        <v/>
      </c>
      <c r="C95" s="116" t="str">
        <f>IF(ISERROR(VLOOKUP(CONCATENATE(A95,$C$5),#REF!,5,0)),"",(VLOOKUP(CONCATENATE(A95,$C$5),#REF!,5,0)))</f>
        <v/>
      </c>
      <c r="D95" s="94"/>
      <c r="E95" s="9"/>
      <c r="F95" s="9"/>
      <c r="G95" s="9"/>
      <c r="H95" s="9"/>
      <c r="I95" s="9"/>
      <c r="J95" s="120"/>
      <c r="K95" s="9"/>
      <c r="L95" s="9"/>
      <c r="M95" s="9"/>
      <c r="N95" s="9"/>
      <c r="O95" s="9"/>
      <c r="P95" s="9"/>
      <c r="Q95" s="9"/>
      <c r="R95" s="9"/>
      <c r="S95" s="9"/>
      <c r="T95" s="98">
        <f t="shared" si="12"/>
        <v>0</v>
      </c>
      <c r="V95" s="340">
        <f t="shared" si="11"/>
        <v>0</v>
      </c>
      <c r="W95" s="343"/>
      <c r="X95" s="112"/>
    </row>
    <row r="96" spans="1:24" ht="15.9" hidden="1" customHeight="1" x14ac:dyDescent="0.3">
      <c r="A96" s="102">
        <f t="shared" si="10"/>
        <v>18</v>
      </c>
      <c r="B96" s="105" t="str">
        <f>IF(ISERROR(VLOOKUP(CONCATENATE(A96,$C$5),#REF!,4,0)),"",(VLOOKUP(CONCATENATE(A96,$C$5),#REF!,4,0)))</f>
        <v/>
      </c>
      <c r="C96" s="116" t="str">
        <f>IF(ISERROR(VLOOKUP(CONCATENATE(A96,$C$5),#REF!,5,0)),"",(VLOOKUP(CONCATENATE(A96,$C$5),#REF!,5,0)))</f>
        <v/>
      </c>
      <c r="D96" s="94"/>
      <c r="E96" s="9"/>
      <c r="F96" s="9"/>
      <c r="G96" s="9"/>
      <c r="H96" s="9"/>
      <c r="I96" s="9"/>
      <c r="J96" s="120"/>
      <c r="K96" s="9"/>
      <c r="L96" s="9"/>
      <c r="M96" s="9"/>
      <c r="N96" s="9"/>
      <c r="O96" s="9"/>
      <c r="P96" s="9"/>
      <c r="Q96" s="9"/>
      <c r="R96" s="9"/>
      <c r="S96" s="9"/>
      <c r="T96" s="98">
        <f t="shared" si="12"/>
        <v>0</v>
      </c>
      <c r="V96" s="340">
        <f t="shared" si="11"/>
        <v>0</v>
      </c>
      <c r="W96" s="343"/>
      <c r="X96" s="112"/>
    </row>
    <row r="97" spans="1:24" ht="15.9" hidden="1" customHeight="1" x14ac:dyDescent="0.3">
      <c r="A97" s="102">
        <f t="shared" si="10"/>
        <v>19</v>
      </c>
      <c r="B97" s="105" t="str">
        <f>IF(ISERROR(VLOOKUP(CONCATENATE(A97,$C$5),#REF!,4,0)),"",(VLOOKUP(CONCATENATE(A97,$C$5),#REF!,4,0)))</f>
        <v/>
      </c>
      <c r="C97" s="116" t="str">
        <f>IF(ISERROR(VLOOKUP(CONCATENATE(A97,$C$5),#REF!,5,0)),"",(VLOOKUP(CONCATENATE(A97,$C$5),#REF!,5,0)))</f>
        <v/>
      </c>
      <c r="D97" s="94"/>
      <c r="E97" s="9"/>
      <c r="F97" s="9"/>
      <c r="G97" s="9"/>
      <c r="H97" s="9"/>
      <c r="I97" s="9"/>
      <c r="J97" s="120"/>
      <c r="K97" s="9"/>
      <c r="L97" s="9"/>
      <c r="M97" s="9"/>
      <c r="N97" s="9"/>
      <c r="O97" s="9"/>
      <c r="P97" s="9"/>
      <c r="Q97" s="9"/>
      <c r="R97" s="9"/>
      <c r="S97" s="9"/>
      <c r="T97" s="98">
        <f t="shared" si="12"/>
        <v>0</v>
      </c>
      <c r="V97" s="340" t="str">
        <f t="shared" si="11"/>
        <v>PH 7</v>
      </c>
      <c r="W97" s="343"/>
      <c r="X97" s="112"/>
    </row>
    <row r="98" spans="1:24" ht="15.9" hidden="1" customHeight="1" x14ac:dyDescent="0.3">
      <c r="A98" s="102" t="e">
        <f>#REF!</f>
        <v>#REF!</v>
      </c>
      <c r="B98" s="105" t="str">
        <f>IF(ISERROR(VLOOKUP(CONCATENATE(A98,$C$5),#REF!,4,0)),"",(VLOOKUP(CONCATENATE(A98,$C$5),#REF!,4,0)))</f>
        <v/>
      </c>
      <c r="C98" s="116" t="str">
        <f>IF(ISERROR(VLOOKUP(CONCATENATE(A98,$C$5),#REF!,5,0)),"",(VLOOKUP(CONCATENATE(A98,$C$5),#REF!,5,0)))</f>
        <v/>
      </c>
      <c r="D98" s="94"/>
      <c r="E98" s="9"/>
      <c r="F98" s="9"/>
      <c r="G98" s="9"/>
      <c r="H98" s="9"/>
      <c r="I98" s="9"/>
      <c r="J98" s="120"/>
      <c r="K98" s="9"/>
      <c r="L98" s="9"/>
      <c r="M98" s="9"/>
      <c r="N98" s="9"/>
      <c r="O98" s="9"/>
      <c r="P98" s="9"/>
      <c r="Q98" s="9"/>
      <c r="R98" s="9"/>
      <c r="S98" s="9"/>
      <c r="T98" s="98">
        <f t="shared" si="12"/>
        <v>0</v>
      </c>
      <c r="V98" s="340" t="e">
        <f>#REF!</f>
        <v>#REF!</v>
      </c>
      <c r="W98" s="343"/>
      <c r="X98" s="112"/>
    </row>
    <row r="99" spans="1:24" ht="15.9" hidden="1" customHeight="1" x14ac:dyDescent="0.3">
      <c r="A99" s="102">
        <f t="shared" ref="A99:A107" si="13">A31</f>
        <v>20</v>
      </c>
      <c r="B99" s="105" t="str">
        <f>IF(ISERROR(VLOOKUP(CONCATENATE(A99,$C$5),#REF!,4,0)),"",(VLOOKUP(CONCATENATE(A99,$C$5),#REF!,4,0)))</f>
        <v/>
      </c>
      <c r="C99" s="116" t="str">
        <f>IF(ISERROR(VLOOKUP(CONCATENATE(A99,$C$5),#REF!,5,0)),"",(VLOOKUP(CONCATENATE(A99,$C$5),#REF!,5,0)))</f>
        <v/>
      </c>
      <c r="D99" s="94"/>
      <c r="E99" s="9"/>
      <c r="F99" s="9"/>
      <c r="G99" s="9"/>
      <c r="H99" s="9"/>
      <c r="I99" s="9"/>
      <c r="J99" s="120"/>
      <c r="K99" s="9"/>
      <c r="L99" s="9"/>
      <c r="M99" s="9"/>
      <c r="N99" s="9"/>
      <c r="O99" s="9"/>
      <c r="P99" s="9"/>
      <c r="Q99" s="9"/>
      <c r="R99" s="9"/>
      <c r="S99" s="9"/>
      <c r="T99" s="98">
        <f t="shared" si="12"/>
        <v>0</v>
      </c>
      <c r="V99" s="340">
        <f t="shared" ref="V99:V107" si="14">V31</f>
        <v>0</v>
      </c>
      <c r="W99" s="343"/>
      <c r="X99" s="112"/>
    </row>
    <row r="100" spans="1:24" ht="15.9" hidden="1" customHeight="1" x14ac:dyDescent="0.3">
      <c r="A100" s="102">
        <f t="shared" si="13"/>
        <v>21</v>
      </c>
      <c r="B100" s="105" t="str">
        <f>IF(ISERROR(VLOOKUP(CONCATENATE(A100,$C$5),#REF!,4,0)),"",(VLOOKUP(CONCATENATE(A100,$C$5),#REF!,4,0)))</f>
        <v/>
      </c>
      <c r="C100" s="116" t="str">
        <f>IF(ISERROR(VLOOKUP(CONCATENATE(A100,$C$5),#REF!,5,0)),"",(VLOOKUP(CONCATENATE(A100,$C$5),#REF!,5,0)))</f>
        <v/>
      </c>
      <c r="D100" s="94"/>
      <c r="E100" s="9"/>
      <c r="F100" s="9"/>
      <c r="G100" s="9"/>
      <c r="H100" s="9"/>
      <c r="I100" s="9"/>
      <c r="J100" s="120"/>
      <c r="K100" s="9"/>
      <c r="L100" s="9"/>
      <c r="M100" s="9"/>
      <c r="N100" s="9"/>
      <c r="O100" s="9"/>
      <c r="P100" s="9"/>
      <c r="Q100" s="9"/>
      <c r="R100" s="9"/>
      <c r="S100" s="9"/>
      <c r="T100" s="98">
        <f t="shared" si="12"/>
        <v>0</v>
      </c>
      <c r="V100" s="340" t="str">
        <f t="shared" si="14"/>
        <v>PH 8</v>
      </c>
      <c r="W100" s="343"/>
      <c r="X100" s="112"/>
    </row>
    <row r="101" spans="1:24" ht="15.9" hidden="1" customHeight="1" x14ac:dyDescent="0.3">
      <c r="A101" s="102">
        <f t="shared" si="13"/>
        <v>22</v>
      </c>
      <c r="B101" s="105" t="str">
        <f>IF(ISERROR(VLOOKUP(CONCATENATE(A101,$C$5),#REF!,4,0)),"",(VLOOKUP(CONCATENATE(A101,$C$5),#REF!,4,0)))</f>
        <v/>
      </c>
      <c r="C101" s="116" t="str">
        <f>IF(ISERROR(VLOOKUP(CONCATENATE(A101,$C$5),#REF!,5,0)),"",(VLOOKUP(CONCATENATE(A101,$C$5),#REF!,5,0)))</f>
        <v/>
      </c>
      <c r="D101" s="94"/>
      <c r="E101" s="9"/>
      <c r="F101" s="9"/>
      <c r="G101" s="9"/>
      <c r="H101" s="9"/>
      <c r="I101" s="9"/>
      <c r="J101" s="120"/>
      <c r="K101" s="9"/>
      <c r="L101" s="9"/>
      <c r="M101" s="9"/>
      <c r="N101" s="9"/>
      <c r="O101" s="9"/>
      <c r="P101" s="9"/>
      <c r="Q101" s="9"/>
      <c r="R101" s="9"/>
      <c r="S101" s="9"/>
      <c r="T101" s="98">
        <f t="shared" si="12"/>
        <v>0</v>
      </c>
      <c r="V101" s="340">
        <f t="shared" si="14"/>
        <v>0</v>
      </c>
      <c r="W101" s="343"/>
      <c r="X101" s="112"/>
    </row>
    <row r="102" spans="1:24" ht="15.9" hidden="1" customHeight="1" x14ac:dyDescent="0.3">
      <c r="A102" s="102">
        <f t="shared" si="13"/>
        <v>23</v>
      </c>
      <c r="B102" s="105" t="str">
        <f>IF(ISERROR(VLOOKUP(CONCATENATE(A102,$C$5),#REF!,4,0)),"",(VLOOKUP(CONCATENATE(A102,$C$5),#REF!,4,0)))</f>
        <v/>
      </c>
      <c r="C102" s="116" t="str">
        <f>IF(ISERROR(VLOOKUP(CONCATENATE(A102,$C$5),#REF!,5,0)),"",(VLOOKUP(CONCATENATE(A102,$C$5),#REF!,5,0)))</f>
        <v/>
      </c>
      <c r="D102" s="94"/>
      <c r="E102" s="9"/>
      <c r="F102" s="9"/>
      <c r="G102" s="9"/>
      <c r="H102" s="9"/>
      <c r="I102" s="9"/>
      <c r="J102" s="120"/>
      <c r="K102" s="9"/>
      <c r="L102" s="9"/>
      <c r="M102" s="9"/>
      <c r="N102" s="9"/>
      <c r="O102" s="9"/>
      <c r="P102" s="9"/>
      <c r="Q102" s="9"/>
      <c r="R102" s="9"/>
      <c r="S102" s="9"/>
      <c r="T102" s="98">
        <f t="shared" si="12"/>
        <v>0</v>
      </c>
      <c r="V102" s="340">
        <f t="shared" si="14"/>
        <v>0</v>
      </c>
      <c r="W102" s="343"/>
      <c r="X102" s="112"/>
    </row>
    <row r="103" spans="1:24" ht="15.9" hidden="1" customHeight="1" x14ac:dyDescent="0.3">
      <c r="A103" s="102">
        <f t="shared" si="13"/>
        <v>24</v>
      </c>
      <c r="B103" s="105" t="str">
        <f>IF(ISERROR(VLOOKUP(CONCATENATE(A103,$C$5),#REF!,4,0)),"",(VLOOKUP(CONCATENATE(A103,$C$5),#REF!,4,0)))</f>
        <v/>
      </c>
      <c r="C103" s="116" t="str">
        <f>IF(ISERROR(VLOOKUP(CONCATENATE(A103,$C$5),#REF!,5,0)),"",(VLOOKUP(CONCATENATE(A103,$C$5),#REF!,5,0)))</f>
        <v/>
      </c>
      <c r="D103" s="94"/>
      <c r="E103" s="9"/>
      <c r="F103" s="9"/>
      <c r="G103" s="9"/>
      <c r="H103" s="9"/>
      <c r="I103" s="9"/>
      <c r="J103" s="120"/>
      <c r="K103" s="9"/>
      <c r="L103" s="9"/>
      <c r="M103" s="9"/>
      <c r="N103" s="9"/>
      <c r="O103" s="9"/>
      <c r="P103" s="9"/>
      <c r="Q103" s="9"/>
      <c r="R103" s="9"/>
      <c r="S103" s="9"/>
      <c r="T103" s="98">
        <f t="shared" si="12"/>
        <v>0</v>
      </c>
      <c r="V103" s="340" t="str">
        <f t="shared" si="14"/>
        <v>PH 9</v>
      </c>
      <c r="W103" s="343"/>
      <c r="X103" s="112"/>
    </row>
    <row r="104" spans="1:24" ht="15.9" hidden="1" customHeight="1" x14ac:dyDescent="0.3">
      <c r="A104" s="102">
        <f t="shared" si="13"/>
        <v>25</v>
      </c>
      <c r="B104" s="105" t="str">
        <f>IF(ISERROR(VLOOKUP(CONCATENATE(A104,$C$5),#REF!,4,0)),"",(VLOOKUP(CONCATENATE(A104,$C$5),#REF!,4,0)))</f>
        <v/>
      </c>
      <c r="C104" s="116" t="str">
        <f>IF(ISERROR(VLOOKUP(CONCATENATE(A104,$C$5),#REF!,5,0)),"",(VLOOKUP(CONCATENATE(A104,$C$5),#REF!,5,0)))</f>
        <v/>
      </c>
      <c r="D104" s="94"/>
      <c r="E104" s="9"/>
      <c r="F104" s="9"/>
      <c r="G104" s="9"/>
      <c r="H104" s="9"/>
      <c r="I104" s="9"/>
      <c r="J104" s="120"/>
      <c r="K104" s="9"/>
      <c r="L104" s="9"/>
      <c r="M104" s="9"/>
      <c r="N104" s="9"/>
      <c r="O104" s="9"/>
      <c r="P104" s="9"/>
      <c r="Q104" s="9"/>
      <c r="R104" s="9"/>
      <c r="S104" s="9"/>
      <c r="T104" s="98">
        <f t="shared" si="12"/>
        <v>0</v>
      </c>
      <c r="V104" s="340">
        <f t="shared" si="14"/>
        <v>0</v>
      </c>
      <c r="W104" s="343"/>
      <c r="X104" s="112"/>
    </row>
    <row r="105" spans="1:24" ht="15.9" hidden="1" customHeight="1" x14ac:dyDescent="0.3">
      <c r="A105" s="102">
        <f t="shared" si="13"/>
        <v>26</v>
      </c>
      <c r="B105" s="105" t="str">
        <f>IF(ISERROR(VLOOKUP(CONCATENATE(A105,$C$5),#REF!,4,0)),"",(VLOOKUP(CONCATENATE(A105,$C$5),#REF!,4,0)))</f>
        <v/>
      </c>
      <c r="C105" s="116" t="str">
        <f>IF(ISERROR(VLOOKUP(CONCATENATE(A105,$C$5),#REF!,5,0)),"",(VLOOKUP(CONCATENATE(A105,$C$5),#REF!,5,0)))</f>
        <v/>
      </c>
      <c r="D105" s="94"/>
      <c r="E105" s="9"/>
      <c r="F105" s="9"/>
      <c r="G105" s="9"/>
      <c r="H105" s="9"/>
      <c r="I105" s="9"/>
      <c r="J105" s="120"/>
      <c r="K105" s="9"/>
      <c r="L105" s="9"/>
      <c r="M105" s="9"/>
      <c r="N105" s="9"/>
      <c r="O105" s="9"/>
      <c r="P105" s="9"/>
      <c r="Q105" s="9"/>
      <c r="R105" s="9"/>
      <c r="S105" s="9"/>
      <c r="T105" s="98">
        <f t="shared" si="12"/>
        <v>0</v>
      </c>
      <c r="V105" s="340">
        <f t="shared" si="14"/>
        <v>0</v>
      </c>
      <c r="W105" s="343"/>
      <c r="X105" s="112"/>
    </row>
    <row r="106" spans="1:24" ht="15.9" hidden="1" customHeight="1" x14ac:dyDescent="0.3">
      <c r="A106" s="102">
        <f t="shared" si="13"/>
        <v>27</v>
      </c>
      <c r="B106" s="105" t="str">
        <f>IF(ISERROR(VLOOKUP(CONCATENATE(A106,$C$5),#REF!,4,0)),"",(VLOOKUP(CONCATENATE(A106,$C$5),#REF!,4,0)))</f>
        <v/>
      </c>
      <c r="C106" s="116" t="str">
        <f>IF(ISERROR(VLOOKUP(CONCATENATE(A106,$C$5),#REF!,5,0)),"",(VLOOKUP(CONCATENATE(A106,$C$5),#REF!,5,0)))</f>
        <v/>
      </c>
      <c r="D106" s="94"/>
      <c r="E106" s="9"/>
      <c r="F106" s="9"/>
      <c r="G106" s="9"/>
      <c r="H106" s="9"/>
      <c r="I106" s="9"/>
      <c r="J106" s="120"/>
      <c r="K106" s="9"/>
      <c r="L106" s="9"/>
      <c r="M106" s="9"/>
      <c r="N106" s="9"/>
      <c r="O106" s="9"/>
      <c r="P106" s="9"/>
      <c r="Q106" s="9"/>
      <c r="R106" s="9"/>
      <c r="S106" s="9"/>
      <c r="T106" s="98">
        <f t="shared" si="12"/>
        <v>0</v>
      </c>
      <c r="V106" s="340" t="str">
        <f t="shared" si="14"/>
        <v>PH 10</v>
      </c>
      <c r="W106" s="343"/>
      <c r="X106" s="112"/>
    </row>
    <row r="107" spans="1:24" ht="15.9" hidden="1" customHeight="1" x14ac:dyDescent="0.3">
      <c r="A107" s="102">
        <f t="shared" si="13"/>
        <v>28</v>
      </c>
      <c r="B107" s="105" t="str">
        <f>IF(ISERROR(VLOOKUP(CONCATENATE(A107,$C$5),#REF!,4,0)),"",(VLOOKUP(CONCATENATE(A107,$C$5),#REF!,4,0)))</f>
        <v/>
      </c>
      <c r="C107" s="116" t="str">
        <f>IF(ISERROR(VLOOKUP(CONCATENATE(A107,$C$5),#REF!,5,0)),"",(VLOOKUP(CONCATENATE(A107,$C$5),#REF!,5,0)))</f>
        <v/>
      </c>
      <c r="D107" s="94"/>
      <c r="E107" s="9"/>
      <c r="F107" s="9"/>
      <c r="G107" s="9"/>
      <c r="H107" s="9"/>
      <c r="I107" s="9"/>
      <c r="J107" s="120"/>
      <c r="K107" s="9"/>
      <c r="L107" s="9"/>
      <c r="M107" s="9"/>
      <c r="N107" s="9"/>
      <c r="O107" s="9"/>
      <c r="P107" s="9"/>
      <c r="Q107" s="9"/>
      <c r="R107" s="9"/>
      <c r="S107" s="9"/>
      <c r="T107" s="98">
        <f t="shared" si="12"/>
        <v>0</v>
      </c>
      <c r="V107" s="340">
        <f t="shared" si="14"/>
        <v>0</v>
      </c>
      <c r="W107" s="343"/>
      <c r="X107" s="112"/>
    </row>
    <row r="108" spans="1:24" ht="15.9" hidden="1" customHeight="1" thickBot="1" x14ac:dyDescent="0.35">
      <c r="A108" s="103">
        <f>A59</f>
        <v>48</v>
      </c>
      <c r="B108" s="106" t="str">
        <f>IF(ISERROR(VLOOKUP(CONCATENATE(A108,$C$5),#REF!,4,0)),"",(VLOOKUP(CONCATENATE(A108,$C$5),#REF!,4,0)))</f>
        <v/>
      </c>
      <c r="C108" s="107" t="str">
        <f>IF(ISERROR(VLOOKUP(CONCATENATE(A108,$C$5),#REF!,5,0)),"",(VLOOKUP(CONCATENATE(A108,$C$5),#REF!,5,0)))</f>
        <v/>
      </c>
      <c r="D108" s="95"/>
      <c r="E108" s="46"/>
      <c r="F108" s="46"/>
      <c r="G108" s="46"/>
      <c r="H108" s="46"/>
      <c r="I108" s="46"/>
      <c r="J108" s="121"/>
      <c r="K108" s="46"/>
      <c r="L108" s="46"/>
      <c r="M108" s="46"/>
      <c r="N108" s="46"/>
      <c r="O108" s="46"/>
      <c r="P108" s="46"/>
      <c r="Q108" s="46"/>
      <c r="R108" s="46"/>
      <c r="S108" s="46"/>
      <c r="T108" s="99">
        <f t="shared" si="12"/>
        <v>0</v>
      </c>
      <c r="V108" s="344">
        <f>V59</f>
        <v>0</v>
      </c>
      <c r="W108" s="345"/>
      <c r="X108" s="112"/>
    </row>
    <row r="109" spans="1:24" hidden="1" x14ac:dyDescent="0.3">
      <c r="B109" s="21"/>
    </row>
    <row r="110" spans="1:24" hidden="1" x14ac:dyDescent="0.3">
      <c r="B110" s="21" t="str">
        <f t="shared" ref="B110:C113" si="15">B61</f>
        <v>Jumlah Siswa :</v>
      </c>
      <c r="E110" s="21" t="str">
        <f>E61</f>
        <v>Mengetahui,</v>
      </c>
      <c r="V110" s="21" t="e">
        <f>"Bandung Barat,     "&amp;IF(C74="1 (GANJIL)","Desember "&amp;MID(#REF!,1,4),"Juni "&amp;MID(#REF!,6,4))</f>
        <v>#REF!</v>
      </c>
    </row>
    <row r="111" spans="1:24" hidden="1" x14ac:dyDescent="0.3">
      <c r="B111" s="21" t="str">
        <f t="shared" si="15"/>
        <v>Laki-laki</v>
      </c>
      <c r="C111" s="20">
        <f t="shared" si="15"/>
        <v>22</v>
      </c>
      <c r="E111" s="21" t="str">
        <f>E62</f>
        <v>Wali Kelas</v>
      </c>
      <c r="V111" s="21" t="e">
        <f>#REF!</f>
        <v>#REF!</v>
      </c>
    </row>
    <row r="112" spans="1:24" ht="16.2" hidden="1" thickBot="1" x14ac:dyDescent="0.35">
      <c r="B112" s="31" t="str">
        <f t="shared" si="15"/>
        <v>Perempuan</v>
      </c>
      <c r="C112" s="32">
        <f t="shared" si="15"/>
        <v>24</v>
      </c>
      <c r="E112" s="21"/>
      <c r="V112" s="21"/>
    </row>
    <row r="113" spans="2:22" hidden="1" x14ac:dyDescent="0.3">
      <c r="B113" s="21" t="str">
        <f t="shared" si="15"/>
        <v>Total</v>
      </c>
      <c r="C113" s="20">
        <f t="shared" si="15"/>
        <v>46</v>
      </c>
      <c r="E113" s="21"/>
      <c r="V113" s="21"/>
    </row>
    <row r="114" spans="2:22" hidden="1" x14ac:dyDescent="0.3">
      <c r="B114" s="21"/>
      <c r="E114" s="21"/>
      <c r="V114" s="21"/>
    </row>
    <row r="115" spans="2:22" hidden="1" x14ac:dyDescent="0.3">
      <c r="B115" s="21"/>
      <c r="E115" s="22" t="e">
        <f>#REF!</f>
        <v>#REF!</v>
      </c>
      <c r="V115" s="22" t="str">
        <f>V66</f>
        <v>AHMAD NURSYIFA, S.Kom.</v>
      </c>
    </row>
    <row r="116" spans="2:22" hidden="1" x14ac:dyDescent="0.3">
      <c r="E116" s="21" t="e">
        <f>#REF!</f>
        <v>#REF!</v>
      </c>
      <c r="V116" s="21" t="str">
        <f>V67</f>
        <v>NIP. -</v>
      </c>
    </row>
    <row r="117" spans="2:22" x14ac:dyDescent="0.3"/>
    <row r="118" spans="2:22" x14ac:dyDescent="0.3"/>
  </sheetData>
  <sheetProtection formatCells="0" formatColumns="0" formatRows="0"/>
  <sortState xmlns:xlrd2="http://schemas.microsoft.com/office/spreadsheetml/2017/richdata2" ref="B13:S27">
    <sortCondition ref="B13"/>
  </sortState>
  <mergeCells count="86">
    <mergeCell ref="V107:V108"/>
    <mergeCell ref="W107:W108"/>
    <mergeCell ref="V101:V102"/>
    <mergeCell ref="W101:W102"/>
    <mergeCell ref="V103:V104"/>
    <mergeCell ref="W103:W104"/>
    <mergeCell ref="V105:V106"/>
    <mergeCell ref="W105:W106"/>
    <mergeCell ref="V95:V96"/>
    <mergeCell ref="W95:W96"/>
    <mergeCell ref="V97:V98"/>
    <mergeCell ref="W97:W98"/>
    <mergeCell ref="V99:V100"/>
    <mergeCell ref="W99:W100"/>
    <mergeCell ref="V89:V90"/>
    <mergeCell ref="W89:W90"/>
    <mergeCell ref="V91:V92"/>
    <mergeCell ref="W91:W92"/>
    <mergeCell ref="V93:V94"/>
    <mergeCell ref="W93:W94"/>
    <mergeCell ref="V83:V84"/>
    <mergeCell ref="W83:W84"/>
    <mergeCell ref="V85:V86"/>
    <mergeCell ref="W85:W86"/>
    <mergeCell ref="V87:V88"/>
    <mergeCell ref="W87:W88"/>
    <mergeCell ref="T76:T77"/>
    <mergeCell ref="V76:W77"/>
    <mergeCell ref="V79:V80"/>
    <mergeCell ref="W79:W80"/>
    <mergeCell ref="V81:V82"/>
    <mergeCell ref="W81:W82"/>
    <mergeCell ref="A76:A77"/>
    <mergeCell ref="B76:B77"/>
    <mergeCell ref="C76:C77"/>
    <mergeCell ref="D76:R76"/>
    <mergeCell ref="S76:S77"/>
    <mergeCell ref="A68:W68"/>
    <mergeCell ref="A69:W69"/>
    <mergeCell ref="A70:W70"/>
    <mergeCell ref="V72:W72"/>
    <mergeCell ref="V73:W74"/>
    <mergeCell ref="T9:T10"/>
    <mergeCell ref="A1:W1"/>
    <mergeCell ref="A2:W2"/>
    <mergeCell ref="A3:W3"/>
    <mergeCell ref="V5:W5"/>
    <mergeCell ref="V6:W7"/>
    <mergeCell ref="V9:W10"/>
    <mergeCell ref="C9:C10"/>
    <mergeCell ref="B9:B10"/>
    <mergeCell ref="A9:A10"/>
    <mergeCell ref="S9:S10"/>
    <mergeCell ref="D9:R9"/>
    <mergeCell ref="V32:V34"/>
    <mergeCell ref="W32:W34"/>
    <mergeCell ref="V35:V37"/>
    <mergeCell ref="W35:W37"/>
    <mergeCell ref="V38:V40"/>
    <mergeCell ref="W38:W40"/>
    <mergeCell ref="W12:W14"/>
    <mergeCell ref="V12:V14"/>
    <mergeCell ref="W30:W31"/>
    <mergeCell ref="V30:V31"/>
    <mergeCell ref="W27:W29"/>
    <mergeCell ref="V27:V29"/>
    <mergeCell ref="W24:W26"/>
    <mergeCell ref="V24:V26"/>
    <mergeCell ref="W21:W23"/>
    <mergeCell ref="V21:V23"/>
    <mergeCell ref="W18:W20"/>
    <mergeCell ref="V18:V20"/>
    <mergeCell ref="W15:W17"/>
    <mergeCell ref="V15:V17"/>
    <mergeCell ref="V41:V43"/>
    <mergeCell ref="W41:W43"/>
    <mergeCell ref="V44:V46"/>
    <mergeCell ref="W44:W46"/>
    <mergeCell ref="V47:V49"/>
    <mergeCell ref="W47:W49"/>
    <mergeCell ref="V50:V52"/>
    <mergeCell ref="W50:W52"/>
    <mergeCell ref="V53:V54"/>
    <mergeCell ref="W53:W54"/>
    <mergeCell ref="W55:W59"/>
    <mergeCell ref="V55:V59"/>
  </mergeCells>
  <conditionalFormatting sqref="T12:T39 T50:T59">
    <cfRule type="cellIs" dxfId="11" priority="12" operator="equal">
      <formula>0</formula>
    </cfRule>
  </conditionalFormatting>
  <conditionalFormatting sqref="D12:T39 D50:T59">
    <cfRule type="cellIs" dxfId="10" priority="737" operator="lessThan">
      <formula>$V$6</formula>
    </cfRule>
  </conditionalFormatting>
  <conditionalFormatting sqref="T79:T108">
    <cfRule type="cellIs" dxfId="9" priority="10" operator="equal">
      <formula>0</formula>
    </cfRule>
  </conditionalFormatting>
  <conditionalFormatting sqref="D79:T108">
    <cfRule type="cellIs" dxfId="8" priority="11" operator="lessThan">
      <formula>$V$6</formula>
    </cfRule>
  </conditionalFormatting>
  <conditionalFormatting sqref="T40:T49">
    <cfRule type="cellIs" dxfId="7" priority="6" operator="equal">
      <formula>0</formula>
    </cfRule>
  </conditionalFormatting>
  <conditionalFormatting sqref="D40:E41 D47:T49 E42:E46 F40:T46">
    <cfRule type="cellIs" dxfId="6" priority="7" operator="lessThan">
      <formula>$V$6</formula>
    </cfRule>
  </conditionalFormatting>
  <conditionalFormatting sqref="D46">
    <cfRule type="cellIs" dxfId="5" priority="5" operator="lessThan">
      <formula>$V$6</formula>
    </cfRule>
  </conditionalFormatting>
  <conditionalFormatting sqref="D44">
    <cfRule type="cellIs" dxfId="4" priority="4" operator="lessThan">
      <formula>$V$6</formula>
    </cfRule>
  </conditionalFormatting>
  <conditionalFormatting sqref="D43">
    <cfRule type="cellIs" dxfId="3" priority="3" operator="lessThan">
      <formula>$V$6</formula>
    </cfRule>
  </conditionalFormatting>
  <conditionalFormatting sqref="D45">
    <cfRule type="cellIs" dxfId="2" priority="2" operator="lessThan">
      <formula>$V$6</formula>
    </cfRule>
  </conditionalFormatting>
  <conditionalFormatting sqref="D42">
    <cfRule type="cellIs" dxfId="1" priority="1" operator="lessThan">
      <formula>$V$6</formula>
    </cfRule>
  </conditionalFormatting>
  <printOptions horizontalCentered="1"/>
  <pageMargins left="0.19685039370078741" right="0.19685039370078741" top="0.70866141732283472" bottom="0.19685039370078741" header="0.11811023622047245" footer="0.23622047244094491"/>
  <pageSetup paperSize="9" scale="71" fitToHeight="2" orientation="landscape" horizontalDpi="4294967293" r:id="rId1"/>
  <rowBreaks count="1" manualBreakCount="1">
    <brk id="46" max="2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0CC8-AD1A-4DF8-B7EE-ACCCB088F8FD}">
  <dimension ref="A1:E47"/>
  <sheetViews>
    <sheetView tabSelected="1" topLeftCell="A20" zoomScale="120" workbookViewId="0">
      <selection activeCell="B40" sqref="B40"/>
    </sheetView>
  </sheetViews>
  <sheetFormatPr defaultRowHeight="14.4" x14ac:dyDescent="0.3"/>
  <cols>
    <col min="2" max="2" width="37.109375" bestFit="1" customWidth="1"/>
    <col min="3" max="4" width="8.88671875" style="34"/>
    <col min="5" max="5" width="19.77734375" style="34" bestFit="1" customWidth="1"/>
  </cols>
  <sheetData>
    <row r="1" spans="1:5" x14ac:dyDescent="0.3">
      <c r="C1" s="34" t="s">
        <v>303</v>
      </c>
      <c r="D1" s="34" t="s">
        <v>304</v>
      </c>
      <c r="E1" s="34" t="s">
        <v>305</v>
      </c>
    </row>
    <row r="2" spans="1:5" x14ac:dyDescent="0.3">
      <c r="A2" s="183">
        <v>1</v>
      </c>
      <c r="B2" t="s">
        <v>247</v>
      </c>
      <c r="C2" s="34">
        <v>7</v>
      </c>
      <c r="D2" s="34">
        <f t="shared" ref="D2:D47" si="0">C2*4</f>
        <v>28</v>
      </c>
      <c r="E2" s="182">
        <f>50+(C2-3)*(78-50)/(16-3)</f>
        <v>58.615384615384613</v>
      </c>
    </row>
    <row r="3" spans="1:5" x14ac:dyDescent="0.3">
      <c r="A3" s="183">
        <v>2</v>
      </c>
      <c r="B3" t="s">
        <v>248</v>
      </c>
      <c r="C3" s="34">
        <v>5</v>
      </c>
      <c r="D3" s="34">
        <f t="shared" si="0"/>
        <v>20</v>
      </c>
      <c r="E3" s="182">
        <f t="shared" ref="E3:E47" si="1">50+(C3-3)*(78-50)/(16-3)</f>
        <v>54.307692307692307</v>
      </c>
    </row>
    <row r="4" spans="1:5" x14ac:dyDescent="0.3">
      <c r="A4" s="183">
        <v>3</v>
      </c>
      <c r="B4" t="s">
        <v>249</v>
      </c>
      <c r="C4" s="34">
        <v>9</v>
      </c>
      <c r="D4" s="34">
        <f t="shared" si="0"/>
        <v>36</v>
      </c>
      <c r="E4" s="182">
        <f t="shared" si="1"/>
        <v>62.92307692307692</v>
      </c>
    </row>
    <row r="5" spans="1:5" x14ac:dyDescent="0.3">
      <c r="A5" s="183">
        <v>4</v>
      </c>
      <c r="B5" t="s">
        <v>250</v>
      </c>
      <c r="C5" s="34">
        <v>11</v>
      </c>
      <c r="D5" s="34">
        <f t="shared" si="0"/>
        <v>44</v>
      </c>
      <c r="E5" s="182">
        <f t="shared" si="1"/>
        <v>67.230769230769226</v>
      </c>
    </row>
    <row r="6" spans="1:5" x14ac:dyDescent="0.3">
      <c r="A6" s="183">
        <v>5</v>
      </c>
      <c r="B6" t="s">
        <v>251</v>
      </c>
      <c r="C6" s="34">
        <v>10</v>
      </c>
      <c r="D6" s="34">
        <f t="shared" si="0"/>
        <v>40</v>
      </c>
      <c r="E6" s="182">
        <f t="shared" si="1"/>
        <v>65.07692307692308</v>
      </c>
    </row>
    <row r="7" spans="1:5" x14ac:dyDescent="0.3">
      <c r="A7" s="183">
        <v>6</v>
      </c>
      <c r="B7" t="s">
        <v>252</v>
      </c>
      <c r="C7" s="34">
        <v>5</v>
      </c>
      <c r="D7" s="34">
        <f t="shared" si="0"/>
        <v>20</v>
      </c>
      <c r="E7" s="182">
        <f t="shared" si="1"/>
        <v>54.307692307692307</v>
      </c>
    </row>
    <row r="8" spans="1:5" x14ac:dyDescent="0.3">
      <c r="A8" s="183">
        <v>7</v>
      </c>
      <c r="B8" t="s">
        <v>253</v>
      </c>
      <c r="C8" s="34">
        <v>3</v>
      </c>
      <c r="D8" s="34">
        <f t="shared" si="0"/>
        <v>12</v>
      </c>
      <c r="E8" s="182">
        <f t="shared" si="1"/>
        <v>50</v>
      </c>
    </row>
    <row r="9" spans="1:5" x14ac:dyDescent="0.3">
      <c r="A9" s="183">
        <v>8</v>
      </c>
      <c r="B9" t="s">
        <v>254</v>
      </c>
      <c r="C9" s="34">
        <v>10</v>
      </c>
      <c r="D9" s="34">
        <f t="shared" si="0"/>
        <v>40</v>
      </c>
      <c r="E9" s="182">
        <f t="shared" si="1"/>
        <v>65.07692307692308</v>
      </c>
    </row>
    <row r="10" spans="1:5" x14ac:dyDescent="0.3">
      <c r="A10" s="183">
        <v>9</v>
      </c>
      <c r="B10" t="s">
        <v>255</v>
      </c>
      <c r="C10" s="34">
        <v>10</v>
      </c>
      <c r="D10" s="34">
        <f t="shared" si="0"/>
        <v>40</v>
      </c>
      <c r="E10" s="182">
        <f t="shared" si="1"/>
        <v>65.07692307692308</v>
      </c>
    </row>
    <row r="11" spans="1:5" x14ac:dyDescent="0.3">
      <c r="A11" s="183">
        <v>10</v>
      </c>
      <c r="B11" t="s">
        <v>256</v>
      </c>
      <c r="C11" s="34">
        <v>11</v>
      </c>
      <c r="D11" s="34">
        <f t="shared" si="0"/>
        <v>44</v>
      </c>
      <c r="E11" s="182">
        <f t="shared" si="1"/>
        <v>67.230769230769226</v>
      </c>
    </row>
    <row r="12" spans="1:5" x14ac:dyDescent="0.3">
      <c r="A12" s="183">
        <v>11</v>
      </c>
      <c r="B12" t="s">
        <v>257</v>
      </c>
      <c r="C12" s="34">
        <v>9</v>
      </c>
      <c r="D12" s="34">
        <f t="shared" si="0"/>
        <v>36</v>
      </c>
      <c r="E12" s="182">
        <f t="shared" si="1"/>
        <v>62.92307692307692</v>
      </c>
    </row>
    <row r="13" spans="1:5" x14ac:dyDescent="0.3">
      <c r="A13" s="183">
        <v>12</v>
      </c>
      <c r="B13" t="s">
        <v>258</v>
      </c>
      <c r="C13" s="34">
        <v>9</v>
      </c>
      <c r="D13" s="34">
        <f t="shared" si="0"/>
        <v>36</v>
      </c>
      <c r="E13" s="182">
        <f t="shared" si="1"/>
        <v>62.92307692307692</v>
      </c>
    </row>
    <row r="14" spans="1:5" x14ac:dyDescent="0.3">
      <c r="A14" s="183">
        <v>13</v>
      </c>
      <c r="B14" t="s">
        <v>259</v>
      </c>
      <c r="C14" s="34">
        <v>10</v>
      </c>
      <c r="D14" s="34">
        <f t="shared" si="0"/>
        <v>40</v>
      </c>
      <c r="E14" s="182">
        <f t="shared" si="1"/>
        <v>65.07692307692308</v>
      </c>
    </row>
    <row r="15" spans="1:5" x14ac:dyDescent="0.3">
      <c r="A15" s="183">
        <v>14</v>
      </c>
      <c r="B15" t="s">
        <v>260</v>
      </c>
      <c r="C15" s="34">
        <v>13</v>
      </c>
      <c r="D15" s="34">
        <f t="shared" si="0"/>
        <v>52</v>
      </c>
      <c r="E15" s="182">
        <f t="shared" si="1"/>
        <v>71.538461538461547</v>
      </c>
    </row>
    <row r="16" spans="1:5" x14ac:dyDescent="0.3">
      <c r="A16" s="183">
        <v>15</v>
      </c>
      <c r="B16" t="s">
        <v>261</v>
      </c>
      <c r="C16" s="34">
        <v>10</v>
      </c>
      <c r="D16" s="34">
        <f t="shared" si="0"/>
        <v>40</v>
      </c>
      <c r="E16" s="182">
        <f t="shared" si="1"/>
        <v>65.07692307692308</v>
      </c>
    </row>
    <row r="17" spans="1:5" x14ac:dyDescent="0.3">
      <c r="A17" s="183">
        <v>16</v>
      </c>
      <c r="B17" t="s">
        <v>262</v>
      </c>
      <c r="C17" s="34">
        <v>9</v>
      </c>
      <c r="D17" s="34">
        <f t="shared" si="0"/>
        <v>36</v>
      </c>
      <c r="E17" s="182">
        <f t="shared" si="1"/>
        <v>62.92307692307692</v>
      </c>
    </row>
    <row r="18" spans="1:5" x14ac:dyDescent="0.3">
      <c r="A18" s="183">
        <v>17</v>
      </c>
      <c r="B18" t="s">
        <v>263</v>
      </c>
      <c r="C18" s="34">
        <v>4</v>
      </c>
      <c r="D18" s="34">
        <f t="shared" si="0"/>
        <v>16</v>
      </c>
      <c r="E18" s="182">
        <f t="shared" si="1"/>
        <v>52.153846153846153</v>
      </c>
    </row>
    <row r="19" spans="1:5" x14ac:dyDescent="0.3">
      <c r="A19" s="183">
        <v>18</v>
      </c>
      <c r="B19" t="s">
        <v>264</v>
      </c>
      <c r="C19" s="34">
        <v>5</v>
      </c>
      <c r="D19" s="34">
        <f t="shared" si="0"/>
        <v>20</v>
      </c>
      <c r="E19" s="182">
        <f t="shared" si="1"/>
        <v>54.307692307692307</v>
      </c>
    </row>
    <row r="20" spans="1:5" x14ac:dyDescent="0.3">
      <c r="A20" s="183">
        <v>19</v>
      </c>
      <c r="B20" t="s">
        <v>265</v>
      </c>
      <c r="C20" s="34">
        <v>11</v>
      </c>
      <c r="D20" s="34">
        <f t="shared" si="0"/>
        <v>44</v>
      </c>
      <c r="E20" s="182">
        <f t="shared" si="1"/>
        <v>67.230769230769226</v>
      </c>
    </row>
    <row r="21" spans="1:5" x14ac:dyDescent="0.3">
      <c r="A21" s="183">
        <v>20</v>
      </c>
      <c r="B21" t="s">
        <v>266</v>
      </c>
      <c r="C21" s="34">
        <v>11</v>
      </c>
      <c r="D21" s="34">
        <f t="shared" si="0"/>
        <v>44</v>
      </c>
      <c r="E21" s="182">
        <f t="shared" si="1"/>
        <v>67.230769230769226</v>
      </c>
    </row>
    <row r="22" spans="1:5" x14ac:dyDescent="0.3">
      <c r="A22" s="183">
        <v>21</v>
      </c>
      <c r="B22" t="s">
        <v>267</v>
      </c>
      <c r="C22" s="34">
        <v>16</v>
      </c>
      <c r="D22" s="34">
        <f t="shared" si="0"/>
        <v>64</v>
      </c>
      <c r="E22" s="182">
        <f t="shared" si="1"/>
        <v>78</v>
      </c>
    </row>
    <row r="23" spans="1:5" x14ac:dyDescent="0.3">
      <c r="A23" s="183">
        <v>22</v>
      </c>
      <c r="B23" t="s">
        <v>268</v>
      </c>
      <c r="C23" s="34">
        <v>10</v>
      </c>
      <c r="D23" s="34">
        <f t="shared" si="0"/>
        <v>40</v>
      </c>
      <c r="E23" s="182">
        <f t="shared" si="1"/>
        <v>65.07692307692308</v>
      </c>
    </row>
    <row r="24" spans="1:5" x14ac:dyDescent="0.3">
      <c r="A24" s="183">
        <v>23</v>
      </c>
      <c r="B24" t="s">
        <v>269</v>
      </c>
      <c r="C24" s="34">
        <v>10</v>
      </c>
      <c r="D24" s="34">
        <f t="shared" si="0"/>
        <v>40</v>
      </c>
      <c r="E24" s="182">
        <f t="shared" si="1"/>
        <v>65.07692307692308</v>
      </c>
    </row>
    <row r="25" spans="1:5" x14ac:dyDescent="0.3">
      <c r="A25" s="183">
        <v>24</v>
      </c>
      <c r="B25" t="s">
        <v>270</v>
      </c>
      <c r="C25" s="34">
        <v>7</v>
      </c>
      <c r="D25" s="34">
        <f t="shared" si="0"/>
        <v>28</v>
      </c>
      <c r="E25" s="182">
        <f t="shared" si="1"/>
        <v>58.615384615384613</v>
      </c>
    </row>
    <row r="26" spans="1:5" x14ac:dyDescent="0.3">
      <c r="A26" s="183">
        <v>25</v>
      </c>
      <c r="B26" t="s">
        <v>271</v>
      </c>
      <c r="C26" s="34">
        <v>13</v>
      </c>
      <c r="D26" s="34">
        <f t="shared" si="0"/>
        <v>52</v>
      </c>
      <c r="E26" s="182">
        <f t="shared" si="1"/>
        <v>71.538461538461547</v>
      </c>
    </row>
    <row r="27" spans="1:5" x14ac:dyDescent="0.3">
      <c r="A27" s="183">
        <v>26</v>
      </c>
      <c r="B27" t="s">
        <v>272</v>
      </c>
      <c r="C27" s="34">
        <v>4</v>
      </c>
      <c r="D27" s="34">
        <f t="shared" si="0"/>
        <v>16</v>
      </c>
      <c r="E27" s="182">
        <f t="shared" si="1"/>
        <v>52.153846153846153</v>
      </c>
    </row>
    <row r="28" spans="1:5" x14ac:dyDescent="0.3">
      <c r="A28" s="183">
        <v>27</v>
      </c>
      <c r="B28" t="s">
        <v>273</v>
      </c>
      <c r="C28" s="34">
        <v>4</v>
      </c>
      <c r="D28" s="34">
        <f t="shared" si="0"/>
        <v>16</v>
      </c>
      <c r="E28" s="182">
        <f t="shared" si="1"/>
        <v>52.153846153846153</v>
      </c>
    </row>
    <row r="29" spans="1:5" x14ac:dyDescent="0.3">
      <c r="A29" s="183">
        <v>28</v>
      </c>
      <c r="B29" t="s">
        <v>274</v>
      </c>
      <c r="C29" s="34">
        <v>12</v>
      </c>
      <c r="D29" s="34">
        <f t="shared" si="0"/>
        <v>48</v>
      </c>
      <c r="E29" s="182">
        <f t="shared" si="1"/>
        <v>69.384615384615387</v>
      </c>
    </row>
    <row r="30" spans="1:5" x14ac:dyDescent="0.3">
      <c r="A30" s="183">
        <v>29</v>
      </c>
      <c r="B30" t="s">
        <v>275</v>
      </c>
      <c r="C30" s="34">
        <v>11</v>
      </c>
      <c r="D30" s="34">
        <f t="shared" si="0"/>
        <v>44</v>
      </c>
      <c r="E30" s="182">
        <f t="shared" si="1"/>
        <v>67.230769230769226</v>
      </c>
    </row>
    <row r="31" spans="1:5" x14ac:dyDescent="0.3">
      <c r="A31" s="183">
        <v>30</v>
      </c>
      <c r="B31" t="s">
        <v>276</v>
      </c>
      <c r="C31" s="34">
        <v>11</v>
      </c>
      <c r="D31" s="34">
        <f t="shared" si="0"/>
        <v>44</v>
      </c>
      <c r="E31" s="182">
        <f t="shared" si="1"/>
        <v>67.230769230769226</v>
      </c>
    </row>
    <row r="32" spans="1:5" x14ac:dyDescent="0.3">
      <c r="A32" s="183">
        <v>31</v>
      </c>
      <c r="B32" t="s">
        <v>277</v>
      </c>
      <c r="C32" s="34">
        <v>8</v>
      </c>
      <c r="D32" s="34">
        <f t="shared" si="0"/>
        <v>32</v>
      </c>
      <c r="E32" s="182">
        <f t="shared" si="1"/>
        <v>60.769230769230774</v>
      </c>
    </row>
    <row r="33" spans="1:5" x14ac:dyDescent="0.3">
      <c r="A33" s="183">
        <v>32</v>
      </c>
      <c r="B33" t="s">
        <v>278</v>
      </c>
      <c r="C33" s="34">
        <v>14</v>
      </c>
      <c r="D33" s="34">
        <f t="shared" si="0"/>
        <v>56</v>
      </c>
      <c r="E33" s="182">
        <f t="shared" si="1"/>
        <v>73.692307692307693</v>
      </c>
    </row>
    <row r="34" spans="1:5" x14ac:dyDescent="0.3">
      <c r="A34" s="183">
        <v>33</v>
      </c>
      <c r="B34" t="s">
        <v>279</v>
      </c>
      <c r="C34" s="34">
        <v>10</v>
      </c>
      <c r="D34" s="34">
        <f t="shared" si="0"/>
        <v>40</v>
      </c>
      <c r="E34" s="182">
        <f t="shared" si="1"/>
        <v>65.07692307692308</v>
      </c>
    </row>
    <row r="35" spans="1:5" x14ac:dyDescent="0.3">
      <c r="A35" s="183">
        <v>34</v>
      </c>
      <c r="B35" t="s">
        <v>280</v>
      </c>
      <c r="C35" s="34">
        <v>11</v>
      </c>
      <c r="D35" s="34">
        <f t="shared" si="0"/>
        <v>44</v>
      </c>
      <c r="E35" s="182">
        <f t="shared" si="1"/>
        <v>67.230769230769226</v>
      </c>
    </row>
    <row r="36" spans="1:5" x14ac:dyDescent="0.3">
      <c r="A36" s="183">
        <v>35</v>
      </c>
      <c r="B36" t="s">
        <v>281</v>
      </c>
      <c r="C36" s="34">
        <v>8</v>
      </c>
      <c r="D36" s="34">
        <f t="shared" si="0"/>
        <v>32</v>
      </c>
      <c r="E36" s="182">
        <f t="shared" si="1"/>
        <v>60.769230769230774</v>
      </c>
    </row>
    <row r="37" spans="1:5" x14ac:dyDescent="0.3">
      <c r="A37" s="183">
        <v>36</v>
      </c>
      <c r="B37" t="s">
        <v>282</v>
      </c>
      <c r="C37" s="34">
        <v>10</v>
      </c>
      <c r="D37" s="34">
        <f t="shared" si="0"/>
        <v>40</v>
      </c>
      <c r="E37" s="182">
        <f t="shared" si="1"/>
        <v>65.07692307692308</v>
      </c>
    </row>
    <row r="38" spans="1:5" x14ac:dyDescent="0.3">
      <c r="A38" s="183">
        <v>37</v>
      </c>
      <c r="B38" t="s">
        <v>283</v>
      </c>
      <c r="C38" s="34">
        <v>5</v>
      </c>
      <c r="D38" s="34">
        <f t="shared" si="0"/>
        <v>20</v>
      </c>
      <c r="E38" s="182">
        <f t="shared" si="1"/>
        <v>54.307692307692307</v>
      </c>
    </row>
    <row r="39" spans="1:5" x14ac:dyDescent="0.3">
      <c r="A39" s="183">
        <v>38</v>
      </c>
      <c r="B39" t="s">
        <v>284</v>
      </c>
      <c r="C39" s="34">
        <v>7</v>
      </c>
      <c r="D39" s="34">
        <f t="shared" si="0"/>
        <v>28</v>
      </c>
      <c r="E39" s="182">
        <f t="shared" si="1"/>
        <v>58.615384615384613</v>
      </c>
    </row>
    <row r="40" spans="1:5" x14ac:dyDescent="0.3">
      <c r="A40" s="183">
        <v>39</v>
      </c>
      <c r="B40" t="s">
        <v>285</v>
      </c>
      <c r="C40" s="34">
        <v>9</v>
      </c>
      <c r="D40" s="34">
        <f t="shared" si="0"/>
        <v>36</v>
      </c>
      <c r="E40" s="182">
        <f t="shared" si="1"/>
        <v>62.92307692307692</v>
      </c>
    </row>
    <row r="41" spans="1:5" x14ac:dyDescent="0.3">
      <c r="A41" s="183">
        <v>40</v>
      </c>
      <c r="B41" t="s">
        <v>286</v>
      </c>
      <c r="C41" s="34">
        <v>10</v>
      </c>
      <c r="D41" s="34">
        <f t="shared" si="0"/>
        <v>40</v>
      </c>
      <c r="E41" s="182">
        <f t="shared" si="1"/>
        <v>65.07692307692308</v>
      </c>
    </row>
    <row r="42" spans="1:5" x14ac:dyDescent="0.3">
      <c r="A42" s="183">
        <v>41</v>
      </c>
      <c r="B42" t="s">
        <v>287</v>
      </c>
      <c r="C42" s="34">
        <v>7</v>
      </c>
      <c r="D42" s="34">
        <f t="shared" si="0"/>
        <v>28</v>
      </c>
      <c r="E42" s="182">
        <f t="shared" si="1"/>
        <v>58.615384615384613</v>
      </c>
    </row>
    <row r="43" spans="1:5" x14ac:dyDescent="0.3">
      <c r="A43" s="183">
        <v>42</v>
      </c>
      <c r="B43" t="s">
        <v>288</v>
      </c>
      <c r="C43" s="34">
        <v>16</v>
      </c>
      <c r="D43" s="34">
        <f t="shared" si="0"/>
        <v>64</v>
      </c>
      <c r="E43" s="182">
        <f t="shared" si="1"/>
        <v>78</v>
      </c>
    </row>
    <row r="44" spans="1:5" x14ac:dyDescent="0.3">
      <c r="A44" s="183">
        <v>43</v>
      </c>
      <c r="B44" t="s">
        <v>289</v>
      </c>
      <c r="C44" s="34">
        <v>9</v>
      </c>
      <c r="D44" s="34">
        <f t="shared" si="0"/>
        <v>36</v>
      </c>
      <c r="E44" s="182">
        <f t="shared" si="1"/>
        <v>62.92307692307692</v>
      </c>
    </row>
    <row r="45" spans="1:5" x14ac:dyDescent="0.3">
      <c r="A45" s="183">
        <v>44</v>
      </c>
      <c r="B45" t="s">
        <v>290</v>
      </c>
      <c r="C45" s="34">
        <v>3</v>
      </c>
      <c r="D45" s="34">
        <f t="shared" si="0"/>
        <v>12</v>
      </c>
      <c r="E45" s="182">
        <f t="shared" si="1"/>
        <v>50</v>
      </c>
    </row>
    <row r="46" spans="1:5" x14ac:dyDescent="0.3">
      <c r="A46" s="183">
        <v>45</v>
      </c>
      <c r="B46" t="s">
        <v>291</v>
      </c>
      <c r="C46" s="34">
        <v>8</v>
      </c>
      <c r="D46" s="34">
        <f t="shared" si="0"/>
        <v>32</v>
      </c>
      <c r="E46" s="182">
        <f t="shared" si="1"/>
        <v>60.769230769230774</v>
      </c>
    </row>
    <row r="47" spans="1:5" x14ac:dyDescent="0.3">
      <c r="A47" s="183">
        <v>46</v>
      </c>
      <c r="B47" t="s">
        <v>292</v>
      </c>
      <c r="C47" s="34">
        <v>11</v>
      </c>
      <c r="D47" s="34">
        <f t="shared" si="0"/>
        <v>44</v>
      </c>
      <c r="E47" s="182">
        <f t="shared" si="1"/>
        <v>67.230769230769226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4">
    <tabColor theme="7" tint="-0.499984740745262"/>
    <pageSetUpPr fitToPage="1"/>
  </sheetPr>
  <dimension ref="A1:AN36"/>
  <sheetViews>
    <sheetView showGridLines="0" zoomScale="70" zoomScaleNormal="70" workbookViewId="0">
      <pane ySplit="1" topLeftCell="A14" activePane="bottomLeft" state="frozen"/>
      <selection pane="bottomLeft" activeCell="B30" sqref="B30"/>
    </sheetView>
  </sheetViews>
  <sheetFormatPr defaultColWidth="0" defaultRowHeight="14.4" zeroHeight="1" x14ac:dyDescent="0.3"/>
  <cols>
    <col min="1" max="1" width="4.33203125" style="34" customWidth="1"/>
    <col min="2" max="3" width="14.33203125" style="34" customWidth="1"/>
    <col min="4" max="4" width="30.44140625" style="34" customWidth="1"/>
    <col min="5" max="16" width="8.6640625" style="34" customWidth="1"/>
    <col min="17" max="18" width="26" style="34" customWidth="1"/>
    <col min="19" max="19" width="0.5546875" style="34" customWidth="1"/>
    <col min="20" max="32" width="0" style="34" hidden="1" customWidth="1"/>
    <col min="33" max="16384" width="9.109375" style="34" hidden="1"/>
  </cols>
  <sheetData>
    <row r="1" spans="1:40" s="24" customFormat="1" ht="34.5" customHeight="1" x14ac:dyDescent="0.3">
      <c r="AN1" s="25"/>
    </row>
    <row r="2" spans="1:40" ht="23.4" x14ac:dyDescent="0.3">
      <c r="A2" s="346" t="s">
        <v>53</v>
      </c>
      <c r="B2" s="346"/>
      <c r="C2" s="346"/>
      <c r="D2" s="346"/>
      <c r="E2" s="346"/>
      <c r="F2" s="346"/>
      <c r="G2" s="346"/>
      <c r="H2" s="346"/>
      <c r="I2" s="346"/>
      <c r="J2" s="346"/>
      <c r="K2" s="346"/>
      <c r="L2" s="346"/>
      <c r="M2" s="346"/>
      <c r="N2" s="346"/>
      <c r="O2" s="346"/>
      <c r="P2" s="346"/>
      <c r="Q2" s="346"/>
      <c r="R2" s="346"/>
    </row>
    <row r="3" spans="1:40" ht="23.4" x14ac:dyDescent="0.3">
      <c r="A3" s="346" t="e">
        <f>#REF!</f>
        <v>#REF!</v>
      </c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</row>
    <row r="4" spans="1:40" ht="23.4" x14ac:dyDescent="0.3">
      <c r="A4" s="346" t="e">
        <f>#REF!</f>
        <v>#REF!</v>
      </c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</row>
    <row r="5" spans="1:40" ht="23.4" x14ac:dyDescent="0.3">
      <c r="A5" s="346" t="e">
        <f>#REF!</f>
        <v>#REF!</v>
      </c>
      <c r="B5" s="346"/>
      <c r="C5" s="346"/>
      <c r="D5" s="346"/>
      <c r="E5" s="346"/>
      <c r="F5" s="346"/>
      <c r="G5" s="346"/>
      <c r="H5" s="346"/>
      <c r="I5" s="346"/>
      <c r="J5" s="346"/>
      <c r="K5" s="346"/>
      <c r="L5" s="346"/>
      <c r="M5" s="346"/>
      <c r="N5" s="346"/>
      <c r="O5" s="346"/>
      <c r="P5" s="346"/>
      <c r="Q5" s="346"/>
      <c r="R5" s="346"/>
    </row>
    <row r="6" spans="1:40" x14ac:dyDescent="0.3"/>
    <row r="7" spans="1:40" x14ac:dyDescent="0.3">
      <c r="B7" s="349" t="s">
        <v>1</v>
      </c>
      <c r="C7" s="349"/>
      <c r="D7" s="36" t="e">
        <f>#REF!</f>
        <v>#REF!</v>
      </c>
    </row>
    <row r="8" spans="1:40" x14ac:dyDescent="0.3">
      <c r="B8" s="349" t="s">
        <v>2</v>
      </c>
      <c r="C8" s="349"/>
      <c r="D8" s="36" t="e">
        <f>#REF!</f>
        <v>#REF!</v>
      </c>
    </row>
    <row r="9" spans="1:40" x14ac:dyDescent="0.3">
      <c r="B9" s="349" t="s">
        <v>133</v>
      </c>
      <c r="C9" s="349" t="e">
        <f>UPPER(#REF!)</f>
        <v>#REF!</v>
      </c>
      <c r="D9" s="36" t="e">
        <f>#REF!</f>
        <v>#REF!</v>
      </c>
    </row>
    <row r="10" spans="1:40" x14ac:dyDescent="0.3">
      <c r="B10" s="349" t="s">
        <v>74</v>
      </c>
      <c r="C10" s="349"/>
      <c r="D10" s="47" t="e">
        <f>#REF!</f>
        <v>#REF!</v>
      </c>
    </row>
    <row r="11" spans="1:40" x14ac:dyDescent="0.3"/>
    <row r="12" spans="1:40" ht="15" customHeight="1" x14ac:dyDescent="0.3">
      <c r="A12" s="347" t="s">
        <v>40</v>
      </c>
      <c r="B12" s="356" t="s">
        <v>54</v>
      </c>
      <c r="C12" s="357"/>
      <c r="D12" s="358"/>
      <c r="E12" s="347" t="s">
        <v>69</v>
      </c>
      <c r="F12" s="347"/>
      <c r="G12" s="347"/>
      <c r="H12" s="347" t="s">
        <v>55</v>
      </c>
      <c r="I12" s="347"/>
      <c r="J12" s="347"/>
      <c r="K12" s="347" t="s">
        <v>56</v>
      </c>
      <c r="L12" s="347"/>
      <c r="M12" s="347" t="s">
        <v>57</v>
      </c>
      <c r="N12" s="347"/>
      <c r="O12" s="347"/>
      <c r="P12" s="347"/>
      <c r="Q12" s="347" t="s">
        <v>58</v>
      </c>
      <c r="R12" s="347"/>
    </row>
    <row r="13" spans="1:40" x14ac:dyDescent="0.3">
      <c r="A13" s="347"/>
      <c r="B13" s="359"/>
      <c r="C13" s="360"/>
      <c r="D13" s="361"/>
      <c r="E13" s="347"/>
      <c r="F13" s="347"/>
      <c r="G13" s="347"/>
      <c r="H13" s="347" t="s">
        <v>62</v>
      </c>
      <c r="I13" s="347"/>
      <c r="J13" s="348" t="s">
        <v>63</v>
      </c>
      <c r="K13" s="348" t="s">
        <v>70</v>
      </c>
      <c r="L13" s="348" t="s">
        <v>71</v>
      </c>
      <c r="M13" s="347" t="s">
        <v>64</v>
      </c>
      <c r="N13" s="347"/>
      <c r="O13" s="347" t="s">
        <v>65</v>
      </c>
      <c r="P13" s="347"/>
      <c r="Q13" s="347"/>
      <c r="R13" s="347"/>
    </row>
    <row r="14" spans="1:40" ht="113.25" customHeight="1" x14ac:dyDescent="0.3">
      <c r="A14" s="347"/>
      <c r="B14" s="362"/>
      <c r="C14" s="363"/>
      <c r="D14" s="364"/>
      <c r="E14" s="42" t="s">
        <v>59</v>
      </c>
      <c r="F14" s="42" t="s">
        <v>60</v>
      </c>
      <c r="G14" s="42" t="s">
        <v>61</v>
      </c>
      <c r="H14" s="42" t="s">
        <v>66</v>
      </c>
      <c r="I14" s="42" t="s">
        <v>60</v>
      </c>
      <c r="J14" s="348"/>
      <c r="K14" s="348"/>
      <c r="L14" s="348"/>
      <c r="M14" s="42" t="s">
        <v>72</v>
      </c>
      <c r="N14" s="42" t="s">
        <v>73</v>
      </c>
      <c r="O14" s="42" t="s">
        <v>67</v>
      </c>
      <c r="P14" s="42" t="s">
        <v>68</v>
      </c>
      <c r="Q14" s="49" t="s">
        <v>76</v>
      </c>
      <c r="R14" s="49" t="s">
        <v>77</v>
      </c>
    </row>
    <row r="15" spans="1:40" ht="30" customHeight="1" x14ac:dyDescent="0.3">
      <c r="A15" s="43" t="str">
        <f>IF('Program Semester'!A12="","",'Program Semester'!A12)</f>
        <v/>
      </c>
      <c r="B15" s="350" t="str">
        <f>IF('Program Semester'!B12="","",'Program Semester'!B12)</f>
        <v/>
      </c>
      <c r="C15" s="351"/>
      <c r="D15" s="352"/>
      <c r="E15" s="39" t="str">
        <f>IF('Program Semester'!C12="","",'Program Semester'!C12)</f>
        <v/>
      </c>
      <c r="F15" s="41"/>
      <c r="G15" s="44" t="str">
        <f t="shared" ref="G15:G28" si="0">IF(ISERROR(F15/E15),"",(F15/E15))</f>
        <v/>
      </c>
      <c r="H15" s="365" t="str">
        <f>IF(COUNTA($A$15:$A$28)-COUNTIF($A$15:$A$28,"")=0,"",COUNTA($A$15:$A$28)-COUNTIF($A$15:$A$28,""))</f>
        <v/>
      </c>
      <c r="I15" s="365" t="str">
        <f>IF(H15="","",H15)</f>
        <v/>
      </c>
      <c r="J15" s="353" t="str">
        <f>IFERROR(H15/I15,"")</f>
        <v/>
      </c>
      <c r="K15" s="39">
        <f>IFERROR(AVERAGE('Nilai 10-5'!D12:D59),"")</f>
        <v>63.016722408026759</v>
      </c>
      <c r="L15" s="40">
        <f>IFERROR(K15/100,"")</f>
        <v>0.6301672240802676</v>
      </c>
      <c r="M15" s="41"/>
      <c r="N15" s="44" t="str">
        <f>IF(A15="","",($D$10-M15)/$D$10)</f>
        <v/>
      </c>
      <c r="O15" s="368" t="str">
        <f>IFERROR((SUM($M$15:$M$28))/$A$29,"")</f>
        <v/>
      </c>
      <c r="P15" s="353" t="str">
        <f>IFERROR((($D$10-O15)/$D$10),"")</f>
        <v/>
      </c>
      <c r="Q15" s="50"/>
      <c r="R15" s="50"/>
    </row>
    <row r="16" spans="1:40" ht="30" customHeight="1" x14ac:dyDescent="0.3">
      <c r="A16" s="43" t="str">
        <f>IF('Program Semester'!A13="","",'Program Semester'!A13)</f>
        <v/>
      </c>
      <c r="B16" s="350" t="str">
        <f>IF('Program Semester'!B13="","",'Program Semester'!B13)</f>
        <v/>
      </c>
      <c r="C16" s="351"/>
      <c r="D16" s="352"/>
      <c r="E16" s="39" t="str">
        <f>IF('Program Semester'!C13="","",'Program Semester'!C13)</f>
        <v/>
      </c>
      <c r="F16" s="41"/>
      <c r="G16" s="44" t="str">
        <f t="shared" si="0"/>
        <v/>
      </c>
      <c r="H16" s="366"/>
      <c r="I16" s="366"/>
      <c r="J16" s="354"/>
      <c r="K16" s="39" t="str">
        <f>IFERROR(AVERAGE('Nilai 10-5'!K12:K59),"")</f>
        <v/>
      </c>
      <c r="L16" s="40" t="str">
        <f t="shared" ref="L16:L28" si="1">IFERROR(K16/100,"")</f>
        <v/>
      </c>
      <c r="M16" s="41"/>
      <c r="N16" s="44" t="str">
        <f t="shared" ref="N16:N28" si="2">IF(A16="","",($D$10-M16)/$D$10)</f>
        <v/>
      </c>
      <c r="O16" s="369"/>
      <c r="P16" s="354"/>
      <c r="Q16" s="50"/>
      <c r="R16" s="50"/>
    </row>
    <row r="17" spans="1:20" ht="30" customHeight="1" x14ac:dyDescent="0.3">
      <c r="A17" s="43" t="str">
        <f>IF('Program Semester'!A14="","",'Program Semester'!A14)</f>
        <v/>
      </c>
      <c r="B17" s="350" t="str">
        <f>IF('Program Semester'!B14="","",'Program Semester'!B14)</f>
        <v/>
      </c>
      <c r="C17" s="351"/>
      <c r="D17" s="352"/>
      <c r="E17" s="39" t="str">
        <f>IF('Program Semester'!C14="","",'Program Semester'!C14)</f>
        <v/>
      </c>
      <c r="F17" s="41"/>
      <c r="G17" s="44" t="str">
        <f t="shared" si="0"/>
        <v/>
      </c>
      <c r="H17" s="366"/>
      <c r="I17" s="366"/>
      <c r="J17" s="354"/>
      <c r="K17" s="39" t="str">
        <f>IFERROR(AVERAGE('Nilai 10-5'!E12:E59),"")</f>
        <v/>
      </c>
      <c r="L17" s="40" t="str">
        <f t="shared" si="1"/>
        <v/>
      </c>
      <c r="M17" s="41"/>
      <c r="N17" s="44" t="str">
        <f t="shared" si="2"/>
        <v/>
      </c>
      <c r="O17" s="369"/>
      <c r="P17" s="354"/>
      <c r="Q17" s="50"/>
      <c r="R17" s="50"/>
    </row>
    <row r="18" spans="1:20" ht="30" customHeight="1" x14ac:dyDescent="0.3">
      <c r="A18" s="43" t="str">
        <f>IF('Program Semester'!A15="","",'Program Semester'!A15)</f>
        <v/>
      </c>
      <c r="B18" s="350" t="str">
        <f>IF('Program Semester'!B15="","",'Program Semester'!B15)</f>
        <v/>
      </c>
      <c r="C18" s="351"/>
      <c r="D18" s="352"/>
      <c r="E18" s="39" t="str">
        <f>IF('Program Semester'!C15="","",'Program Semester'!C15)</f>
        <v/>
      </c>
      <c r="F18" s="41"/>
      <c r="G18" s="44" t="str">
        <f t="shared" si="0"/>
        <v/>
      </c>
      <c r="H18" s="366"/>
      <c r="I18" s="366"/>
      <c r="J18" s="354"/>
      <c r="K18" s="39" t="str">
        <f>IFERROR(AVERAGE('Nilai 10-5'!L12:L59),"")</f>
        <v/>
      </c>
      <c r="L18" s="40" t="str">
        <f t="shared" si="1"/>
        <v/>
      </c>
      <c r="M18" s="41"/>
      <c r="N18" s="44" t="str">
        <f t="shared" si="2"/>
        <v/>
      </c>
      <c r="O18" s="369"/>
      <c r="P18" s="354"/>
      <c r="Q18" s="50"/>
      <c r="R18" s="50"/>
    </row>
    <row r="19" spans="1:20" ht="30" customHeight="1" x14ac:dyDescent="0.3">
      <c r="A19" s="43" t="str">
        <f>IF('Program Semester'!A16="","",'Program Semester'!A16)</f>
        <v/>
      </c>
      <c r="B19" s="350" t="str">
        <f>IF('Program Semester'!B16="","",'Program Semester'!B16)</f>
        <v/>
      </c>
      <c r="C19" s="351"/>
      <c r="D19" s="352"/>
      <c r="E19" s="39" t="str">
        <f>IF('Program Semester'!C16="","",'Program Semester'!C16)</f>
        <v/>
      </c>
      <c r="F19" s="41"/>
      <c r="G19" s="44" t="str">
        <f t="shared" si="0"/>
        <v/>
      </c>
      <c r="H19" s="366"/>
      <c r="I19" s="366"/>
      <c r="J19" s="354"/>
      <c r="K19" s="39" t="str">
        <f>IFERROR(AVERAGE('Nilai 10-5'!F12:F59),"")</f>
        <v/>
      </c>
      <c r="L19" s="40" t="str">
        <f t="shared" si="1"/>
        <v/>
      </c>
      <c r="M19" s="41"/>
      <c r="N19" s="44" t="str">
        <f t="shared" si="2"/>
        <v/>
      </c>
      <c r="O19" s="369"/>
      <c r="P19" s="354"/>
      <c r="Q19" s="50"/>
      <c r="R19" s="50"/>
    </row>
    <row r="20" spans="1:20" ht="30" customHeight="1" x14ac:dyDescent="0.3">
      <c r="A20" s="43" t="str">
        <f>IF('Program Semester'!A17="","",'Program Semester'!A17)</f>
        <v/>
      </c>
      <c r="B20" s="350" t="str">
        <f>IF('Program Semester'!B17="","",'Program Semester'!B17)</f>
        <v/>
      </c>
      <c r="C20" s="351"/>
      <c r="D20" s="352"/>
      <c r="E20" s="39" t="str">
        <f>IF('Program Semester'!C17="","",'Program Semester'!C17)</f>
        <v/>
      </c>
      <c r="F20" s="41"/>
      <c r="G20" s="44" t="str">
        <f t="shared" si="0"/>
        <v/>
      </c>
      <c r="H20" s="366"/>
      <c r="I20" s="366"/>
      <c r="J20" s="354"/>
      <c r="K20" s="39" t="str">
        <f>IFERROR(AVERAGE('Nilai 10-5'!M12:M59),"")</f>
        <v/>
      </c>
      <c r="L20" s="40" t="str">
        <f t="shared" si="1"/>
        <v/>
      </c>
      <c r="M20" s="41"/>
      <c r="N20" s="44" t="str">
        <f t="shared" si="2"/>
        <v/>
      </c>
      <c r="O20" s="369"/>
      <c r="P20" s="354"/>
      <c r="Q20" s="50"/>
      <c r="R20" s="50"/>
    </row>
    <row r="21" spans="1:20" ht="30" customHeight="1" x14ac:dyDescent="0.3">
      <c r="A21" s="43" t="str">
        <f>IF('Program Semester'!A18="","",'Program Semester'!A18)</f>
        <v/>
      </c>
      <c r="B21" s="350" t="str">
        <f>IF('Program Semester'!B18="","",'Program Semester'!B18)</f>
        <v/>
      </c>
      <c r="C21" s="351"/>
      <c r="D21" s="352"/>
      <c r="E21" s="39" t="str">
        <f>IF('Program Semester'!C18="","",'Program Semester'!C18)</f>
        <v/>
      </c>
      <c r="F21" s="41"/>
      <c r="G21" s="44" t="str">
        <f t="shared" si="0"/>
        <v/>
      </c>
      <c r="H21" s="366"/>
      <c r="I21" s="366"/>
      <c r="J21" s="354"/>
      <c r="K21" s="39" t="str">
        <f>IFERROR(AVERAGE('Nilai 10-5'!G12:G59),"")</f>
        <v/>
      </c>
      <c r="L21" s="40" t="str">
        <f t="shared" si="1"/>
        <v/>
      </c>
      <c r="M21" s="41"/>
      <c r="N21" s="44" t="str">
        <f t="shared" si="2"/>
        <v/>
      </c>
      <c r="O21" s="369"/>
      <c r="P21" s="354"/>
      <c r="Q21" s="50"/>
      <c r="R21" s="50"/>
    </row>
    <row r="22" spans="1:20" ht="30" customHeight="1" x14ac:dyDescent="0.3">
      <c r="A22" s="43" t="str">
        <f>IF('Program Semester'!A19="","",'Program Semester'!A19)</f>
        <v/>
      </c>
      <c r="B22" s="350" t="str">
        <f>IF('Program Semester'!B19="","",'Program Semester'!B19)</f>
        <v/>
      </c>
      <c r="C22" s="351"/>
      <c r="D22" s="352"/>
      <c r="E22" s="39" t="str">
        <f>IF('Program Semester'!C19="","",'Program Semester'!C19)</f>
        <v/>
      </c>
      <c r="F22" s="41"/>
      <c r="G22" s="44" t="str">
        <f t="shared" si="0"/>
        <v/>
      </c>
      <c r="H22" s="366"/>
      <c r="I22" s="366"/>
      <c r="J22" s="354"/>
      <c r="K22" s="39" t="str">
        <f>IFERROR(AVERAGE('Nilai 10-5'!O12:O59),"")</f>
        <v/>
      </c>
      <c r="L22" s="40" t="str">
        <f t="shared" si="1"/>
        <v/>
      </c>
      <c r="M22" s="41"/>
      <c r="N22" s="44" t="str">
        <f t="shared" si="2"/>
        <v/>
      </c>
      <c r="O22" s="369"/>
      <c r="P22" s="354"/>
      <c r="Q22" s="50"/>
      <c r="R22" s="50"/>
    </row>
    <row r="23" spans="1:20" ht="30" customHeight="1" x14ac:dyDescent="0.3">
      <c r="A23" s="43" t="str">
        <f>IF('Program Semester'!A20="","",'Program Semester'!A20)</f>
        <v/>
      </c>
      <c r="B23" s="350" t="str">
        <f>IF('Program Semester'!B20="","",'Program Semester'!B20)</f>
        <v/>
      </c>
      <c r="C23" s="351"/>
      <c r="D23" s="352"/>
      <c r="E23" s="39" t="str">
        <f>IF('Program Semester'!C20="","",'Program Semester'!C20)</f>
        <v/>
      </c>
      <c r="F23" s="41"/>
      <c r="G23" s="44" t="str">
        <f t="shared" si="0"/>
        <v/>
      </c>
      <c r="H23" s="366"/>
      <c r="I23" s="366"/>
      <c r="J23" s="354"/>
      <c r="K23" s="39" t="str">
        <f>IFERROR(AVERAGE('Nilai 10-5'!H12:H59),"")</f>
        <v/>
      </c>
      <c r="L23" s="40" t="str">
        <f t="shared" si="1"/>
        <v/>
      </c>
      <c r="M23" s="41"/>
      <c r="N23" s="44" t="str">
        <f t="shared" si="2"/>
        <v/>
      </c>
      <c r="O23" s="369"/>
      <c r="P23" s="354"/>
      <c r="Q23" s="50"/>
      <c r="R23" s="50"/>
    </row>
    <row r="24" spans="1:20" ht="30" customHeight="1" x14ac:dyDescent="0.3">
      <c r="A24" s="43" t="str">
        <f>IF('Program Semester'!A21="","",'Program Semester'!A21)</f>
        <v/>
      </c>
      <c r="B24" s="350" t="str">
        <f>IF('Program Semester'!B21="","",'Program Semester'!B21)</f>
        <v/>
      </c>
      <c r="C24" s="351"/>
      <c r="D24" s="352"/>
      <c r="E24" s="39" t="str">
        <f>IF('Program Semester'!C21="","",'Program Semester'!C21)</f>
        <v/>
      </c>
      <c r="F24" s="41"/>
      <c r="G24" s="44" t="str">
        <f t="shared" si="0"/>
        <v/>
      </c>
      <c r="H24" s="366"/>
      <c r="I24" s="366"/>
      <c r="J24" s="354"/>
      <c r="K24" s="39" t="str">
        <f>IFERROR(AVERAGE('Nilai 10-5'!P12:P59),"")</f>
        <v/>
      </c>
      <c r="L24" s="40" t="str">
        <f t="shared" si="1"/>
        <v/>
      </c>
      <c r="M24" s="41"/>
      <c r="N24" s="44" t="str">
        <f t="shared" si="2"/>
        <v/>
      </c>
      <c r="O24" s="369"/>
      <c r="P24" s="354"/>
      <c r="Q24" s="50"/>
      <c r="R24" s="50"/>
    </row>
    <row r="25" spans="1:20" ht="30" customHeight="1" x14ac:dyDescent="0.3">
      <c r="A25" s="43" t="str">
        <f>IF('Program Semester'!A22="","",'Program Semester'!A22)</f>
        <v/>
      </c>
      <c r="B25" s="350" t="str">
        <f>IF('Program Semester'!B22="","",'Program Semester'!B22)</f>
        <v/>
      </c>
      <c r="C25" s="351"/>
      <c r="D25" s="352"/>
      <c r="E25" s="39" t="str">
        <f>IF('Program Semester'!C22="","",'Program Semester'!C22)</f>
        <v/>
      </c>
      <c r="F25" s="41"/>
      <c r="G25" s="44" t="str">
        <f t="shared" si="0"/>
        <v/>
      </c>
      <c r="H25" s="366"/>
      <c r="I25" s="366"/>
      <c r="J25" s="354"/>
      <c r="K25" s="39" t="str">
        <f>IFERROR(AVERAGE('Nilai 10-5'!I12:I59),"")</f>
        <v/>
      </c>
      <c r="L25" s="40" t="str">
        <f t="shared" si="1"/>
        <v/>
      </c>
      <c r="M25" s="41"/>
      <c r="N25" s="44" t="str">
        <f t="shared" si="2"/>
        <v/>
      </c>
      <c r="O25" s="369"/>
      <c r="P25" s="354"/>
      <c r="Q25" s="50"/>
      <c r="R25" s="50"/>
    </row>
    <row r="26" spans="1:20" ht="30" customHeight="1" x14ac:dyDescent="0.3">
      <c r="A26" s="43" t="str">
        <f>IF('Program Semester'!A23="","",'Program Semester'!A23)</f>
        <v/>
      </c>
      <c r="B26" s="350" t="str">
        <f>IF('Program Semester'!B23="","",'Program Semester'!B23)</f>
        <v/>
      </c>
      <c r="C26" s="351"/>
      <c r="D26" s="352"/>
      <c r="E26" s="39" t="str">
        <f>IF('Program Semester'!C23="","",'Program Semester'!C23)</f>
        <v/>
      </c>
      <c r="F26" s="41"/>
      <c r="G26" s="44" t="str">
        <f t="shared" si="0"/>
        <v/>
      </c>
      <c r="H26" s="366"/>
      <c r="I26" s="366"/>
      <c r="J26" s="354"/>
      <c r="K26" s="39" t="str">
        <f>IFERROR(AVERAGE('Nilai 10-5'!Q12:Q59),"")</f>
        <v/>
      </c>
      <c r="L26" s="40" t="str">
        <f t="shared" si="1"/>
        <v/>
      </c>
      <c r="M26" s="41"/>
      <c r="N26" s="44" t="str">
        <f t="shared" si="2"/>
        <v/>
      </c>
      <c r="O26" s="369"/>
      <c r="P26" s="354"/>
      <c r="Q26" s="50"/>
      <c r="R26" s="50"/>
    </row>
    <row r="27" spans="1:20" ht="30" customHeight="1" x14ac:dyDescent="0.3">
      <c r="A27" s="43" t="str">
        <f>IF('Program Semester'!A24="","",'Program Semester'!A24)</f>
        <v/>
      </c>
      <c r="B27" s="350" t="str">
        <f>IF('Program Semester'!B24="","",'Program Semester'!B24)</f>
        <v/>
      </c>
      <c r="C27" s="351"/>
      <c r="D27" s="352"/>
      <c r="E27" s="39" t="str">
        <f>IF('Program Semester'!C24="","",'Program Semester'!C24)</f>
        <v/>
      </c>
      <c r="F27" s="41"/>
      <c r="G27" s="44" t="str">
        <f t="shared" si="0"/>
        <v/>
      </c>
      <c r="H27" s="366"/>
      <c r="I27" s="366"/>
      <c r="J27" s="354"/>
      <c r="K27" s="39" t="str">
        <f>IFERROR(AVERAGE('Nilai 10-5'!J12:J59),"")</f>
        <v/>
      </c>
      <c r="L27" s="40" t="str">
        <f t="shared" si="1"/>
        <v/>
      </c>
      <c r="M27" s="41"/>
      <c r="N27" s="44" t="str">
        <f t="shared" si="2"/>
        <v/>
      </c>
      <c r="O27" s="369"/>
      <c r="P27" s="354"/>
      <c r="Q27" s="50"/>
      <c r="R27" s="50"/>
    </row>
    <row r="28" spans="1:20" ht="30" customHeight="1" x14ac:dyDescent="0.3">
      <c r="A28" s="43" t="str">
        <f>IF('Program Semester'!A25="","",'Program Semester'!A25)</f>
        <v/>
      </c>
      <c r="B28" s="350" t="str">
        <f>IF('Program Semester'!B25="","",'Program Semester'!B25)</f>
        <v/>
      </c>
      <c r="C28" s="351"/>
      <c r="D28" s="352"/>
      <c r="E28" s="39" t="str">
        <f>IF('Program Semester'!C25="","",'Program Semester'!C25)</f>
        <v/>
      </c>
      <c r="F28" s="41"/>
      <c r="G28" s="44" t="str">
        <f t="shared" si="0"/>
        <v/>
      </c>
      <c r="H28" s="367"/>
      <c r="I28" s="367"/>
      <c r="J28" s="355"/>
      <c r="K28" s="39" t="str">
        <f>IFERROR(AVERAGE('Nilai 10-5'!R12:R59),"")</f>
        <v/>
      </c>
      <c r="L28" s="40" t="str">
        <f t="shared" si="1"/>
        <v/>
      </c>
      <c r="M28" s="41"/>
      <c r="N28" s="44" t="str">
        <f t="shared" si="2"/>
        <v/>
      </c>
      <c r="O28" s="370"/>
      <c r="P28" s="355"/>
      <c r="Q28" s="50"/>
      <c r="R28" s="50"/>
    </row>
    <row r="29" spans="1:20" x14ac:dyDescent="0.3">
      <c r="A29" s="48">
        <f>COUNTA(A15:A28)-COUNTBLANK(A15:A28)</f>
        <v>0</v>
      </c>
      <c r="J29" s="35"/>
      <c r="K29" s="35"/>
      <c r="L29" s="35"/>
      <c r="T29" s="35"/>
    </row>
    <row r="30" spans="1:20" x14ac:dyDescent="0.3">
      <c r="B30" s="37" t="e">
        <f>#REF!</f>
        <v>#REF!</v>
      </c>
      <c r="C30" s="37"/>
      <c r="D30" s="37"/>
      <c r="E30" s="36"/>
      <c r="F30" s="36"/>
      <c r="G30" s="36"/>
      <c r="H30" s="36"/>
      <c r="I30" s="36"/>
      <c r="J30" s="36"/>
      <c r="K30" s="36"/>
      <c r="L30" s="36"/>
      <c r="O30" s="36"/>
      <c r="Q30" s="51" t="e">
        <f>"Bandung Barat,      "&amp;IF(#REF!="1 (Ganjil)","Desember "&amp;MID(#REF!,1,4),"Juni "&amp;MID(#REF!,6,4))</f>
        <v>#REF!</v>
      </c>
      <c r="R30" s="36"/>
      <c r="S30" s="36"/>
    </row>
    <row r="31" spans="1:20" x14ac:dyDescent="0.3">
      <c r="B31" s="37" t="e">
        <f>#REF!</f>
        <v>#REF!</v>
      </c>
      <c r="C31" s="37"/>
      <c r="D31" s="37"/>
      <c r="E31" s="36"/>
      <c r="F31" s="36"/>
      <c r="G31" s="36"/>
      <c r="H31" s="36"/>
      <c r="I31" s="36"/>
      <c r="J31" s="36"/>
      <c r="K31" s="36"/>
      <c r="L31" s="36"/>
      <c r="O31" s="36"/>
      <c r="Q31" s="51" t="e">
        <f>#REF!</f>
        <v>#REF!</v>
      </c>
      <c r="R31" s="36"/>
      <c r="S31" s="36"/>
    </row>
    <row r="32" spans="1:20" x14ac:dyDescent="0.3"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O32" s="36"/>
      <c r="Q32" s="51"/>
      <c r="R32" s="36"/>
      <c r="S32" s="36"/>
    </row>
    <row r="33" spans="2:19" x14ac:dyDescent="0.3"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O33" s="36"/>
      <c r="Q33" s="51"/>
      <c r="R33" s="36"/>
      <c r="S33" s="36"/>
    </row>
    <row r="34" spans="2:19" x14ac:dyDescent="0.3"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O34" s="36"/>
      <c r="Q34" s="51"/>
      <c r="R34" s="36"/>
      <c r="S34" s="36"/>
    </row>
    <row r="35" spans="2:19" x14ac:dyDescent="0.3">
      <c r="B35" s="38" t="e">
        <f>#REF!</f>
        <v>#REF!</v>
      </c>
      <c r="C35" s="38"/>
      <c r="D35" s="38"/>
      <c r="E35" s="36"/>
      <c r="F35" s="36"/>
      <c r="G35" s="36"/>
      <c r="H35" s="36"/>
      <c r="I35" s="36"/>
      <c r="J35" s="36"/>
      <c r="K35" s="36"/>
      <c r="L35" s="36"/>
      <c r="O35" s="36"/>
      <c r="Q35" s="52" t="e">
        <f>#REF!</f>
        <v>#REF!</v>
      </c>
      <c r="R35" s="36"/>
      <c r="S35" s="36"/>
    </row>
    <row r="36" spans="2:19" x14ac:dyDescent="0.3">
      <c r="B36" s="37" t="e">
        <f>#REF!</f>
        <v>#REF!</v>
      </c>
      <c r="C36" s="37"/>
      <c r="D36" s="37"/>
      <c r="E36" s="36"/>
      <c r="F36" s="36"/>
      <c r="G36" s="36"/>
      <c r="H36" s="36"/>
      <c r="I36" s="36"/>
      <c r="J36" s="36"/>
      <c r="K36" s="36"/>
      <c r="L36" s="36"/>
      <c r="O36" s="36"/>
      <c r="Q36" s="51" t="e">
        <f>#REF!</f>
        <v>#REF!</v>
      </c>
      <c r="R36" s="36"/>
      <c r="S36" s="36"/>
    </row>
  </sheetData>
  <sheetProtection sheet="1" objects="1" scenarios="1"/>
  <mergeCells count="40">
    <mergeCell ref="P15:P28"/>
    <mergeCell ref="B26:D26"/>
    <mergeCell ref="B27:D27"/>
    <mergeCell ref="B28:D28"/>
    <mergeCell ref="B12:D14"/>
    <mergeCell ref="B20:D20"/>
    <mergeCell ref="B21:D21"/>
    <mergeCell ref="B22:D22"/>
    <mergeCell ref="B23:D23"/>
    <mergeCell ref="B24:D24"/>
    <mergeCell ref="B25:D25"/>
    <mergeCell ref="H15:H28"/>
    <mergeCell ref="I15:I28"/>
    <mergeCell ref="J15:J28"/>
    <mergeCell ref="O15:O28"/>
    <mergeCell ref="B7:C7"/>
    <mergeCell ref="B8:C8"/>
    <mergeCell ref="B9:C9"/>
    <mergeCell ref="B18:D18"/>
    <mergeCell ref="B19:D19"/>
    <mergeCell ref="B15:D15"/>
    <mergeCell ref="B17:D17"/>
    <mergeCell ref="B16:D16"/>
    <mergeCell ref="B10:C10"/>
    <mergeCell ref="A2:R2"/>
    <mergeCell ref="A3:R3"/>
    <mergeCell ref="A4:R4"/>
    <mergeCell ref="A5:R5"/>
    <mergeCell ref="A12:A14"/>
    <mergeCell ref="E12:G13"/>
    <mergeCell ref="K12:L12"/>
    <mergeCell ref="M12:P12"/>
    <mergeCell ref="H13:I13"/>
    <mergeCell ref="K13:K14"/>
    <mergeCell ref="J13:J14"/>
    <mergeCell ref="L13:L14"/>
    <mergeCell ref="H12:J12"/>
    <mergeCell ref="M13:N13"/>
    <mergeCell ref="O13:P13"/>
    <mergeCell ref="Q12:R13"/>
  </mergeCells>
  <conditionalFormatting sqref="G15:G28 J15 P15 N15:N28">
    <cfRule type="cellIs" dxfId="0" priority="1" operator="equal">
      <formula>0</formula>
    </cfRule>
  </conditionalFormatting>
  <dataValidations count="2">
    <dataValidation type="whole" operator="lessThanOrEqual" allowBlank="1" showInputMessage="1" showErrorMessage="1" promptTitle="Petunjuk Pengisian!" prompt="Isikan jumlah jam yang sudah terealisasi" sqref="F15:F28" xr:uid="{00000000-0002-0000-0E00-000000000000}">
      <formula1>E15</formula1>
    </dataValidation>
    <dataValidation type="whole" operator="lessThanOrEqual" allowBlank="1" showInputMessage="1" showErrorMessage="1" promptTitle="Petunjuk Pengisian!" prompt="Isikan jumlah siswa yang mengikuti remediasi" sqref="M15:M28" xr:uid="{00000000-0002-0000-0E00-000001000000}">
      <formula1>D10</formula1>
    </dataValidation>
  </dataValidations>
  <hyperlinks>
    <hyperlink ref="A1" location="Menu!A1" display="EDIT SEKOLAH" xr:uid="{00000000-0004-0000-0E00-000000000000}"/>
    <hyperlink ref="A1:B1" location="Menu!A1" display="KEMBALI KE     MENU" xr:uid="{00000000-0004-0000-0E00-000001000000}"/>
  </hyperlinks>
  <printOptions horizontalCentered="1"/>
  <pageMargins left="0.27559055118110237" right="0.27559055118110237" top="0.51181102362204722" bottom="0.23622047244094491" header="0.27559055118110237" footer="0.31496062992125984"/>
  <pageSetup paperSize="9" scale="64" orientation="landscape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E20"/>
  <sheetViews>
    <sheetView showGridLines="0" workbookViewId="0">
      <selection activeCell="C16" sqref="C16"/>
    </sheetView>
  </sheetViews>
  <sheetFormatPr defaultColWidth="0" defaultRowHeight="14.4" zeroHeight="1" x14ac:dyDescent="0.3"/>
  <cols>
    <col min="1" max="1" width="4.88671875" style="34" customWidth="1"/>
    <col min="2" max="2" width="31.44140625" style="34" customWidth="1"/>
    <col min="3" max="3" width="30.5546875" style="34" customWidth="1"/>
    <col min="4" max="5" width="10.5546875" style="34" customWidth="1"/>
    <col min="6" max="16384" width="9.109375" style="34" hidden="1"/>
  </cols>
  <sheetData>
    <row r="1" spans="1:5" ht="29.4" thickBot="1" x14ac:dyDescent="0.35">
      <c r="A1" s="157" t="s">
        <v>13</v>
      </c>
      <c r="B1" s="158" t="s">
        <v>45</v>
      </c>
      <c r="C1" s="158" t="s">
        <v>1</v>
      </c>
      <c r="D1" s="159" t="s">
        <v>177</v>
      </c>
      <c r="E1" s="160" t="s">
        <v>178</v>
      </c>
    </row>
    <row r="2" spans="1:5" ht="15" thickTop="1" x14ac:dyDescent="0.3">
      <c r="A2" s="153">
        <v>1</v>
      </c>
      <c r="B2" s="154" t="e">
        <f>#REF!</f>
        <v>#REF!</v>
      </c>
      <c r="C2" s="154" t="s">
        <v>179</v>
      </c>
      <c r="D2" s="155" t="s">
        <v>33</v>
      </c>
      <c r="E2" s="156" t="s">
        <v>33</v>
      </c>
    </row>
    <row r="3" spans="1:5" x14ac:dyDescent="0.3">
      <c r="A3" s="144">
        <v>2</v>
      </c>
      <c r="B3" s="145" t="e">
        <f>#REF!</f>
        <v>#REF!</v>
      </c>
      <c r="C3" s="145" t="s">
        <v>180</v>
      </c>
      <c r="D3" s="146" t="s">
        <v>33</v>
      </c>
      <c r="E3" s="147" t="s">
        <v>33</v>
      </c>
    </row>
    <row r="4" spans="1:5" x14ac:dyDescent="0.3">
      <c r="A4" s="144">
        <v>3</v>
      </c>
      <c r="B4" s="145" t="e">
        <f>#REF!</f>
        <v>#REF!</v>
      </c>
      <c r="C4" s="145" t="s">
        <v>181</v>
      </c>
      <c r="D4" s="146" t="s">
        <v>33</v>
      </c>
      <c r="E4" s="147"/>
    </row>
    <row r="5" spans="1:5" x14ac:dyDescent="0.3">
      <c r="A5" s="144">
        <v>4</v>
      </c>
      <c r="B5" s="145" t="e">
        <f>#REF!</f>
        <v>#REF!</v>
      </c>
      <c r="C5" s="145" t="s">
        <v>138</v>
      </c>
      <c r="D5" s="146" t="s">
        <v>33</v>
      </c>
      <c r="E5" s="147" t="s">
        <v>33</v>
      </c>
    </row>
    <row r="6" spans="1:5" x14ac:dyDescent="0.3">
      <c r="A6" s="144">
        <v>5</v>
      </c>
      <c r="B6" s="145" t="e">
        <f>#REF!</f>
        <v>#REF!</v>
      </c>
      <c r="C6" s="145" t="s">
        <v>182</v>
      </c>
      <c r="D6" s="146" t="s">
        <v>33</v>
      </c>
      <c r="E6" s="147" t="s">
        <v>33</v>
      </c>
    </row>
    <row r="7" spans="1:5" x14ac:dyDescent="0.3">
      <c r="A7" s="144">
        <v>6</v>
      </c>
      <c r="B7" s="145" t="e">
        <f>#REF!</f>
        <v>#REF!</v>
      </c>
      <c r="C7" s="145" t="s">
        <v>183</v>
      </c>
      <c r="D7" s="146" t="s">
        <v>33</v>
      </c>
      <c r="E7" s="148"/>
    </row>
    <row r="8" spans="1:5" x14ac:dyDescent="0.3">
      <c r="A8" s="144">
        <v>7</v>
      </c>
      <c r="B8" s="145" t="e">
        <f>#REF!</f>
        <v>#REF!</v>
      </c>
      <c r="C8" s="145" t="s">
        <v>189</v>
      </c>
      <c r="D8" s="146" t="s">
        <v>33</v>
      </c>
      <c r="E8" s="148"/>
    </row>
    <row r="9" spans="1:5" x14ac:dyDescent="0.3">
      <c r="A9" s="144">
        <v>8</v>
      </c>
      <c r="B9" s="145" t="e">
        <f>#REF!</f>
        <v>#REF!</v>
      </c>
      <c r="C9" s="145" t="s">
        <v>137</v>
      </c>
      <c r="D9" s="146" t="s">
        <v>33</v>
      </c>
      <c r="E9" s="148"/>
    </row>
    <row r="10" spans="1:5" x14ac:dyDescent="0.3">
      <c r="A10" s="144">
        <v>9</v>
      </c>
      <c r="B10" s="145" t="e">
        <f>#REF!</f>
        <v>#REF!</v>
      </c>
      <c r="C10" s="145" t="s">
        <v>190</v>
      </c>
      <c r="D10" s="146" t="s">
        <v>33</v>
      </c>
      <c r="E10" s="148"/>
    </row>
    <row r="11" spans="1:5" x14ac:dyDescent="0.3">
      <c r="A11" s="144">
        <v>10</v>
      </c>
      <c r="B11" s="145" t="e">
        <f>#REF!</f>
        <v>#REF!</v>
      </c>
      <c r="C11" s="145" t="s">
        <v>191</v>
      </c>
      <c r="D11" s="146" t="s">
        <v>33</v>
      </c>
      <c r="E11" s="148"/>
    </row>
    <row r="12" spans="1:5" x14ac:dyDescent="0.3">
      <c r="A12" s="144">
        <v>11</v>
      </c>
      <c r="B12" s="145" t="e">
        <f>#REF!</f>
        <v>#REF!</v>
      </c>
      <c r="C12" s="145" t="s">
        <v>192</v>
      </c>
      <c r="D12" s="146" t="s">
        <v>33</v>
      </c>
      <c r="E12" s="147" t="s">
        <v>33</v>
      </c>
    </row>
    <row r="13" spans="1:5" x14ac:dyDescent="0.3">
      <c r="A13" s="144">
        <v>12</v>
      </c>
      <c r="B13" s="145" t="e">
        <f>#REF!</f>
        <v>#REF!</v>
      </c>
      <c r="C13" s="145" t="s">
        <v>193</v>
      </c>
      <c r="D13" s="146" t="s">
        <v>33</v>
      </c>
      <c r="E13" s="148"/>
    </row>
    <row r="14" spans="1:5" x14ac:dyDescent="0.3">
      <c r="A14" s="144">
        <v>13</v>
      </c>
      <c r="B14" s="145" t="e">
        <f>#REF!</f>
        <v>#REF!</v>
      </c>
      <c r="C14" s="145" t="s">
        <v>194</v>
      </c>
      <c r="D14" s="146" t="s">
        <v>33</v>
      </c>
      <c r="E14" s="148"/>
    </row>
    <row r="15" spans="1:5" x14ac:dyDescent="0.3">
      <c r="A15" s="144">
        <v>14</v>
      </c>
      <c r="B15" s="145" t="e">
        <f>#REF!</f>
        <v>#REF!</v>
      </c>
      <c r="C15" s="145" t="s">
        <v>184</v>
      </c>
      <c r="D15" s="146" t="s">
        <v>33</v>
      </c>
      <c r="E15" s="147"/>
    </row>
    <row r="16" spans="1:5" x14ac:dyDescent="0.3">
      <c r="A16" s="144">
        <v>15</v>
      </c>
      <c r="B16" s="145" t="e">
        <f>#REF!</f>
        <v>#REF!</v>
      </c>
      <c r="C16" s="145" t="s">
        <v>185</v>
      </c>
      <c r="D16" s="146" t="s">
        <v>33</v>
      </c>
      <c r="E16" s="148"/>
    </row>
    <row r="17" spans="1:5" x14ac:dyDescent="0.3">
      <c r="A17" s="144">
        <v>16</v>
      </c>
      <c r="B17" s="145" t="e">
        <f>#REF!</f>
        <v>#REF!</v>
      </c>
      <c r="C17" s="145" t="s">
        <v>186</v>
      </c>
      <c r="D17" s="146" t="s">
        <v>33</v>
      </c>
      <c r="E17" s="147" t="s">
        <v>33</v>
      </c>
    </row>
    <row r="18" spans="1:5" x14ac:dyDescent="0.3">
      <c r="A18" s="144">
        <v>17</v>
      </c>
      <c r="B18" s="145" t="e">
        <f>#REF!</f>
        <v>#REF!</v>
      </c>
      <c r="C18" s="145" t="s">
        <v>187</v>
      </c>
      <c r="D18" s="146" t="s">
        <v>33</v>
      </c>
      <c r="E18" s="148"/>
    </row>
    <row r="19" spans="1:5" x14ac:dyDescent="0.3">
      <c r="A19" s="144">
        <v>18</v>
      </c>
      <c r="B19" s="145" t="e">
        <f>#REF!</f>
        <v>#REF!</v>
      </c>
      <c r="C19" s="145" t="s">
        <v>188</v>
      </c>
      <c r="D19" s="146" t="s">
        <v>33</v>
      </c>
      <c r="E19" s="148"/>
    </row>
    <row r="20" spans="1:5" ht="15" thickBot="1" x14ac:dyDescent="0.35">
      <c r="A20" s="149">
        <v>19</v>
      </c>
      <c r="B20" s="150" t="e">
        <f>#REF!</f>
        <v>#REF!</v>
      </c>
      <c r="C20" s="150" t="s">
        <v>10</v>
      </c>
      <c r="D20" s="151"/>
      <c r="E20" s="152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16</vt:i4>
      </vt:variant>
    </vt:vector>
  </HeadingPairs>
  <TitlesOfParts>
    <vt:vector size="30" baseType="lpstr">
      <vt:lpstr>SKL</vt:lpstr>
      <vt:lpstr>KI-KD</vt:lpstr>
      <vt:lpstr>Silabus</vt:lpstr>
      <vt:lpstr>RPP</vt:lpstr>
      <vt:lpstr>KKM</vt:lpstr>
      <vt:lpstr>Program Tahunan</vt:lpstr>
      <vt:lpstr>Program Semester</vt:lpstr>
      <vt:lpstr>CV</vt:lpstr>
      <vt:lpstr>Jurnal 10-5</vt:lpstr>
      <vt:lpstr>Absensi 10-5</vt:lpstr>
      <vt:lpstr>Nilai 10-5</vt:lpstr>
      <vt:lpstr>PTS</vt:lpstr>
      <vt:lpstr>DSS</vt:lpstr>
      <vt:lpstr>Daftar Cetak</vt:lpstr>
      <vt:lpstr>'Absensi 10-5'!Print_Area</vt:lpstr>
      <vt:lpstr>CV!Print_Area</vt:lpstr>
      <vt:lpstr>DSS!Print_Area</vt:lpstr>
      <vt:lpstr>'Jurnal 10-5'!Print_Area</vt:lpstr>
      <vt:lpstr>'KI-KD'!Print_Area</vt:lpstr>
      <vt:lpstr>KKM!Print_Area</vt:lpstr>
      <vt:lpstr>'Nilai 10-5'!Print_Area</vt:lpstr>
      <vt:lpstr>'Program Semester'!Print_Area</vt:lpstr>
      <vt:lpstr>'Program Tahunan'!Print_Area</vt:lpstr>
      <vt:lpstr>RPP!Print_Area</vt:lpstr>
      <vt:lpstr>Silabus!Print_Area</vt:lpstr>
      <vt:lpstr>SKL!Print_Area</vt:lpstr>
      <vt:lpstr>'Absensi 10-5'!Print_Titles</vt:lpstr>
      <vt:lpstr>'Jurnal 10-5'!Print_Titles</vt:lpstr>
      <vt:lpstr>'KI-KD'!Print_Titles</vt:lpstr>
      <vt:lpstr>'Nilai 10-5'!Print_Titles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Nurul Hidayah</dc:creator>
  <cp:lastModifiedBy>Ahmad Nursyifa</cp:lastModifiedBy>
  <cp:lastPrinted>2026-08-30T03:23:05Z</cp:lastPrinted>
  <dcterms:created xsi:type="dcterms:W3CDTF">2022-07-19T05:55:56Z</dcterms:created>
  <dcterms:modified xsi:type="dcterms:W3CDTF">2026-10-18T00:49:40Z</dcterms:modified>
</cp:coreProperties>
</file>