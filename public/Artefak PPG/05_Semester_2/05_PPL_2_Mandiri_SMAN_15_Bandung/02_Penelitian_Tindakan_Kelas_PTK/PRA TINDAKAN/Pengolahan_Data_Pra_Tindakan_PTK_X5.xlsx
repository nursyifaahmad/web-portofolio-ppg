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PPG\SEMESTER 2\PPL\X-5\PTK\"/>
    </mc:Choice>
  </mc:AlternateContent>
  <xr:revisionPtr revIDLastSave="0" documentId="13_ncr:1_{8095FA21-6876-4CD4-925B-1BFAAA3E73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tunjuk" sheetId="1" r:id="rId1"/>
    <sheet name="Data Diagnostik" sheetId="2" r:id="rId2"/>
    <sheet name="Observasi Kemandirian" sheetId="3" r:id="rId3"/>
    <sheet name="Rekap &amp; Dashboar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3" l="1"/>
  <c r="I5" i="3" s="1"/>
  <c r="I5" i="2"/>
  <c r="J5" i="2" s="1"/>
  <c r="B16" i="4"/>
  <c r="D16" i="4" s="1"/>
  <c r="B15" i="4"/>
  <c r="D15" i="4" s="1"/>
  <c r="B14" i="4"/>
  <c r="D14" i="4" s="1"/>
  <c r="B13" i="4"/>
  <c r="C13" i="4" s="1"/>
  <c r="B12" i="4"/>
  <c r="C12" i="4" s="1"/>
  <c r="B11" i="4"/>
  <c r="D11" i="4" s="1"/>
  <c r="H50" i="3"/>
  <c r="I50" i="3" s="1"/>
  <c r="J50" i="3" s="1"/>
  <c r="H49" i="3"/>
  <c r="I49" i="3" s="1"/>
  <c r="J49" i="3" s="1"/>
  <c r="H48" i="3"/>
  <c r="I48" i="3" s="1"/>
  <c r="J48" i="3" s="1"/>
  <c r="H47" i="3"/>
  <c r="I47" i="3" s="1"/>
  <c r="J47" i="3" s="1"/>
  <c r="H46" i="3"/>
  <c r="I46" i="3" s="1"/>
  <c r="J46" i="3" s="1"/>
  <c r="H45" i="3"/>
  <c r="I45" i="3" s="1"/>
  <c r="J45" i="3" s="1"/>
  <c r="H44" i="3"/>
  <c r="I44" i="3" s="1"/>
  <c r="J44" i="3" s="1"/>
  <c r="H43" i="3"/>
  <c r="I43" i="3" s="1"/>
  <c r="J43" i="3" s="1"/>
  <c r="H42" i="3"/>
  <c r="I42" i="3" s="1"/>
  <c r="J42" i="3" s="1"/>
  <c r="H41" i="3"/>
  <c r="I41" i="3" s="1"/>
  <c r="J41" i="3" s="1"/>
  <c r="H40" i="3"/>
  <c r="I40" i="3" s="1"/>
  <c r="J40" i="3" s="1"/>
  <c r="H39" i="3"/>
  <c r="I39" i="3" s="1"/>
  <c r="J39" i="3" s="1"/>
  <c r="H38" i="3"/>
  <c r="I38" i="3" s="1"/>
  <c r="J38" i="3" s="1"/>
  <c r="H37" i="3"/>
  <c r="I37" i="3" s="1"/>
  <c r="J37" i="3" s="1"/>
  <c r="H36" i="3"/>
  <c r="I36" i="3" s="1"/>
  <c r="J36" i="3" s="1"/>
  <c r="H35" i="3"/>
  <c r="I35" i="3" s="1"/>
  <c r="J35" i="3" s="1"/>
  <c r="H34" i="3"/>
  <c r="I34" i="3" s="1"/>
  <c r="J34" i="3" s="1"/>
  <c r="H33" i="3"/>
  <c r="I33" i="3" s="1"/>
  <c r="J33" i="3" s="1"/>
  <c r="H32" i="3"/>
  <c r="I32" i="3" s="1"/>
  <c r="J32" i="3" s="1"/>
  <c r="H31" i="3"/>
  <c r="I31" i="3" s="1"/>
  <c r="J31" i="3" s="1"/>
  <c r="H30" i="3"/>
  <c r="I30" i="3" s="1"/>
  <c r="J30" i="3" s="1"/>
  <c r="H29" i="3"/>
  <c r="I29" i="3" s="1"/>
  <c r="J29" i="3" s="1"/>
  <c r="H28" i="3"/>
  <c r="I28" i="3" s="1"/>
  <c r="J28" i="3" s="1"/>
  <c r="H27" i="3"/>
  <c r="I27" i="3" s="1"/>
  <c r="J27" i="3" s="1"/>
  <c r="H26" i="3"/>
  <c r="I26" i="3" s="1"/>
  <c r="J26" i="3" s="1"/>
  <c r="H25" i="3"/>
  <c r="I25" i="3" s="1"/>
  <c r="J25" i="3" s="1"/>
  <c r="H24" i="3"/>
  <c r="I24" i="3" s="1"/>
  <c r="J24" i="3" s="1"/>
  <c r="H23" i="3"/>
  <c r="I23" i="3" s="1"/>
  <c r="J23" i="3" s="1"/>
  <c r="H22" i="3"/>
  <c r="I22" i="3" s="1"/>
  <c r="J22" i="3" s="1"/>
  <c r="H21" i="3"/>
  <c r="I21" i="3" s="1"/>
  <c r="J21" i="3" s="1"/>
  <c r="H20" i="3"/>
  <c r="I20" i="3" s="1"/>
  <c r="J20" i="3" s="1"/>
  <c r="H19" i="3"/>
  <c r="I19" i="3" s="1"/>
  <c r="J19" i="3" s="1"/>
  <c r="H18" i="3"/>
  <c r="I18" i="3" s="1"/>
  <c r="J18" i="3" s="1"/>
  <c r="H17" i="3"/>
  <c r="I17" i="3" s="1"/>
  <c r="J17" i="3" s="1"/>
  <c r="H16" i="3"/>
  <c r="I16" i="3" s="1"/>
  <c r="J16" i="3" s="1"/>
  <c r="H15" i="3"/>
  <c r="I15" i="3" s="1"/>
  <c r="J15" i="3" s="1"/>
  <c r="H14" i="3"/>
  <c r="I14" i="3" s="1"/>
  <c r="J14" i="3" s="1"/>
  <c r="H13" i="3"/>
  <c r="I13" i="3" s="1"/>
  <c r="J13" i="3" s="1"/>
  <c r="H12" i="3"/>
  <c r="I12" i="3" s="1"/>
  <c r="J12" i="3" s="1"/>
  <c r="H11" i="3"/>
  <c r="I11" i="3" s="1"/>
  <c r="J11" i="3" s="1"/>
  <c r="H10" i="3"/>
  <c r="I10" i="3" s="1"/>
  <c r="J10" i="3" s="1"/>
  <c r="H9" i="3"/>
  <c r="I9" i="3" s="1"/>
  <c r="J9" i="3" s="1"/>
  <c r="H8" i="3"/>
  <c r="I8" i="3" s="1"/>
  <c r="J8" i="3" s="1"/>
  <c r="H7" i="3"/>
  <c r="I7" i="3" s="1"/>
  <c r="J7" i="3" s="1"/>
  <c r="H6" i="3"/>
  <c r="I6" i="3" s="1"/>
  <c r="J6" i="3" s="1"/>
  <c r="I50" i="2"/>
  <c r="J50" i="2" s="1"/>
  <c r="K50" i="2" s="1"/>
  <c r="I49" i="2"/>
  <c r="J49" i="2" s="1"/>
  <c r="K49" i="2" s="1"/>
  <c r="I48" i="2"/>
  <c r="J48" i="2" s="1"/>
  <c r="K48" i="2" s="1"/>
  <c r="I47" i="2"/>
  <c r="J47" i="2" s="1"/>
  <c r="K47" i="2" s="1"/>
  <c r="I46" i="2"/>
  <c r="J46" i="2" s="1"/>
  <c r="K46" i="2" s="1"/>
  <c r="I45" i="2"/>
  <c r="J45" i="2" s="1"/>
  <c r="K45" i="2" s="1"/>
  <c r="I44" i="2"/>
  <c r="J44" i="2" s="1"/>
  <c r="K44" i="2" s="1"/>
  <c r="I43" i="2"/>
  <c r="J43" i="2" s="1"/>
  <c r="K43" i="2" s="1"/>
  <c r="I42" i="2"/>
  <c r="J42" i="2" s="1"/>
  <c r="K42" i="2" s="1"/>
  <c r="I41" i="2"/>
  <c r="J41" i="2" s="1"/>
  <c r="K41" i="2" s="1"/>
  <c r="I40" i="2"/>
  <c r="J40" i="2" s="1"/>
  <c r="K40" i="2" s="1"/>
  <c r="I39" i="2"/>
  <c r="J39" i="2" s="1"/>
  <c r="K39" i="2" s="1"/>
  <c r="I38" i="2"/>
  <c r="J38" i="2" s="1"/>
  <c r="K38" i="2" s="1"/>
  <c r="I37" i="2"/>
  <c r="J37" i="2" s="1"/>
  <c r="K37" i="2" s="1"/>
  <c r="I36" i="2"/>
  <c r="J36" i="2" s="1"/>
  <c r="K36" i="2" s="1"/>
  <c r="I35" i="2"/>
  <c r="J35" i="2" s="1"/>
  <c r="K35" i="2" s="1"/>
  <c r="I34" i="2"/>
  <c r="J34" i="2" s="1"/>
  <c r="K34" i="2" s="1"/>
  <c r="I33" i="2"/>
  <c r="J33" i="2" s="1"/>
  <c r="K33" i="2" s="1"/>
  <c r="I32" i="2"/>
  <c r="J32" i="2" s="1"/>
  <c r="K32" i="2" s="1"/>
  <c r="I31" i="2"/>
  <c r="J31" i="2" s="1"/>
  <c r="K31" i="2" s="1"/>
  <c r="I30" i="2"/>
  <c r="J30" i="2" s="1"/>
  <c r="K30" i="2" s="1"/>
  <c r="I29" i="2"/>
  <c r="J29" i="2" s="1"/>
  <c r="K29" i="2" s="1"/>
  <c r="I28" i="2"/>
  <c r="J28" i="2" s="1"/>
  <c r="K28" i="2" s="1"/>
  <c r="I27" i="2"/>
  <c r="J27" i="2" s="1"/>
  <c r="K27" i="2" s="1"/>
  <c r="I26" i="2"/>
  <c r="J26" i="2" s="1"/>
  <c r="K26" i="2" s="1"/>
  <c r="I25" i="2"/>
  <c r="J25" i="2" s="1"/>
  <c r="K25" i="2" s="1"/>
  <c r="I24" i="2"/>
  <c r="J24" i="2" s="1"/>
  <c r="K24" i="2" s="1"/>
  <c r="I23" i="2"/>
  <c r="J23" i="2" s="1"/>
  <c r="K23" i="2" s="1"/>
  <c r="I22" i="2"/>
  <c r="J22" i="2" s="1"/>
  <c r="K22" i="2" s="1"/>
  <c r="I21" i="2"/>
  <c r="J21" i="2" s="1"/>
  <c r="K21" i="2" s="1"/>
  <c r="I20" i="2"/>
  <c r="J20" i="2" s="1"/>
  <c r="K20" i="2" s="1"/>
  <c r="I19" i="2"/>
  <c r="J19" i="2" s="1"/>
  <c r="K19" i="2" s="1"/>
  <c r="I18" i="2"/>
  <c r="J18" i="2" s="1"/>
  <c r="K18" i="2" s="1"/>
  <c r="I17" i="2"/>
  <c r="J17" i="2" s="1"/>
  <c r="K17" i="2" s="1"/>
  <c r="I16" i="2"/>
  <c r="J16" i="2" s="1"/>
  <c r="K16" i="2" s="1"/>
  <c r="I15" i="2"/>
  <c r="J15" i="2" s="1"/>
  <c r="K15" i="2" s="1"/>
  <c r="I14" i="2"/>
  <c r="J14" i="2" s="1"/>
  <c r="K14" i="2" s="1"/>
  <c r="I13" i="2"/>
  <c r="J13" i="2" s="1"/>
  <c r="K13" i="2" s="1"/>
  <c r="I12" i="2"/>
  <c r="J12" i="2" s="1"/>
  <c r="K12" i="2" s="1"/>
  <c r="I11" i="2"/>
  <c r="J11" i="2" s="1"/>
  <c r="K11" i="2" s="1"/>
  <c r="I10" i="2"/>
  <c r="J10" i="2" s="1"/>
  <c r="K10" i="2" s="1"/>
  <c r="I9" i="2"/>
  <c r="J9" i="2" s="1"/>
  <c r="K9" i="2" s="1"/>
  <c r="I8" i="2"/>
  <c r="J8" i="2" s="1"/>
  <c r="K8" i="2" s="1"/>
  <c r="I7" i="2"/>
  <c r="J7" i="2" s="1"/>
  <c r="K7" i="2" s="1"/>
  <c r="I6" i="2"/>
  <c r="J6" i="2" s="1"/>
  <c r="K6" i="2" s="1"/>
  <c r="D13" i="4" l="1"/>
  <c r="E4" i="4"/>
  <c r="K5" i="2"/>
  <c r="G12" i="4"/>
  <c r="J5" i="3"/>
  <c r="G11" i="4"/>
  <c r="E5" i="4"/>
  <c r="C14" i="4"/>
  <c r="C11" i="4"/>
  <c r="C15" i="4"/>
  <c r="D12" i="4"/>
  <c r="C16" i="4"/>
  <c r="G13" i="4" l="1"/>
  <c r="H13" i="4" s="1"/>
  <c r="G16" i="4"/>
  <c r="H16" i="4" s="1"/>
  <c r="G15" i="4"/>
  <c r="H15" i="4" s="1"/>
  <c r="G14" i="4"/>
  <c r="H14" i="4" s="1"/>
  <c r="E7" i="4"/>
  <c r="K20" i="4" s="1"/>
  <c r="E6" i="4"/>
  <c r="K19" i="4" s="1"/>
  <c r="E8" i="4" l="1"/>
</calcChain>
</file>

<file path=xl/sharedStrings.xml><?xml version="1.0" encoding="utf-8"?>
<sst xmlns="http://schemas.openxmlformats.org/spreadsheetml/2006/main" count="217" uniqueCount="147">
  <si>
    <t>FORMAT PENGOLAHAN DATA PRA-TINDAKAN PTK</t>
  </si>
  <si>
    <t>Peningkatan Kemampuan Berpikir Algoritmik melalui Problem Based Learning</t>
  </si>
  <si>
    <t>Satuan Pendidikan</t>
  </si>
  <si>
    <t>SMAN 15 Bandung</t>
  </si>
  <si>
    <t>Petunjuk Penggunaan</t>
  </si>
  <si>
    <t>Kelas / Fase</t>
  </si>
  <si>
    <t>X-5 / Fase E</t>
  </si>
  <si>
    <t>1.</t>
  </si>
  <si>
    <t>Masukkan skor 1–4 untuk enam indikator pada sheet Data Diagnostik.</t>
  </si>
  <si>
    <t>Jumlah Peserta Didik</t>
  </si>
  <si>
    <t>2.</t>
  </si>
  <si>
    <t>Nilai, total skor, dan ketuntasan akan dihitung otomatis.</t>
  </si>
  <si>
    <t>KKTP</t>
  </si>
  <si>
    <t>3.</t>
  </si>
  <si>
    <t>Masukkan skor observasi K1–K5 pada sheet Observasi Kemandirian.</t>
  </si>
  <si>
    <t>Alokasi Waktu</t>
  </si>
  <si>
    <t>2 JP (2 × 40 menit)</t>
  </si>
  <si>
    <t>4.</t>
  </si>
  <si>
    <t>Rekap kelas, capaian indikator, dan grafik tersedia otomatis pada sheet Rekap &amp; Dashboard.</t>
  </si>
  <si>
    <t>Materi</t>
  </si>
  <si>
    <t>Algoritma, Diagram Alir, dan Pseudocode</t>
  </si>
  <si>
    <t>5.</t>
  </si>
  <si>
    <t>Biarkan sel kosong apabila peserta didik belum dinilai; jangan isi angka 0.</t>
  </si>
  <si>
    <t>6.</t>
  </si>
  <si>
    <t>Gunakan hasil pra-tindakan sebagai dasar penyusunan tindakan Siklus I.</t>
  </si>
  <si>
    <t>Keterangan Indikator Kemampuan Berpikir Algoritmik</t>
  </si>
  <si>
    <t>Kode</t>
  </si>
  <si>
    <t>Indikator</t>
  </si>
  <si>
    <t>IPO</t>
  </si>
  <si>
    <t>Mengidentifikasi input, proses, dan output.</t>
  </si>
  <si>
    <t>ALG</t>
  </si>
  <si>
    <t>Menyusun langkah algoritma secara runtut dan logis.</t>
  </si>
  <si>
    <t>PER</t>
  </si>
  <si>
    <t>Menggunakan logika percabangan dengan tepat.</t>
  </si>
  <si>
    <t>FLW</t>
  </si>
  <si>
    <t>Merepresentasikan solusi dalam diagram alir (flowchart).</t>
  </si>
  <si>
    <t>PSD</t>
  </si>
  <si>
    <t>Merepresentasikan solusi dalam pseudocode.</t>
  </si>
  <si>
    <t>DBG</t>
  </si>
  <si>
    <t>Menguji, menemukan, dan memperbaiki kesalahan algoritma.</t>
  </si>
  <si>
    <t>DATA PRA-TINDAKAN — ASESMEN DIAGNOSTIK</t>
  </si>
  <si>
    <t>Masukkan skor 1–4 pada kolom indikator. Kolom Total, Nilai, dan Ketuntasan dihitung otomatis.</t>
  </si>
  <si>
    <t>No.</t>
  </si>
  <si>
    <t>Kode Peserta Didik</t>
  </si>
  <si>
    <t>Algoritma</t>
  </si>
  <si>
    <t>Percabangan</t>
  </si>
  <si>
    <t>Flowchart</t>
  </si>
  <si>
    <t>Pseudocode</t>
  </si>
  <si>
    <t>Debugging</t>
  </si>
  <si>
    <t>Total Skor</t>
  </si>
  <si>
    <t>Nilai</t>
  </si>
  <si>
    <t>Ketuntasan</t>
  </si>
  <si>
    <t>Catatan</t>
  </si>
  <si>
    <t>X5-01</t>
  </si>
  <si>
    <t>X5-02</t>
  </si>
  <si>
    <t>X5-03</t>
  </si>
  <si>
    <t>X5-04</t>
  </si>
  <si>
    <t>X5-05</t>
  </si>
  <si>
    <t>X5-06</t>
  </si>
  <si>
    <t>X5-07</t>
  </si>
  <si>
    <t>X5-08</t>
  </si>
  <si>
    <t>X5-09</t>
  </si>
  <si>
    <t>X5-10</t>
  </si>
  <si>
    <t>X5-11</t>
  </si>
  <si>
    <t>X5-12</t>
  </si>
  <si>
    <t>X5-13</t>
  </si>
  <si>
    <t>X5-14</t>
  </si>
  <si>
    <t>X5-15</t>
  </si>
  <si>
    <t>X5-16</t>
  </si>
  <si>
    <t>X5-17</t>
  </si>
  <si>
    <t>X5-18</t>
  </si>
  <si>
    <t>X5-19</t>
  </si>
  <si>
    <t>X5-20</t>
  </si>
  <si>
    <t>X5-21</t>
  </si>
  <si>
    <t>X5-22</t>
  </si>
  <si>
    <t>X5-23</t>
  </si>
  <si>
    <t>X5-24</t>
  </si>
  <si>
    <t>X5-25</t>
  </si>
  <si>
    <t>X5-26</t>
  </si>
  <si>
    <t>X5-27</t>
  </si>
  <si>
    <t>X5-28</t>
  </si>
  <si>
    <t>X5-29</t>
  </si>
  <si>
    <t>X5-30</t>
  </si>
  <si>
    <t>X5-31</t>
  </si>
  <si>
    <t>X5-32</t>
  </si>
  <si>
    <t>X5-33</t>
  </si>
  <si>
    <t>X5-34</t>
  </si>
  <si>
    <t>X5-35</t>
  </si>
  <si>
    <t>X5-36</t>
  </si>
  <si>
    <t>X5-37</t>
  </si>
  <si>
    <t>X5-38</t>
  </si>
  <si>
    <t>X5-39</t>
  </si>
  <si>
    <t>X5-40</t>
  </si>
  <si>
    <t>X5-41</t>
  </si>
  <si>
    <t>X5-42</t>
  </si>
  <si>
    <t>X5-43</t>
  </si>
  <si>
    <t>X5-44</t>
  </si>
  <si>
    <t>X5-45</t>
  </si>
  <si>
    <t>X5-46</t>
  </si>
  <si>
    <t>LEMBAR PENGOLAHAN OBSERVASI KEMANDIRIAN</t>
  </si>
  <si>
    <t>Skor: 4 = sangat mandiri, 3 = mandiri, 2 = kurang mandiri, 1 = belum mandiri.</t>
  </si>
  <si>
    <t>Indikator Kemandirian</t>
  </si>
  <si>
    <t>K1</t>
  </si>
  <si>
    <t>Memulai mengerjakan tanpa menunggu contoh guru.</t>
  </si>
  <si>
    <t>K2</t>
  </si>
  <si>
    <t>K3</t>
  </si>
  <si>
    <t>K4</t>
  </si>
  <si>
    <t>K5</t>
  </si>
  <si>
    <t>Total</t>
  </si>
  <si>
    <t>Rata-rata</t>
  </si>
  <si>
    <t>Kategori</t>
  </si>
  <si>
    <t>Catatan Observer</t>
  </si>
  <si>
    <t>Berusaha memahami masalah secara mandiri.</t>
  </si>
  <si>
    <t>Mencoba menyusun solusi sendiri sebelum meminta bantuan.</t>
  </si>
  <si>
    <t>Memeriksa kembali solusi yang dibuat.</t>
  </si>
  <si>
    <t>Memperbaiki solusi ketika menemukan kesalahan.</t>
  </si>
  <si>
    <t>REKAPITULASI &amp; DASHBOARD DATA PRA-TINDAKAN</t>
  </si>
  <si>
    <t>Parameter</t>
  </si>
  <si>
    <t>Ringkasan Diagnostik</t>
  </si>
  <si>
    <t>Hasil</t>
  </si>
  <si>
    <t>Peserta Didik Dinilai</t>
  </si>
  <si>
    <t>Fase / Kelas</t>
  </si>
  <si>
    <t>E / X-5</t>
  </si>
  <si>
    <t>Rata-rata Kelas</t>
  </si>
  <si>
    <t>Tuntas</t>
  </si>
  <si>
    <t>Skor Maksimum Diagnostik</t>
  </si>
  <si>
    <t>Belum Tuntas</t>
  </si>
  <si>
    <t>Persentase Ketuntasan</t>
  </si>
  <si>
    <t>Rata-rata Skor (1–4)</t>
  </si>
  <si>
    <t>Capaian (%)</t>
  </si>
  <si>
    <t>Interpretasi</t>
  </si>
  <si>
    <t>Ringkasan Kemandirian</t>
  </si>
  <si>
    <t>Keterangan</t>
  </si>
  <si>
    <t>Peserta Didik Diobservasi</t>
  </si>
  <si>
    <t>Jumlah data</t>
  </si>
  <si>
    <t>Rata-rata Kemandirian</t>
  </si>
  <si>
    <t>Skala 1–4</t>
  </si>
  <si>
    <t>Sangat Mandiri</t>
  </si>
  <si>
    <t>Mandiri</t>
  </si>
  <si>
    <t>Kurang Mandiri</t>
  </si>
  <si>
    <t>Belum Mandiri</t>
  </si>
  <si>
    <t>Status</t>
  </si>
  <si>
    <t>Jumlah</t>
  </si>
  <si>
    <t>Kerangka Narasi Analisis Pra-Tindakan</t>
  </si>
  <si>
    <t>Setelah data diisi, gunakan ringkasan pada dashboard untuk menyusun narasi: (1) jumlah peserta didik yang mengikuti asesmen; (2) nilai rata-rata kelas; (3) jumlah dan persentase ketuntasan berdasarkan KKTP 75; (4) indikator kemampuan berpikir algoritmik yang paling kuat dan paling lemah; (5) tingkat kemandirian peserta didik; serta (6) implikasi temuan tersebut terhadap rancangan tindakan Problem Based Learning pada Siklus I.</t>
  </si>
  <si>
    <t>21,25,32,42,46</t>
  </si>
  <si>
    <t>2,6,7,17,18,26,27,37,38,44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</si>
</sst>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6"/>
      <color rgb="FFFFFFFF"/>
      <name val="Carlito"/>
    </font>
    <font>
      <b/>
      <sz val="12"/>
      <color rgb="FF1F2937"/>
      <name val="Carlito"/>
    </font>
    <font>
      <b/>
      <sz val="11"/>
      <color rgb="FF1F2937"/>
      <name val="Carlito"/>
    </font>
    <font>
      <b/>
      <sz val="11"/>
      <color rgb="FF1F6F66"/>
      <name val="Carlito"/>
    </font>
    <font>
      <b/>
      <sz val="11"/>
      <name val="Carlito"/>
    </font>
    <font>
      <b/>
      <sz val="11"/>
      <color rgb="FFFFFFFF"/>
      <name val="Carlito"/>
    </font>
    <font>
      <i/>
      <sz val="11"/>
      <color rgb="FF1F2937"/>
      <name val="Carlito"/>
    </font>
  </fonts>
  <fills count="7">
    <fill>
      <patternFill patternType="none"/>
    </fill>
    <fill>
      <patternFill patternType="gray125"/>
    </fill>
    <fill>
      <patternFill patternType="solid">
        <fgColor rgb="FF2F8F83"/>
      </patternFill>
    </fill>
    <fill>
      <patternFill patternType="solid">
        <fgColor rgb="FFDDEFEA"/>
      </patternFill>
    </fill>
    <fill>
      <patternFill patternType="solid">
        <fgColor rgb="FFF8E8BE"/>
      </patternFill>
    </fill>
    <fill>
      <patternFill patternType="solid">
        <fgColor rgb="FF1F6F66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3" borderId="1" xfId="0" applyFont="1" applyFill="1" applyBorder="1"/>
    <xf numFmtId="0" fontId="0" fillId="0" borderId="2" xfId="0" applyBorder="1"/>
    <xf numFmtId="0" fontId="3" fillId="3" borderId="3" xfId="0" applyFont="1" applyFill="1" applyBorder="1"/>
    <xf numFmtId="0" fontId="0" fillId="0" borderId="4" xfId="0" applyBorder="1"/>
    <xf numFmtId="0" fontId="3" fillId="3" borderId="5" xfId="0" applyFont="1" applyFill="1" applyBorder="1"/>
    <xf numFmtId="0" fontId="0" fillId="0" borderId="6" xfId="0" applyBorder="1"/>
    <xf numFmtId="0" fontId="0" fillId="0" borderId="0" xfId="0" applyAlignment="1">
      <alignment wrapText="1"/>
    </xf>
    <xf numFmtId="0" fontId="4" fillId="0" borderId="1" xfId="0" applyFont="1" applyBorder="1" applyAlignment="1">
      <alignment wrapText="1"/>
    </xf>
    <xf numFmtId="0" fontId="0" fillId="0" borderId="7" xfId="0" applyBorder="1" applyAlignment="1">
      <alignment wrapText="1"/>
    </xf>
    <xf numFmtId="0" fontId="0" fillId="0" borderId="2" xfId="0" applyBorder="1" applyAlignment="1">
      <alignment wrapText="1"/>
    </xf>
    <xf numFmtId="0" fontId="4" fillId="0" borderId="3" xfId="0" applyFont="1" applyBorder="1" applyAlignment="1">
      <alignment wrapText="1"/>
    </xf>
    <xf numFmtId="0" fontId="0" fillId="0" borderId="4" xfId="0" applyBorder="1" applyAlignment="1">
      <alignment wrapText="1"/>
    </xf>
    <xf numFmtId="0" fontId="4" fillId="0" borderId="5" xfId="0" applyFont="1" applyBorder="1" applyAlignment="1">
      <alignment wrapText="1"/>
    </xf>
    <xf numFmtId="0" fontId="0" fillId="0" borderId="8" xfId="0" applyBorder="1" applyAlignment="1">
      <alignment wrapText="1"/>
    </xf>
    <xf numFmtId="0" fontId="0" fillId="0" borderId="6" xfId="0" applyBorder="1" applyAlignment="1">
      <alignment wrapText="1"/>
    </xf>
    <xf numFmtId="0" fontId="6" fillId="5" borderId="9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5" xfId="0" applyBorder="1"/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5" fillId="3" borderId="3" xfId="0" applyFont="1" applyFill="1" applyBorder="1"/>
    <xf numFmtId="0" fontId="5" fillId="3" borderId="5" xfId="0" applyFont="1" applyFill="1" applyBorder="1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10" fontId="0" fillId="0" borderId="6" xfId="0" applyNumberFormat="1" applyBorder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8" xfId="0" applyNumberFormat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0" fontId="0" fillId="0" borderId="8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5" borderId="10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0" fillId="0" borderId="1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6" fillId="5" borderId="12" xfId="0" applyFont="1" applyFill="1" applyBorder="1" applyAlignment="1">
      <alignment horizontal="center" vertical="center" wrapText="1"/>
    </xf>
    <xf numFmtId="0" fontId="0" fillId="0" borderId="12" xfId="0" applyBorder="1"/>
    <xf numFmtId="0" fontId="6" fillId="6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</font>
      <fill>
        <patternFill patternType="solid">
          <bgColor rgb="FFFEE2E2"/>
        </patternFill>
      </fill>
    </dxf>
    <dxf>
      <font>
        <b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id-ID"/>
              <a:t>Rata-rata Skor per Indikator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Rata-rata Skor (1–4)</c:v>
          </c:tx>
          <c:invertIfNegative val="1"/>
          <c:cat>
            <c:strRef>
              <c:f>'Rekap &amp; Dashboard'!$A$11:$A$16</c:f>
              <c:strCache>
                <c:ptCount val="6"/>
                <c:pt idx="0">
                  <c:v>IPO</c:v>
                </c:pt>
                <c:pt idx="1">
                  <c:v>Algoritma</c:v>
                </c:pt>
                <c:pt idx="2">
                  <c:v>Percabangan</c:v>
                </c:pt>
                <c:pt idx="3">
                  <c:v>Flowchart</c:v>
                </c:pt>
                <c:pt idx="4">
                  <c:v>Pseudocode</c:v>
                </c:pt>
                <c:pt idx="5">
                  <c:v>Debugging</c:v>
                </c:pt>
              </c:strCache>
            </c:strRef>
          </c:cat>
          <c:val>
            <c:numRef>
              <c:f>'Rekap &amp; Dashboard'!$B$11:$B$16</c:f>
              <c:numCache>
                <c:formatCode>General</c:formatCode>
                <c:ptCount val="6"/>
                <c:pt idx="0">
                  <c:v>1.85</c:v>
                </c:pt>
                <c:pt idx="1">
                  <c:v>2.15</c:v>
                </c:pt>
                <c:pt idx="2">
                  <c:v>1.63</c:v>
                </c:pt>
                <c:pt idx="3">
                  <c:v>1.1299999999999999</c:v>
                </c:pt>
                <c:pt idx="4">
                  <c:v>1.1100000000000001</c:v>
                </c:pt>
                <c:pt idx="5">
                  <c:v>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34-4791-BE21-DA90C0E31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id-ID"/>
              <a:t>Ketuntasan Pra-Tindakan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Jumlah</c:v>
          </c:tx>
          <c:invertIfNegative val="1"/>
          <c:cat>
            <c:strRef>
              <c:f>'Rekap &amp; Dashboard'!$J$22:$J$23</c:f>
              <c:strCache>
                <c:ptCount val="2"/>
                <c:pt idx="0">
                  <c:v>Tuntas</c:v>
                </c:pt>
                <c:pt idx="1">
                  <c:v>Belum Tuntas</c:v>
                </c:pt>
              </c:strCache>
            </c:strRef>
          </c:cat>
          <c:val>
            <c:numRef>
              <c:f>'Rekap &amp; Dashboard'!$K$19:$K$20</c:f>
              <c:numCache>
                <c:formatCode>General</c:formatCode>
                <c:ptCount val="2"/>
                <c:pt idx="0">
                  <c:v>5</c:v>
                </c:pt>
                <c:pt idx="1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76-4AE2-A134-F3197AA3D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78827</xdr:colOff>
      <xdr:row>27</xdr:row>
      <xdr:rowOff>26277</xdr:rowOff>
    </xdr:from>
    <xdr:to>
      <xdr:col>5</xdr:col>
      <xdr:colOff>131378</xdr:colOff>
      <xdr:row>42</xdr:row>
      <xdr:rowOff>26276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630620</xdr:colOff>
      <xdr:row>28</xdr:row>
      <xdr:rowOff>13140</xdr:rowOff>
    </xdr:from>
    <xdr:to>
      <xdr:col>12</xdr:col>
      <xdr:colOff>893379</xdr:colOff>
      <xdr:row>43</xdr:row>
      <xdr:rowOff>1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zoomScale="70" zoomScaleNormal="70" workbookViewId="0">
      <selection activeCell="B18" sqref="B18:H18"/>
    </sheetView>
  </sheetViews>
  <sheetFormatPr defaultRowHeight="13.8"/>
  <cols>
    <col min="1" max="1" width="20" customWidth="1"/>
    <col min="2" max="2" width="32" customWidth="1"/>
    <col min="3" max="3" width="4" customWidth="1"/>
    <col min="4" max="4" width="6" customWidth="1"/>
    <col min="5" max="8" width="18" customWidth="1"/>
  </cols>
  <sheetData>
    <row r="1" spans="1:8" ht="24" customHeight="1">
      <c r="A1" s="39" t="s">
        <v>0</v>
      </c>
      <c r="B1" s="39"/>
      <c r="C1" s="39"/>
      <c r="D1" s="39"/>
      <c r="E1" s="39"/>
      <c r="F1" s="39"/>
      <c r="G1" s="39"/>
      <c r="H1" s="39"/>
    </row>
    <row r="2" spans="1:8" ht="15.6">
      <c r="A2" s="40" t="s">
        <v>1</v>
      </c>
      <c r="B2" s="40"/>
      <c r="C2" s="40"/>
      <c r="D2" s="40"/>
      <c r="E2" s="40"/>
      <c r="F2" s="40"/>
      <c r="G2" s="40"/>
      <c r="H2" s="40"/>
    </row>
    <row r="4" spans="1:8">
      <c r="A4" s="1" t="s">
        <v>2</v>
      </c>
      <c r="B4" s="2" t="s">
        <v>3</v>
      </c>
      <c r="D4" s="41" t="s">
        <v>4</v>
      </c>
      <c r="E4" s="41"/>
      <c r="F4" s="41"/>
      <c r="G4" s="41"/>
      <c r="H4" s="41"/>
    </row>
    <row r="5" spans="1:8" ht="55.2">
      <c r="A5" s="3" t="s">
        <v>5</v>
      </c>
      <c r="B5" s="4" t="s">
        <v>6</v>
      </c>
      <c r="D5" s="8" t="s">
        <v>7</v>
      </c>
      <c r="E5" s="9" t="s">
        <v>8</v>
      </c>
      <c r="F5" s="9"/>
      <c r="G5" s="9"/>
      <c r="H5" s="10"/>
    </row>
    <row r="6" spans="1:8" ht="41.4">
      <c r="A6" s="3" t="s">
        <v>9</v>
      </c>
      <c r="B6" s="4">
        <v>46</v>
      </c>
      <c r="D6" s="11" t="s">
        <v>10</v>
      </c>
      <c r="E6" s="7" t="s">
        <v>11</v>
      </c>
      <c r="F6" s="7"/>
      <c r="G6" s="7"/>
      <c r="H6" s="12"/>
    </row>
    <row r="7" spans="1:8" ht="69">
      <c r="A7" s="3" t="s">
        <v>12</v>
      </c>
      <c r="B7" s="4">
        <v>75</v>
      </c>
      <c r="D7" s="11" t="s">
        <v>13</v>
      </c>
      <c r="E7" s="7" t="s">
        <v>14</v>
      </c>
      <c r="F7" s="7"/>
      <c r="G7" s="7"/>
      <c r="H7" s="12"/>
    </row>
    <row r="8" spans="1:8" ht="69">
      <c r="A8" s="3" t="s">
        <v>15</v>
      </c>
      <c r="B8" s="4" t="s">
        <v>16</v>
      </c>
      <c r="D8" s="11" t="s">
        <v>17</v>
      </c>
      <c r="E8" s="7" t="s">
        <v>18</v>
      </c>
      <c r="F8" s="7"/>
      <c r="G8" s="7"/>
      <c r="H8" s="12"/>
    </row>
    <row r="9" spans="1:8" ht="55.2">
      <c r="A9" s="5" t="s">
        <v>19</v>
      </c>
      <c r="B9" s="6" t="s">
        <v>20</v>
      </c>
      <c r="D9" s="11" t="s">
        <v>21</v>
      </c>
      <c r="E9" s="7" t="s">
        <v>22</v>
      </c>
      <c r="F9" s="7"/>
      <c r="G9" s="7"/>
      <c r="H9" s="12"/>
    </row>
    <row r="10" spans="1:8" ht="55.2">
      <c r="D10" s="13" t="s">
        <v>23</v>
      </c>
      <c r="E10" s="14" t="s">
        <v>24</v>
      </c>
      <c r="F10" s="14"/>
      <c r="G10" s="14"/>
      <c r="H10" s="15"/>
    </row>
    <row r="12" spans="1:8">
      <c r="A12" s="42" t="s">
        <v>25</v>
      </c>
      <c r="B12" s="42"/>
      <c r="C12" s="42"/>
      <c r="D12" s="42"/>
      <c r="E12" s="42"/>
      <c r="F12" s="42"/>
      <c r="G12" s="42"/>
      <c r="H12" s="42"/>
    </row>
    <row r="13" spans="1:8" ht="27.15" customHeight="1">
      <c r="A13" s="16" t="s">
        <v>26</v>
      </c>
      <c r="B13" s="43" t="s">
        <v>27</v>
      </c>
      <c r="C13" s="43"/>
      <c r="D13" s="43"/>
      <c r="E13" s="43"/>
      <c r="F13" s="43"/>
      <c r="G13" s="43"/>
      <c r="H13" s="44"/>
    </row>
    <row r="14" spans="1:8">
      <c r="A14" s="11" t="s">
        <v>28</v>
      </c>
      <c r="B14" s="37" t="s">
        <v>29</v>
      </c>
      <c r="C14" s="37"/>
      <c r="D14" s="37"/>
      <c r="E14" s="37"/>
      <c r="F14" s="37"/>
      <c r="G14" s="37"/>
      <c r="H14" s="38"/>
    </row>
    <row r="15" spans="1:8">
      <c r="A15" s="11" t="s">
        <v>30</v>
      </c>
      <c r="B15" s="37" t="s">
        <v>31</v>
      </c>
      <c r="C15" s="37"/>
      <c r="D15" s="37"/>
      <c r="E15" s="37"/>
      <c r="F15" s="37"/>
      <c r="G15" s="37"/>
      <c r="H15" s="38"/>
    </row>
    <row r="16" spans="1:8">
      <c r="A16" s="11" t="s">
        <v>32</v>
      </c>
      <c r="B16" s="37" t="s">
        <v>33</v>
      </c>
      <c r="C16" s="37"/>
      <c r="D16" s="37"/>
      <c r="E16" s="37"/>
      <c r="F16" s="37"/>
      <c r="G16" s="37"/>
      <c r="H16" s="38"/>
    </row>
    <row r="17" spans="1:8">
      <c r="A17" s="11" t="s">
        <v>34</v>
      </c>
      <c r="B17" s="37" t="s">
        <v>35</v>
      </c>
      <c r="C17" s="37"/>
      <c r="D17" s="37"/>
      <c r="E17" s="37"/>
      <c r="F17" s="37"/>
      <c r="G17" s="37"/>
      <c r="H17" s="38"/>
    </row>
    <row r="18" spans="1:8">
      <c r="A18" s="11" t="s">
        <v>36</v>
      </c>
      <c r="B18" s="37" t="s">
        <v>37</v>
      </c>
      <c r="C18" s="37"/>
      <c r="D18" s="37"/>
      <c r="E18" s="37"/>
      <c r="F18" s="37"/>
      <c r="G18" s="37"/>
      <c r="H18" s="38"/>
    </row>
    <row r="19" spans="1:8">
      <c r="A19" s="13" t="s">
        <v>38</v>
      </c>
      <c r="B19" s="35" t="s">
        <v>39</v>
      </c>
      <c r="C19" s="35"/>
      <c r="D19" s="35"/>
      <c r="E19" s="35"/>
      <c r="F19" s="35"/>
      <c r="G19" s="35"/>
      <c r="H19" s="36"/>
    </row>
  </sheetData>
  <mergeCells count="11">
    <mergeCell ref="A1:H1"/>
    <mergeCell ref="A2:H2"/>
    <mergeCell ref="D4:H4"/>
    <mergeCell ref="A12:H12"/>
    <mergeCell ref="B13:H13"/>
    <mergeCell ref="B19:H19"/>
    <mergeCell ref="B14:H14"/>
    <mergeCell ref="B15:H15"/>
    <mergeCell ref="B16:H16"/>
    <mergeCell ref="B17:H17"/>
    <mergeCell ref="B18:H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0"/>
  <sheetViews>
    <sheetView zoomScale="65" zoomScaleNormal="90" workbookViewId="0">
      <pane xSplit="2" ySplit="4" topLeftCell="C14" activePane="bottomRight" state="frozen"/>
      <selection pane="topRight" activeCell="C1" sqref="C1"/>
      <selection pane="bottomLeft" activeCell="A5" sqref="A5"/>
      <selection pane="bottomRight" activeCell="O29" sqref="O29"/>
    </sheetView>
  </sheetViews>
  <sheetFormatPr defaultRowHeight="13.8"/>
  <cols>
    <col min="1" max="1" width="6" customWidth="1"/>
    <col min="2" max="2" width="18" customWidth="1"/>
    <col min="3" max="3" width="9" customWidth="1"/>
    <col min="4" max="4" width="12" customWidth="1"/>
    <col min="5" max="5" width="13" customWidth="1"/>
    <col min="6" max="6" width="12" customWidth="1"/>
    <col min="7" max="7" width="13" customWidth="1"/>
    <col min="8" max="8" width="12" customWidth="1"/>
    <col min="9" max="9" width="11" customWidth="1"/>
    <col min="10" max="10" width="10" customWidth="1"/>
    <col min="11" max="11" width="15" customWidth="1"/>
    <col min="12" max="12" width="28" customWidth="1"/>
  </cols>
  <sheetData>
    <row r="1" spans="1:12" ht="24" customHeight="1">
      <c r="A1" s="39" t="s">
        <v>40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ht="14.4">
      <c r="A2" s="45" t="s">
        <v>41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4" spans="1:12" ht="27.15" customHeight="1">
      <c r="A4" s="16" t="s">
        <v>42</v>
      </c>
      <c r="B4" s="17" t="s">
        <v>43</v>
      </c>
      <c r="C4" s="17" t="s">
        <v>28</v>
      </c>
      <c r="D4" s="17" t="s">
        <v>44</v>
      </c>
      <c r="E4" s="17" t="s">
        <v>45</v>
      </c>
      <c r="F4" s="17" t="s">
        <v>46</v>
      </c>
      <c r="G4" s="17" t="s">
        <v>47</v>
      </c>
      <c r="H4" s="17" t="s">
        <v>48</v>
      </c>
      <c r="I4" s="17" t="s">
        <v>49</v>
      </c>
      <c r="J4" s="17" t="s">
        <v>50</v>
      </c>
      <c r="K4" s="17" t="s">
        <v>51</v>
      </c>
      <c r="L4" s="18" t="s">
        <v>52</v>
      </c>
    </row>
    <row r="5" spans="1:12">
      <c r="A5" s="21">
        <v>1</v>
      </c>
      <c r="B5" s="22" t="s">
        <v>53</v>
      </c>
      <c r="C5" s="22">
        <v>1</v>
      </c>
      <c r="D5" s="22">
        <v>2</v>
      </c>
      <c r="E5" s="22">
        <v>1</v>
      </c>
      <c r="F5" s="22">
        <v>1</v>
      </c>
      <c r="G5" s="22">
        <v>1</v>
      </c>
      <c r="H5" s="22">
        <v>1</v>
      </c>
      <c r="I5" s="22">
        <f t="shared" ref="I5:I50" si="0">IF(COUNTA(C5:H5)=0,"",SUM(C5:H5))</f>
        <v>7</v>
      </c>
      <c r="J5" s="22">
        <f>IF(I5="","",ROUND(I5/'Rekap &amp; Dashboard'!$B$7*100,2))</f>
        <v>29.17</v>
      </c>
      <c r="K5" s="22" t="str">
        <f>IF(J5="","",IF(J5&gt;='Rekap &amp; Dashboard'!$B$6,"Tuntas","Belum Tuntas"))</f>
        <v>Belum Tuntas</v>
      </c>
      <c r="L5" s="10"/>
    </row>
    <row r="6" spans="1:12">
      <c r="A6" s="23">
        <v>2</v>
      </c>
      <c r="B6" s="24" t="s">
        <v>54</v>
      </c>
      <c r="C6" s="22">
        <v>1</v>
      </c>
      <c r="D6" s="22">
        <v>1</v>
      </c>
      <c r="E6" s="22">
        <v>1</v>
      </c>
      <c r="F6" s="22">
        <v>1</v>
      </c>
      <c r="G6" s="22">
        <v>1</v>
      </c>
      <c r="H6" s="22">
        <v>1</v>
      </c>
      <c r="I6" s="24">
        <f t="shared" si="0"/>
        <v>6</v>
      </c>
      <c r="J6" s="24">
        <f>IF(I6="","",ROUND(I6/'Rekap &amp; Dashboard'!$B$7*100,2))</f>
        <v>25</v>
      </c>
      <c r="K6" s="24" t="str">
        <f>IF(J6="","",IF(J6&gt;='Rekap &amp; Dashboard'!$B$6,"Tuntas","Belum Tuntas"))</f>
        <v>Belum Tuntas</v>
      </c>
      <c r="L6" s="12"/>
    </row>
    <row r="7" spans="1:12">
      <c r="A7" s="23">
        <v>3</v>
      </c>
      <c r="B7" s="24" t="s">
        <v>55</v>
      </c>
      <c r="C7" s="22">
        <v>2</v>
      </c>
      <c r="D7" s="22">
        <v>2</v>
      </c>
      <c r="E7" s="22">
        <v>2</v>
      </c>
      <c r="F7" s="22">
        <v>1</v>
      </c>
      <c r="G7" s="22">
        <v>1</v>
      </c>
      <c r="H7" s="22">
        <v>2</v>
      </c>
      <c r="I7" s="24">
        <f t="shared" si="0"/>
        <v>10</v>
      </c>
      <c r="J7" s="24">
        <f>IF(I7="","",ROUND(I7/'Rekap &amp; Dashboard'!$B$7*100,2))</f>
        <v>41.67</v>
      </c>
      <c r="K7" s="24" t="str">
        <f>IF(J7="","",IF(J7&gt;='Rekap &amp; Dashboard'!$B$6,"Tuntas","Belum Tuntas"))</f>
        <v>Belum Tuntas</v>
      </c>
      <c r="L7" s="12"/>
    </row>
    <row r="8" spans="1:12">
      <c r="A8" s="23">
        <v>4</v>
      </c>
      <c r="B8" s="24" t="s">
        <v>56</v>
      </c>
      <c r="C8" s="22">
        <v>2</v>
      </c>
      <c r="D8" s="22">
        <v>3</v>
      </c>
      <c r="E8" s="22">
        <v>2</v>
      </c>
      <c r="F8" s="22">
        <v>1</v>
      </c>
      <c r="G8" s="22">
        <v>1</v>
      </c>
      <c r="H8" s="22">
        <v>2</v>
      </c>
      <c r="I8" s="24">
        <f t="shared" si="0"/>
        <v>11</v>
      </c>
      <c r="J8" s="24">
        <f>IF(I8="","",ROUND(I8/'Rekap &amp; Dashboard'!$B$7*100,2))</f>
        <v>45.83</v>
      </c>
      <c r="K8" s="24" t="str">
        <f>IF(J8="","",IF(J8&gt;='Rekap &amp; Dashboard'!$B$6,"Tuntas","Belum Tuntas"))</f>
        <v>Belum Tuntas</v>
      </c>
      <c r="L8" s="12"/>
    </row>
    <row r="9" spans="1:12">
      <c r="A9" s="23">
        <v>5</v>
      </c>
      <c r="B9" s="24" t="s">
        <v>57</v>
      </c>
      <c r="C9" s="22">
        <v>2</v>
      </c>
      <c r="D9" s="22">
        <v>3</v>
      </c>
      <c r="E9" s="22">
        <v>2</v>
      </c>
      <c r="F9" s="22">
        <v>1</v>
      </c>
      <c r="G9" s="22">
        <v>1</v>
      </c>
      <c r="H9" s="22">
        <v>2</v>
      </c>
      <c r="I9" s="24">
        <f t="shared" si="0"/>
        <v>11</v>
      </c>
      <c r="J9" s="24">
        <f>IF(I9="","",ROUND(I9/'Rekap &amp; Dashboard'!$B$7*100,2))</f>
        <v>45.83</v>
      </c>
      <c r="K9" s="24" t="str">
        <f>IF(J9="","",IF(J9&gt;='Rekap &amp; Dashboard'!$B$6,"Tuntas","Belum Tuntas"))</f>
        <v>Belum Tuntas</v>
      </c>
      <c r="L9" s="12"/>
    </row>
    <row r="10" spans="1:12">
      <c r="A10" s="23">
        <v>6</v>
      </c>
      <c r="B10" s="24" t="s">
        <v>58</v>
      </c>
      <c r="C10" s="22">
        <v>1</v>
      </c>
      <c r="D10" s="22">
        <v>1</v>
      </c>
      <c r="E10" s="22">
        <v>1</v>
      </c>
      <c r="F10" s="22">
        <v>1</v>
      </c>
      <c r="G10" s="22">
        <v>1</v>
      </c>
      <c r="H10" s="22">
        <v>1</v>
      </c>
      <c r="I10" s="24">
        <f t="shared" si="0"/>
        <v>6</v>
      </c>
      <c r="J10" s="24">
        <f>IF(I10="","",ROUND(I10/'Rekap &amp; Dashboard'!$B$7*100,2))</f>
        <v>25</v>
      </c>
      <c r="K10" s="24" t="str">
        <f>IF(J10="","",IF(J10&gt;='Rekap &amp; Dashboard'!$B$6,"Tuntas","Belum Tuntas"))</f>
        <v>Belum Tuntas</v>
      </c>
      <c r="L10" s="12"/>
    </row>
    <row r="11" spans="1:12">
      <c r="A11" s="23">
        <v>7</v>
      </c>
      <c r="B11" s="24" t="s">
        <v>59</v>
      </c>
      <c r="C11" s="22">
        <v>1</v>
      </c>
      <c r="D11" s="22">
        <v>1</v>
      </c>
      <c r="E11" s="22">
        <v>1</v>
      </c>
      <c r="F11" s="22">
        <v>1</v>
      </c>
      <c r="G11" s="22">
        <v>1</v>
      </c>
      <c r="H11" s="22">
        <v>1</v>
      </c>
      <c r="I11" s="24">
        <f t="shared" si="0"/>
        <v>6</v>
      </c>
      <c r="J11" s="24">
        <f>IF(I11="","",ROUND(I11/'Rekap &amp; Dashboard'!$B$7*100,2))</f>
        <v>25</v>
      </c>
      <c r="K11" s="24" t="str">
        <f>IF(J11="","",IF(J11&gt;='Rekap &amp; Dashboard'!$B$6,"Tuntas","Belum Tuntas"))</f>
        <v>Belum Tuntas</v>
      </c>
      <c r="L11" s="12"/>
    </row>
    <row r="12" spans="1:12">
      <c r="A12" s="23">
        <v>8</v>
      </c>
      <c r="B12" s="24" t="s">
        <v>60</v>
      </c>
      <c r="C12" s="22">
        <v>2</v>
      </c>
      <c r="D12" s="22">
        <v>2</v>
      </c>
      <c r="E12" s="22">
        <v>2</v>
      </c>
      <c r="F12" s="22">
        <v>1</v>
      </c>
      <c r="G12" s="22">
        <v>1</v>
      </c>
      <c r="H12" s="22">
        <v>2</v>
      </c>
      <c r="I12" s="24">
        <f t="shared" si="0"/>
        <v>10</v>
      </c>
      <c r="J12" s="24">
        <f>IF(I12="","",ROUND(I12/'Rekap &amp; Dashboard'!$B$7*100,2))</f>
        <v>41.67</v>
      </c>
      <c r="K12" s="24" t="str">
        <f>IF(J12="","",IF(J12&gt;='Rekap &amp; Dashboard'!$B$6,"Tuntas","Belum Tuntas"))</f>
        <v>Belum Tuntas</v>
      </c>
      <c r="L12" s="12"/>
    </row>
    <row r="13" spans="1:12">
      <c r="A13" s="23">
        <v>9</v>
      </c>
      <c r="B13" s="24" t="s">
        <v>61</v>
      </c>
      <c r="C13" s="22">
        <v>2</v>
      </c>
      <c r="D13" s="22">
        <v>2</v>
      </c>
      <c r="E13" s="22">
        <v>2</v>
      </c>
      <c r="F13" s="22">
        <v>1</v>
      </c>
      <c r="G13" s="22">
        <v>1</v>
      </c>
      <c r="H13" s="22">
        <v>2</v>
      </c>
      <c r="I13" s="24">
        <f t="shared" si="0"/>
        <v>10</v>
      </c>
      <c r="J13" s="24">
        <f>IF(I13="","",ROUND(I13/'Rekap &amp; Dashboard'!$B$7*100,2))</f>
        <v>41.67</v>
      </c>
      <c r="K13" s="24" t="str">
        <f>IF(J13="","",IF(J13&gt;='Rekap &amp; Dashboard'!$B$6,"Tuntas","Belum Tuntas"))</f>
        <v>Belum Tuntas</v>
      </c>
      <c r="L13" s="12"/>
    </row>
    <row r="14" spans="1:12">
      <c r="A14" s="23">
        <v>10</v>
      </c>
      <c r="B14" s="24" t="s">
        <v>62</v>
      </c>
      <c r="C14" s="22">
        <v>2</v>
      </c>
      <c r="D14" s="22">
        <v>3</v>
      </c>
      <c r="E14" s="22">
        <v>2</v>
      </c>
      <c r="F14" s="22">
        <v>1</v>
      </c>
      <c r="G14" s="22">
        <v>1</v>
      </c>
      <c r="H14" s="22">
        <v>2</v>
      </c>
      <c r="I14" s="24">
        <f t="shared" si="0"/>
        <v>11</v>
      </c>
      <c r="J14" s="24">
        <f>IF(I14="","",ROUND(I14/'Rekap &amp; Dashboard'!$B$7*100,2))</f>
        <v>45.83</v>
      </c>
      <c r="K14" s="24" t="str">
        <f>IF(J14="","",IF(J14&gt;='Rekap &amp; Dashboard'!$B$6,"Tuntas","Belum Tuntas"))</f>
        <v>Belum Tuntas</v>
      </c>
      <c r="L14" s="12"/>
    </row>
    <row r="15" spans="1:12">
      <c r="A15" s="23">
        <v>11</v>
      </c>
      <c r="B15" s="24" t="s">
        <v>63</v>
      </c>
      <c r="C15" s="22">
        <v>2</v>
      </c>
      <c r="D15" s="22">
        <v>2</v>
      </c>
      <c r="E15" s="22">
        <v>1</v>
      </c>
      <c r="F15" s="22">
        <v>1</v>
      </c>
      <c r="G15" s="22">
        <v>1</v>
      </c>
      <c r="H15" s="22">
        <v>2</v>
      </c>
      <c r="I15" s="24">
        <f t="shared" si="0"/>
        <v>9</v>
      </c>
      <c r="J15" s="24">
        <f>IF(I15="","",ROUND(I15/'Rekap &amp; Dashboard'!$B$7*100,2))</f>
        <v>37.5</v>
      </c>
      <c r="K15" s="24" t="str">
        <f>IF(J15="","",IF(J15&gt;='Rekap &amp; Dashboard'!$B$6,"Tuntas","Belum Tuntas"))</f>
        <v>Belum Tuntas</v>
      </c>
      <c r="L15" s="12"/>
    </row>
    <row r="16" spans="1:12">
      <c r="A16" s="23">
        <v>12</v>
      </c>
      <c r="B16" s="24" t="s">
        <v>64</v>
      </c>
      <c r="C16" s="22">
        <v>2</v>
      </c>
      <c r="D16" s="22">
        <v>2</v>
      </c>
      <c r="E16" s="22">
        <v>1</v>
      </c>
      <c r="F16" s="22">
        <v>1</v>
      </c>
      <c r="G16" s="22">
        <v>1</v>
      </c>
      <c r="H16" s="22">
        <v>2</v>
      </c>
      <c r="I16" s="24">
        <f t="shared" si="0"/>
        <v>9</v>
      </c>
      <c r="J16" s="24">
        <f>IF(I16="","",ROUND(I16/'Rekap &amp; Dashboard'!$B$7*100,2))</f>
        <v>37.5</v>
      </c>
      <c r="K16" s="24" t="str">
        <f>IF(J16="","",IF(J16&gt;='Rekap &amp; Dashboard'!$B$6,"Tuntas","Belum Tuntas"))</f>
        <v>Belum Tuntas</v>
      </c>
      <c r="L16" s="12"/>
    </row>
    <row r="17" spans="1:12">
      <c r="A17" s="23">
        <v>13</v>
      </c>
      <c r="B17" s="24" t="s">
        <v>65</v>
      </c>
      <c r="C17" s="22">
        <v>2</v>
      </c>
      <c r="D17" s="22">
        <v>3</v>
      </c>
      <c r="E17" s="22">
        <v>2</v>
      </c>
      <c r="F17" s="22">
        <v>1</v>
      </c>
      <c r="G17" s="22">
        <v>1</v>
      </c>
      <c r="H17" s="22">
        <v>2</v>
      </c>
      <c r="I17" s="24">
        <f t="shared" si="0"/>
        <v>11</v>
      </c>
      <c r="J17" s="24">
        <f>IF(I17="","",ROUND(I17/'Rekap &amp; Dashboard'!$B$7*100,2))</f>
        <v>45.83</v>
      </c>
      <c r="K17" s="24" t="str">
        <f>IF(J17="","",IF(J17&gt;='Rekap &amp; Dashboard'!$B$6,"Tuntas","Belum Tuntas"))</f>
        <v>Belum Tuntas</v>
      </c>
      <c r="L17" s="12"/>
    </row>
    <row r="18" spans="1:12">
      <c r="A18" s="23">
        <v>14</v>
      </c>
      <c r="B18" s="24" t="s">
        <v>66</v>
      </c>
      <c r="C18" s="22">
        <v>2</v>
      </c>
      <c r="D18" s="22">
        <v>3</v>
      </c>
      <c r="E18" s="22">
        <v>2</v>
      </c>
      <c r="F18" s="22">
        <v>2</v>
      </c>
      <c r="G18" s="22">
        <v>1</v>
      </c>
      <c r="H18" s="22">
        <v>2</v>
      </c>
      <c r="I18" s="24">
        <f t="shared" si="0"/>
        <v>12</v>
      </c>
      <c r="J18" s="24">
        <f>IF(I18="","",ROUND(I18/'Rekap &amp; Dashboard'!$B$7*100,2))</f>
        <v>50</v>
      </c>
      <c r="K18" s="24" t="str">
        <f>IF(J18="","",IF(J18&gt;='Rekap &amp; Dashboard'!$B$6,"Tuntas","Belum Tuntas"))</f>
        <v>Belum Tuntas</v>
      </c>
      <c r="L18" s="12"/>
    </row>
    <row r="19" spans="1:12">
      <c r="A19" s="23">
        <v>15</v>
      </c>
      <c r="B19" s="24" t="s">
        <v>67</v>
      </c>
      <c r="C19" s="22">
        <v>2</v>
      </c>
      <c r="D19" s="22">
        <v>2</v>
      </c>
      <c r="E19" s="22">
        <v>2</v>
      </c>
      <c r="F19" s="22">
        <v>1</v>
      </c>
      <c r="G19" s="22">
        <v>1</v>
      </c>
      <c r="H19" s="22">
        <v>2</v>
      </c>
      <c r="I19" s="24">
        <f t="shared" si="0"/>
        <v>10</v>
      </c>
      <c r="J19" s="24">
        <f>IF(I19="","",ROUND(I19/'Rekap &amp; Dashboard'!$B$7*100,2))</f>
        <v>41.67</v>
      </c>
      <c r="K19" s="24" t="str">
        <f>IF(J19="","",IF(J19&gt;='Rekap &amp; Dashboard'!$B$6,"Tuntas","Belum Tuntas"))</f>
        <v>Belum Tuntas</v>
      </c>
      <c r="L19" s="12"/>
    </row>
    <row r="20" spans="1:12">
      <c r="A20" s="23">
        <v>16</v>
      </c>
      <c r="B20" s="24" t="s">
        <v>68</v>
      </c>
      <c r="C20" s="22">
        <v>1</v>
      </c>
      <c r="D20" s="22">
        <v>2</v>
      </c>
      <c r="E20" s="22">
        <v>1</v>
      </c>
      <c r="F20" s="22">
        <v>1</v>
      </c>
      <c r="G20" s="22">
        <v>1</v>
      </c>
      <c r="H20" s="22">
        <v>1</v>
      </c>
      <c r="I20" s="24">
        <f t="shared" si="0"/>
        <v>7</v>
      </c>
      <c r="J20" s="24">
        <f>IF(I20="","",ROUND(I20/'Rekap &amp; Dashboard'!$B$7*100,2))</f>
        <v>29.17</v>
      </c>
      <c r="K20" s="24" t="str">
        <f>IF(J20="","",IF(J20&gt;='Rekap &amp; Dashboard'!$B$6,"Tuntas","Belum Tuntas"))</f>
        <v>Belum Tuntas</v>
      </c>
      <c r="L20" s="12"/>
    </row>
    <row r="21" spans="1:12">
      <c r="A21" s="23">
        <v>17</v>
      </c>
      <c r="B21" s="24" t="s">
        <v>69</v>
      </c>
      <c r="C21" s="22">
        <v>1</v>
      </c>
      <c r="D21" s="22">
        <v>1</v>
      </c>
      <c r="E21" s="22">
        <v>1</v>
      </c>
      <c r="F21" s="22">
        <v>1</v>
      </c>
      <c r="G21" s="22">
        <v>1</v>
      </c>
      <c r="H21" s="22">
        <v>1</v>
      </c>
      <c r="I21" s="24">
        <f t="shared" si="0"/>
        <v>6</v>
      </c>
      <c r="J21" s="24">
        <f>IF(I21="","",ROUND(I21/'Rekap &amp; Dashboard'!$B$7*100,2))</f>
        <v>25</v>
      </c>
      <c r="K21" s="24" t="str">
        <f>IF(J21="","",IF(J21&gt;='Rekap &amp; Dashboard'!$B$6,"Tuntas","Belum Tuntas"))</f>
        <v>Belum Tuntas</v>
      </c>
      <c r="L21" s="12"/>
    </row>
    <row r="22" spans="1:12">
      <c r="A22" s="23">
        <v>18</v>
      </c>
      <c r="B22" s="24" t="s">
        <v>70</v>
      </c>
      <c r="C22" s="22">
        <v>1</v>
      </c>
      <c r="D22" s="22">
        <v>1</v>
      </c>
      <c r="E22" s="22">
        <v>1</v>
      </c>
      <c r="F22" s="22">
        <v>1</v>
      </c>
      <c r="G22" s="22">
        <v>1</v>
      </c>
      <c r="H22" s="22">
        <v>1</v>
      </c>
      <c r="I22" s="24">
        <f t="shared" si="0"/>
        <v>6</v>
      </c>
      <c r="J22" s="24">
        <f>IF(I22="","",ROUND(I22/'Rekap &amp; Dashboard'!$B$7*100,2))</f>
        <v>25</v>
      </c>
      <c r="K22" s="24" t="str">
        <f>IF(J22="","",IF(J22&gt;='Rekap &amp; Dashboard'!$B$6,"Tuntas","Belum Tuntas"))</f>
        <v>Belum Tuntas</v>
      </c>
      <c r="L22" s="12"/>
    </row>
    <row r="23" spans="1:12">
      <c r="A23" s="23">
        <v>19</v>
      </c>
      <c r="B23" s="24" t="s">
        <v>71</v>
      </c>
      <c r="C23" s="22">
        <v>2</v>
      </c>
      <c r="D23" s="22">
        <v>2</v>
      </c>
      <c r="E23" s="22">
        <v>2</v>
      </c>
      <c r="F23" s="22">
        <v>1</v>
      </c>
      <c r="G23" s="22">
        <v>1</v>
      </c>
      <c r="H23" s="22">
        <v>2</v>
      </c>
      <c r="I23" s="24">
        <f t="shared" si="0"/>
        <v>10</v>
      </c>
      <c r="J23" s="24">
        <f>IF(I23="","",ROUND(I23/'Rekap &amp; Dashboard'!$B$7*100,2))</f>
        <v>41.67</v>
      </c>
      <c r="K23" s="24" t="str">
        <f>IF(J23="","",IF(J23&gt;='Rekap &amp; Dashboard'!$B$6,"Tuntas","Belum Tuntas"))</f>
        <v>Belum Tuntas</v>
      </c>
      <c r="L23" s="12"/>
    </row>
    <row r="24" spans="1:12">
      <c r="A24" s="23">
        <v>20</v>
      </c>
      <c r="B24" s="24" t="s">
        <v>72</v>
      </c>
      <c r="C24" s="22">
        <v>2</v>
      </c>
      <c r="D24" s="22">
        <v>2</v>
      </c>
      <c r="E24" s="22">
        <v>2</v>
      </c>
      <c r="F24" s="22">
        <v>1</v>
      </c>
      <c r="G24" s="22">
        <v>1</v>
      </c>
      <c r="H24" s="22">
        <v>2</v>
      </c>
      <c r="I24" s="24">
        <f t="shared" si="0"/>
        <v>10</v>
      </c>
      <c r="J24" s="24">
        <f>IF(I24="","",ROUND(I24/'Rekap &amp; Dashboard'!$B$7*100,2))</f>
        <v>41.67</v>
      </c>
      <c r="K24" s="24" t="str">
        <f>IF(J24="","",IF(J24&gt;='Rekap &amp; Dashboard'!$B$6,"Tuntas","Belum Tuntas"))</f>
        <v>Belum Tuntas</v>
      </c>
      <c r="L24" s="12"/>
    </row>
    <row r="25" spans="1:12">
      <c r="A25" s="23">
        <v>21</v>
      </c>
      <c r="B25" s="24" t="s">
        <v>73</v>
      </c>
      <c r="C25" s="22">
        <v>3</v>
      </c>
      <c r="D25" s="22">
        <v>4</v>
      </c>
      <c r="E25" s="22">
        <v>4</v>
      </c>
      <c r="F25" s="22">
        <v>2</v>
      </c>
      <c r="G25" s="22">
        <v>2</v>
      </c>
      <c r="H25" s="22">
        <v>3</v>
      </c>
      <c r="I25" s="24">
        <f t="shared" si="0"/>
        <v>18</v>
      </c>
      <c r="J25" s="24">
        <f>IF(I25="","",ROUND(I25/'Rekap &amp; Dashboard'!$B$7*100,2))</f>
        <v>75</v>
      </c>
      <c r="K25" s="24" t="str">
        <f>IF(J25="","",IF(J25&gt;='Rekap &amp; Dashboard'!$B$6,"Tuntas","Belum Tuntas"))</f>
        <v>Tuntas</v>
      </c>
      <c r="L25" s="12"/>
    </row>
    <row r="26" spans="1:12">
      <c r="A26" s="23">
        <v>22</v>
      </c>
      <c r="B26" s="24" t="s">
        <v>74</v>
      </c>
      <c r="C26" s="22">
        <v>1</v>
      </c>
      <c r="D26" s="22">
        <v>2</v>
      </c>
      <c r="E26" s="22">
        <v>1</v>
      </c>
      <c r="F26" s="22">
        <v>1</v>
      </c>
      <c r="G26" s="22">
        <v>1</v>
      </c>
      <c r="H26" s="22">
        <v>1</v>
      </c>
      <c r="I26" s="24">
        <f t="shared" si="0"/>
        <v>7</v>
      </c>
      <c r="J26" s="24">
        <f>IF(I26="","",ROUND(I26/'Rekap &amp; Dashboard'!$B$7*100,2))</f>
        <v>29.17</v>
      </c>
      <c r="K26" s="24" t="str">
        <f>IF(J26="","",IF(J26&gt;='Rekap &amp; Dashboard'!$B$6,"Tuntas","Belum Tuntas"))</f>
        <v>Belum Tuntas</v>
      </c>
      <c r="L26" s="12"/>
    </row>
    <row r="27" spans="1:12">
      <c r="A27" s="23">
        <v>23</v>
      </c>
      <c r="B27" s="24" t="s">
        <v>75</v>
      </c>
      <c r="C27" s="22">
        <v>2</v>
      </c>
      <c r="D27" s="22">
        <v>2</v>
      </c>
      <c r="E27" s="22">
        <v>1</v>
      </c>
      <c r="F27" s="22">
        <v>1</v>
      </c>
      <c r="G27" s="22">
        <v>1</v>
      </c>
      <c r="H27" s="22">
        <v>2</v>
      </c>
      <c r="I27" s="24">
        <f t="shared" si="0"/>
        <v>9</v>
      </c>
      <c r="J27" s="24">
        <f>IF(I27="","",ROUND(I27/'Rekap &amp; Dashboard'!$B$7*100,2))</f>
        <v>37.5</v>
      </c>
      <c r="K27" s="24" t="str">
        <f>IF(J27="","",IF(J27&gt;='Rekap &amp; Dashboard'!$B$6,"Tuntas","Belum Tuntas"))</f>
        <v>Belum Tuntas</v>
      </c>
      <c r="L27" s="12"/>
    </row>
    <row r="28" spans="1:12">
      <c r="A28" s="23">
        <v>24</v>
      </c>
      <c r="B28" s="24" t="s">
        <v>76</v>
      </c>
      <c r="C28" s="22">
        <v>2</v>
      </c>
      <c r="D28" s="22">
        <v>2</v>
      </c>
      <c r="E28" s="22">
        <v>1</v>
      </c>
      <c r="F28" s="22">
        <v>1</v>
      </c>
      <c r="G28" s="22">
        <v>1</v>
      </c>
      <c r="H28" s="22">
        <v>2</v>
      </c>
      <c r="I28" s="24">
        <f t="shared" si="0"/>
        <v>9</v>
      </c>
      <c r="J28" s="24">
        <f>IF(I28="","",ROUND(I28/'Rekap &amp; Dashboard'!$B$7*100,2))</f>
        <v>37.5</v>
      </c>
      <c r="K28" s="24" t="str">
        <f>IF(J28="","",IF(J28&gt;='Rekap &amp; Dashboard'!$B$6,"Tuntas","Belum Tuntas"))</f>
        <v>Belum Tuntas</v>
      </c>
      <c r="L28" s="12"/>
    </row>
    <row r="29" spans="1:12">
      <c r="A29" s="23">
        <v>25</v>
      </c>
      <c r="B29" s="24" t="s">
        <v>77</v>
      </c>
      <c r="C29" s="22">
        <v>4</v>
      </c>
      <c r="D29" s="22">
        <v>4</v>
      </c>
      <c r="E29" s="22">
        <v>3</v>
      </c>
      <c r="F29" s="22">
        <v>2</v>
      </c>
      <c r="G29" s="22">
        <v>2</v>
      </c>
      <c r="H29" s="22">
        <v>3</v>
      </c>
      <c r="I29" s="24">
        <f t="shared" si="0"/>
        <v>18</v>
      </c>
      <c r="J29" s="24">
        <f>IF(I29="","",ROUND(I29/'Rekap &amp; Dashboard'!$B$7*100,2))</f>
        <v>75</v>
      </c>
      <c r="K29" s="24" t="str">
        <f>IF(J29="","",IF(J29&gt;='Rekap &amp; Dashboard'!$B$6,"Tuntas","Belum Tuntas"))</f>
        <v>Tuntas</v>
      </c>
      <c r="L29" s="12"/>
    </row>
    <row r="30" spans="1:12">
      <c r="A30" s="23">
        <v>26</v>
      </c>
      <c r="B30" s="24" t="s">
        <v>78</v>
      </c>
      <c r="C30" s="22">
        <v>1</v>
      </c>
      <c r="D30" s="22">
        <v>1</v>
      </c>
      <c r="E30" s="22">
        <v>1</v>
      </c>
      <c r="F30" s="22">
        <v>1</v>
      </c>
      <c r="G30" s="22">
        <v>1</v>
      </c>
      <c r="H30" s="22">
        <v>1</v>
      </c>
      <c r="I30" s="24">
        <f t="shared" si="0"/>
        <v>6</v>
      </c>
      <c r="J30" s="24">
        <f>IF(I30="","",ROUND(I30/'Rekap &amp; Dashboard'!$B$7*100,2))</f>
        <v>25</v>
      </c>
      <c r="K30" s="24" t="str">
        <f>IF(J30="","",IF(J30&gt;='Rekap &amp; Dashboard'!$B$6,"Tuntas","Belum Tuntas"))</f>
        <v>Belum Tuntas</v>
      </c>
      <c r="L30" s="12"/>
    </row>
    <row r="31" spans="1:12">
      <c r="A31" s="23">
        <v>27</v>
      </c>
      <c r="B31" s="24" t="s">
        <v>79</v>
      </c>
      <c r="C31" s="22">
        <v>1</v>
      </c>
      <c r="D31" s="22">
        <v>1</v>
      </c>
      <c r="E31" s="22">
        <v>1</v>
      </c>
      <c r="F31" s="22">
        <v>1</v>
      </c>
      <c r="G31" s="22">
        <v>1</v>
      </c>
      <c r="H31" s="22">
        <v>1</v>
      </c>
      <c r="I31" s="24">
        <f t="shared" si="0"/>
        <v>6</v>
      </c>
      <c r="J31" s="24">
        <f>IF(I31="","",ROUND(I31/'Rekap &amp; Dashboard'!$B$7*100,2))</f>
        <v>25</v>
      </c>
      <c r="K31" s="24" t="str">
        <f>IF(J31="","",IF(J31&gt;='Rekap &amp; Dashboard'!$B$6,"Tuntas","Belum Tuntas"))</f>
        <v>Belum Tuntas</v>
      </c>
      <c r="L31" s="12"/>
    </row>
    <row r="32" spans="1:12">
      <c r="A32" s="23">
        <v>28</v>
      </c>
      <c r="B32" s="24" t="s">
        <v>80</v>
      </c>
      <c r="C32" s="22">
        <v>2</v>
      </c>
      <c r="D32" s="22">
        <v>3</v>
      </c>
      <c r="E32" s="22">
        <v>2</v>
      </c>
      <c r="F32" s="22">
        <v>1</v>
      </c>
      <c r="G32" s="22">
        <v>1</v>
      </c>
      <c r="H32" s="22">
        <v>2</v>
      </c>
      <c r="I32" s="24">
        <f t="shared" si="0"/>
        <v>11</v>
      </c>
      <c r="J32" s="24">
        <f>IF(I32="","",ROUND(I32/'Rekap &amp; Dashboard'!$B$7*100,2))</f>
        <v>45.83</v>
      </c>
      <c r="K32" s="24" t="str">
        <f>IF(J32="","",IF(J32&gt;='Rekap &amp; Dashboard'!$B$6,"Tuntas","Belum Tuntas"))</f>
        <v>Belum Tuntas</v>
      </c>
      <c r="L32" s="12"/>
    </row>
    <row r="33" spans="1:12">
      <c r="A33" s="23">
        <v>29</v>
      </c>
      <c r="B33" s="24" t="s">
        <v>81</v>
      </c>
      <c r="C33" s="22">
        <v>2</v>
      </c>
      <c r="D33" s="22">
        <v>2</v>
      </c>
      <c r="E33" s="22">
        <v>2</v>
      </c>
      <c r="F33" s="22">
        <v>1</v>
      </c>
      <c r="G33" s="22">
        <v>1</v>
      </c>
      <c r="H33" s="22">
        <v>2</v>
      </c>
      <c r="I33" s="24">
        <f t="shared" si="0"/>
        <v>10</v>
      </c>
      <c r="J33" s="24">
        <f>IF(I33="","",ROUND(I33/'Rekap &amp; Dashboard'!$B$7*100,2))</f>
        <v>41.67</v>
      </c>
      <c r="K33" s="24" t="str">
        <f>IF(J33="","",IF(J33&gt;='Rekap &amp; Dashboard'!$B$6,"Tuntas","Belum Tuntas"))</f>
        <v>Belum Tuntas</v>
      </c>
      <c r="L33" s="12"/>
    </row>
    <row r="34" spans="1:12">
      <c r="A34" s="23">
        <v>30</v>
      </c>
      <c r="B34" s="24" t="s">
        <v>82</v>
      </c>
      <c r="C34" s="22">
        <v>2</v>
      </c>
      <c r="D34" s="22">
        <v>2</v>
      </c>
      <c r="E34" s="22">
        <v>2</v>
      </c>
      <c r="F34" s="22">
        <v>1</v>
      </c>
      <c r="G34" s="22">
        <v>1</v>
      </c>
      <c r="H34" s="22">
        <v>2</v>
      </c>
      <c r="I34" s="24">
        <f t="shared" si="0"/>
        <v>10</v>
      </c>
      <c r="J34" s="24">
        <f>IF(I34="","",ROUND(I34/'Rekap &amp; Dashboard'!$B$7*100,2))</f>
        <v>41.67</v>
      </c>
      <c r="K34" s="24" t="str">
        <f>IF(J34="","",IF(J34&gt;='Rekap &amp; Dashboard'!$B$6,"Tuntas","Belum Tuntas"))</f>
        <v>Belum Tuntas</v>
      </c>
      <c r="L34" s="12"/>
    </row>
    <row r="35" spans="1:12">
      <c r="A35" s="23">
        <v>31</v>
      </c>
      <c r="B35" s="24" t="s">
        <v>83</v>
      </c>
      <c r="C35" s="22">
        <v>2</v>
      </c>
      <c r="D35" s="22">
        <v>2</v>
      </c>
      <c r="E35" s="22">
        <v>1</v>
      </c>
      <c r="F35" s="22">
        <v>1</v>
      </c>
      <c r="G35" s="22">
        <v>1</v>
      </c>
      <c r="H35" s="22">
        <v>1</v>
      </c>
      <c r="I35" s="24">
        <f t="shared" si="0"/>
        <v>8</v>
      </c>
      <c r="J35" s="24">
        <f>IF(I35="","",ROUND(I35/'Rekap &amp; Dashboard'!$B$7*100,2))</f>
        <v>33.33</v>
      </c>
      <c r="K35" s="24" t="str">
        <f>IF(J35="","",IF(J35&gt;='Rekap &amp; Dashboard'!$B$6,"Tuntas","Belum Tuntas"))</f>
        <v>Belum Tuntas</v>
      </c>
      <c r="L35" s="12"/>
    </row>
    <row r="36" spans="1:12">
      <c r="A36" s="23">
        <v>32</v>
      </c>
      <c r="B36" s="24" t="s">
        <v>84</v>
      </c>
      <c r="C36" s="22">
        <v>4</v>
      </c>
      <c r="D36" s="22">
        <v>4</v>
      </c>
      <c r="E36" s="22">
        <v>3</v>
      </c>
      <c r="F36" s="22">
        <v>2</v>
      </c>
      <c r="G36" s="22">
        <v>2</v>
      </c>
      <c r="H36" s="22">
        <v>3</v>
      </c>
      <c r="I36" s="24">
        <f t="shared" si="0"/>
        <v>18</v>
      </c>
      <c r="J36" s="24">
        <f>IF(I36="","",ROUND(I36/'Rekap &amp; Dashboard'!$B$7*100,2))</f>
        <v>75</v>
      </c>
      <c r="K36" s="24" t="str">
        <f>IF(J36="","",IF(J36&gt;='Rekap &amp; Dashboard'!$B$6,"Tuntas","Belum Tuntas"))</f>
        <v>Tuntas</v>
      </c>
      <c r="L36" s="12"/>
    </row>
    <row r="37" spans="1:12">
      <c r="A37" s="23">
        <v>33</v>
      </c>
      <c r="B37" s="24" t="s">
        <v>85</v>
      </c>
      <c r="C37" s="22">
        <v>2</v>
      </c>
      <c r="D37" s="22">
        <v>2</v>
      </c>
      <c r="E37" s="22">
        <v>2</v>
      </c>
      <c r="F37" s="22">
        <v>1</v>
      </c>
      <c r="G37" s="22">
        <v>1</v>
      </c>
      <c r="H37" s="22">
        <v>2</v>
      </c>
      <c r="I37" s="24">
        <f t="shared" si="0"/>
        <v>10</v>
      </c>
      <c r="J37" s="24">
        <f>IF(I37="","",ROUND(I37/'Rekap &amp; Dashboard'!$B$7*100,2))</f>
        <v>41.67</v>
      </c>
      <c r="K37" s="24" t="str">
        <f>IF(J37="","",IF(J37&gt;='Rekap &amp; Dashboard'!$B$6,"Tuntas","Belum Tuntas"))</f>
        <v>Belum Tuntas</v>
      </c>
      <c r="L37" s="12"/>
    </row>
    <row r="38" spans="1:12">
      <c r="A38" s="23">
        <v>34</v>
      </c>
      <c r="B38" s="24" t="s">
        <v>86</v>
      </c>
      <c r="C38" s="22">
        <v>2</v>
      </c>
      <c r="D38" s="22">
        <v>3</v>
      </c>
      <c r="E38" s="22">
        <v>2</v>
      </c>
      <c r="F38" s="22">
        <v>1</v>
      </c>
      <c r="G38" s="22">
        <v>1</v>
      </c>
      <c r="H38" s="22">
        <v>2</v>
      </c>
      <c r="I38" s="24">
        <f t="shared" si="0"/>
        <v>11</v>
      </c>
      <c r="J38" s="24">
        <f>IF(I38="","",ROUND(I38/'Rekap &amp; Dashboard'!$B$7*100,2))</f>
        <v>45.83</v>
      </c>
      <c r="K38" s="24" t="str">
        <f>IF(J38="","",IF(J38&gt;='Rekap &amp; Dashboard'!$B$6,"Tuntas","Belum Tuntas"))</f>
        <v>Belum Tuntas</v>
      </c>
      <c r="L38" s="12"/>
    </row>
    <row r="39" spans="1:12">
      <c r="A39" s="23">
        <v>35</v>
      </c>
      <c r="B39" s="24" t="s">
        <v>87</v>
      </c>
      <c r="C39" s="22">
        <v>2</v>
      </c>
      <c r="D39" s="22">
        <v>2</v>
      </c>
      <c r="E39" s="22">
        <v>1</v>
      </c>
      <c r="F39" s="22">
        <v>1</v>
      </c>
      <c r="G39" s="22">
        <v>1</v>
      </c>
      <c r="H39" s="22">
        <v>1</v>
      </c>
      <c r="I39" s="24">
        <f t="shared" si="0"/>
        <v>8</v>
      </c>
      <c r="J39" s="24">
        <f>IF(I39="","",ROUND(I39/'Rekap &amp; Dashboard'!$B$7*100,2))</f>
        <v>33.33</v>
      </c>
      <c r="K39" s="24" t="str">
        <f>IF(J39="","",IF(J39&gt;='Rekap &amp; Dashboard'!$B$6,"Tuntas","Belum Tuntas"))</f>
        <v>Belum Tuntas</v>
      </c>
      <c r="L39" s="12"/>
    </row>
    <row r="40" spans="1:12">
      <c r="A40" s="23">
        <v>36</v>
      </c>
      <c r="B40" s="24" t="s">
        <v>88</v>
      </c>
      <c r="C40" s="22">
        <v>2</v>
      </c>
      <c r="D40" s="22">
        <v>2</v>
      </c>
      <c r="E40" s="22">
        <v>2</v>
      </c>
      <c r="F40" s="22">
        <v>1</v>
      </c>
      <c r="G40" s="22">
        <v>1</v>
      </c>
      <c r="H40" s="22">
        <v>1</v>
      </c>
      <c r="I40" s="24">
        <f t="shared" si="0"/>
        <v>9</v>
      </c>
      <c r="J40" s="24">
        <f>IF(I40="","",ROUND(I40/'Rekap &amp; Dashboard'!$B$7*100,2))</f>
        <v>37.5</v>
      </c>
      <c r="K40" s="24" t="str">
        <f>IF(J40="","",IF(J40&gt;='Rekap &amp; Dashboard'!$B$6,"Tuntas","Belum Tuntas"))</f>
        <v>Belum Tuntas</v>
      </c>
      <c r="L40" s="12"/>
    </row>
    <row r="41" spans="1:12">
      <c r="A41" s="23">
        <v>37</v>
      </c>
      <c r="B41" s="24" t="s">
        <v>89</v>
      </c>
      <c r="C41" s="22">
        <v>1</v>
      </c>
      <c r="D41" s="22">
        <v>1</v>
      </c>
      <c r="E41" s="22">
        <v>1</v>
      </c>
      <c r="F41" s="22">
        <v>1</v>
      </c>
      <c r="G41" s="22">
        <v>1</v>
      </c>
      <c r="H41" s="22">
        <v>1</v>
      </c>
      <c r="I41" s="24">
        <f t="shared" si="0"/>
        <v>6</v>
      </c>
      <c r="J41" s="24">
        <f>IF(I41="","",ROUND(I41/'Rekap &amp; Dashboard'!$B$7*100,2))</f>
        <v>25</v>
      </c>
      <c r="K41" s="24" t="str">
        <f>IF(J41="","",IF(J41&gt;='Rekap &amp; Dashboard'!$B$6,"Tuntas","Belum Tuntas"))</f>
        <v>Belum Tuntas</v>
      </c>
      <c r="L41" s="12"/>
    </row>
    <row r="42" spans="1:12">
      <c r="A42" s="23">
        <v>38</v>
      </c>
      <c r="B42" s="24" t="s">
        <v>90</v>
      </c>
      <c r="C42" s="22">
        <v>1</v>
      </c>
      <c r="D42" s="22">
        <v>1</v>
      </c>
      <c r="E42" s="22">
        <v>1</v>
      </c>
      <c r="F42" s="22">
        <v>1</v>
      </c>
      <c r="G42" s="22">
        <v>1</v>
      </c>
      <c r="H42" s="22">
        <v>1</v>
      </c>
      <c r="I42" s="24">
        <f t="shared" si="0"/>
        <v>6</v>
      </c>
      <c r="J42" s="24">
        <f>IF(I42="","",ROUND(I42/'Rekap &amp; Dashboard'!$B$7*100,2))</f>
        <v>25</v>
      </c>
      <c r="K42" s="24" t="str">
        <f>IF(J42="","",IF(J42&gt;='Rekap &amp; Dashboard'!$B$6,"Tuntas","Belum Tuntas"))</f>
        <v>Belum Tuntas</v>
      </c>
      <c r="L42" s="12"/>
    </row>
    <row r="43" spans="1:12">
      <c r="A43" s="23">
        <v>39</v>
      </c>
      <c r="B43" s="24" t="s">
        <v>91</v>
      </c>
      <c r="C43" s="22">
        <v>2</v>
      </c>
      <c r="D43" s="22">
        <v>2</v>
      </c>
      <c r="E43" s="22">
        <v>1</v>
      </c>
      <c r="F43" s="22">
        <v>1</v>
      </c>
      <c r="G43" s="22">
        <v>1</v>
      </c>
      <c r="H43" s="22">
        <v>1</v>
      </c>
      <c r="I43" s="24">
        <f t="shared" si="0"/>
        <v>8</v>
      </c>
      <c r="J43" s="24">
        <f>IF(I43="","",ROUND(I43/'Rekap &amp; Dashboard'!$B$7*100,2))</f>
        <v>33.33</v>
      </c>
      <c r="K43" s="24" t="str">
        <f>IF(J43="","",IF(J43&gt;='Rekap &amp; Dashboard'!$B$6,"Tuntas","Belum Tuntas"))</f>
        <v>Belum Tuntas</v>
      </c>
      <c r="L43" s="12"/>
    </row>
    <row r="44" spans="1:12">
      <c r="A44" s="23">
        <v>40</v>
      </c>
      <c r="B44" s="24" t="s">
        <v>92</v>
      </c>
      <c r="C44" s="22">
        <v>2</v>
      </c>
      <c r="D44" s="22">
        <v>2</v>
      </c>
      <c r="E44" s="22">
        <v>2</v>
      </c>
      <c r="F44" s="22">
        <v>1</v>
      </c>
      <c r="G44" s="22">
        <v>1</v>
      </c>
      <c r="H44" s="22">
        <v>1</v>
      </c>
      <c r="I44" s="24">
        <f t="shared" si="0"/>
        <v>9</v>
      </c>
      <c r="J44" s="24">
        <f>IF(I44="","",ROUND(I44/'Rekap &amp; Dashboard'!$B$7*100,2))</f>
        <v>37.5</v>
      </c>
      <c r="K44" s="24" t="str">
        <f>IF(J44="","",IF(J44&gt;='Rekap &amp; Dashboard'!$B$6,"Tuntas","Belum Tuntas"))</f>
        <v>Belum Tuntas</v>
      </c>
      <c r="L44" s="12"/>
    </row>
    <row r="45" spans="1:12">
      <c r="A45" s="23">
        <v>41</v>
      </c>
      <c r="B45" s="24" t="s">
        <v>93</v>
      </c>
      <c r="C45" s="22">
        <v>1</v>
      </c>
      <c r="D45" s="22">
        <v>2</v>
      </c>
      <c r="E45" s="22">
        <v>1</v>
      </c>
      <c r="F45" s="22">
        <v>1</v>
      </c>
      <c r="G45" s="22">
        <v>1</v>
      </c>
      <c r="H45" s="22">
        <v>2</v>
      </c>
      <c r="I45" s="24">
        <f t="shared" si="0"/>
        <v>8</v>
      </c>
      <c r="J45" s="24">
        <f>IF(I45="","",ROUND(I45/'Rekap &amp; Dashboard'!$B$7*100,2))</f>
        <v>33.33</v>
      </c>
      <c r="K45" s="24" t="str">
        <f>IF(J45="","",IF(J45&gt;='Rekap &amp; Dashboard'!$B$6,"Tuntas","Belum Tuntas"))</f>
        <v>Belum Tuntas</v>
      </c>
      <c r="L45" s="12"/>
    </row>
    <row r="46" spans="1:12">
      <c r="A46" s="23">
        <v>42</v>
      </c>
      <c r="B46" s="24" t="s">
        <v>94</v>
      </c>
      <c r="C46" s="22">
        <v>4</v>
      </c>
      <c r="D46" s="22">
        <v>4</v>
      </c>
      <c r="E46" s="22">
        <v>3</v>
      </c>
      <c r="F46" s="22">
        <v>2</v>
      </c>
      <c r="G46" s="22">
        <v>2</v>
      </c>
      <c r="H46" s="22">
        <v>3</v>
      </c>
      <c r="I46" s="24">
        <f t="shared" si="0"/>
        <v>18</v>
      </c>
      <c r="J46" s="24">
        <f>IF(I46="","",ROUND(I46/'Rekap &amp; Dashboard'!$B$7*100,2))</f>
        <v>75</v>
      </c>
      <c r="K46" s="24" t="str">
        <f>IF(J46="","",IF(J46&gt;='Rekap &amp; Dashboard'!$B$6,"Tuntas","Belum Tuntas"))</f>
        <v>Tuntas</v>
      </c>
      <c r="L46" s="12"/>
    </row>
    <row r="47" spans="1:12">
      <c r="A47" s="23">
        <v>43</v>
      </c>
      <c r="B47" s="24" t="s">
        <v>95</v>
      </c>
      <c r="C47" s="22">
        <v>1</v>
      </c>
      <c r="D47" s="22">
        <v>2</v>
      </c>
      <c r="E47" s="22">
        <v>1</v>
      </c>
      <c r="F47" s="22">
        <v>1</v>
      </c>
      <c r="G47" s="22">
        <v>1</v>
      </c>
      <c r="H47" s="22">
        <v>1</v>
      </c>
      <c r="I47" s="24">
        <f t="shared" si="0"/>
        <v>7</v>
      </c>
      <c r="J47" s="24">
        <f>IF(I47="","",ROUND(I47/'Rekap &amp; Dashboard'!$B$7*100,2))</f>
        <v>29.17</v>
      </c>
      <c r="K47" s="24" t="str">
        <f>IF(J47="","",IF(J47&gt;='Rekap &amp; Dashboard'!$B$6,"Tuntas","Belum Tuntas"))</f>
        <v>Belum Tuntas</v>
      </c>
      <c r="L47" s="12"/>
    </row>
    <row r="48" spans="1:12">
      <c r="A48" s="23">
        <v>44</v>
      </c>
      <c r="B48" s="24" t="s">
        <v>96</v>
      </c>
      <c r="C48" s="22">
        <v>1</v>
      </c>
      <c r="D48" s="22">
        <v>1</v>
      </c>
      <c r="E48" s="22">
        <v>1</v>
      </c>
      <c r="F48" s="22">
        <v>1</v>
      </c>
      <c r="G48" s="22">
        <v>1</v>
      </c>
      <c r="H48" s="22">
        <v>1</v>
      </c>
      <c r="I48" s="24">
        <f t="shared" si="0"/>
        <v>6</v>
      </c>
      <c r="J48" s="24">
        <f>IF(I48="","",ROUND(I48/'Rekap &amp; Dashboard'!$B$7*100,2))</f>
        <v>25</v>
      </c>
      <c r="K48" s="24" t="str">
        <f>IF(J48="","",IF(J48&gt;='Rekap &amp; Dashboard'!$B$6,"Tuntas","Belum Tuntas"))</f>
        <v>Belum Tuntas</v>
      </c>
      <c r="L48" s="12"/>
    </row>
    <row r="49" spans="1:12">
      <c r="A49" s="23">
        <v>45</v>
      </c>
      <c r="B49" s="24" t="s">
        <v>97</v>
      </c>
      <c r="C49" s="22">
        <v>1</v>
      </c>
      <c r="D49" s="22">
        <v>2</v>
      </c>
      <c r="E49" s="22">
        <v>1</v>
      </c>
      <c r="F49" s="22">
        <v>1</v>
      </c>
      <c r="G49" s="22">
        <v>1</v>
      </c>
      <c r="H49" s="22">
        <v>2</v>
      </c>
      <c r="I49" s="24">
        <f t="shared" si="0"/>
        <v>8</v>
      </c>
      <c r="J49" s="24">
        <f>IF(I49="","",ROUND(I49/'Rekap &amp; Dashboard'!$B$7*100,2))</f>
        <v>33.33</v>
      </c>
      <c r="K49" s="24" t="str">
        <f>IF(J49="","",IF(J49&gt;='Rekap &amp; Dashboard'!$B$6,"Tuntas","Belum Tuntas"))</f>
        <v>Belum Tuntas</v>
      </c>
      <c r="L49" s="12"/>
    </row>
    <row r="50" spans="1:12">
      <c r="A50" s="25">
        <v>46</v>
      </c>
      <c r="B50" s="26" t="s">
        <v>98</v>
      </c>
      <c r="C50" s="22">
        <v>4</v>
      </c>
      <c r="D50" s="22">
        <v>4</v>
      </c>
      <c r="E50" s="22">
        <v>3</v>
      </c>
      <c r="F50" s="22">
        <v>2</v>
      </c>
      <c r="G50" s="22">
        <v>2</v>
      </c>
      <c r="H50" s="22">
        <v>3</v>
      </c>
      <c r="I50" s="26">
        <f t="shared" si="0"/>
        <v>18</v>
      </c>
      <c r="J50" s="26">
        <f>IF(I50="","",ROUND(I50/'Rekap &amp; Dashboard'!$B$7*100,2))</f>
        <v>75</v>
      </c>
      <c r="K50" s="26" t="str">
        <f>IF(J50="","",IF(J50&gt;='Rekap &amp; Dashboard'!$B$6,"Tuntas","Belum Tuntas"))</f>
        <v>Tuntas</v>
      </c>
      <c r="L50" s="15"/>
    </row>
  </sheetData>
  <mergeCells count="2">
    <mergeCell ref="A1:L1"/>
    <mergeCell ref="A2:L2"/>
  </mergeCells>
  <conditionalFormatting sqref="C5:H50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K5:K50">
    <cfRule type="expression" dxfId="1" priority="2">
      <formula>K5="Tuntas"</formula>
    </cfRule>
    <cfRule type="expression" dxfId="0" priority="3">
      <formula>K5="Belum Tuntas"</formula>
    </cfRule>
  </conditionalFormatting>
  <dataValidations count="1">
    <dataValidation type="list" sqref="C5:H50" xr:uid="{00000000-0002-0000-0100-000000000000}">
      <formula1>"1,2,3,4"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0"/>
  <sheetViews>
    <sheetView topLeftCell="A25" workbookViewId="0">
      <selection activeCell="G52" sqref="G52"/>
    </sheetView>
  </sheetViews>
  <sheetFormatPr defaultRowHeight="13.8"/>
  <cols>
    <col min="1" max="1" width="6" customWidth="1"/>
    <col min="2" max="2" width="18" customWidth="1"/>
    <col min="3" max="7" width="7" customWidth="1"/>
    <col min="8" max="8" width="9" customWidth="1"/>
    <col min="9" max="9" width="11" customWidth="1"/>
    <col min="10" max="10" width="18" customWidth="1"/>
    <col min="11" max="11" width="28" customWidth="1"/>
    <col min="13" max="13" width="8" customWidth="1"/>
    <col min="14" max="14" width="42" customWidth="1"/>
  </cols>
  <sheetData>
    <row r="1" spans="1:14" ht="24" customHeight="1">
      <c r="A1" s="39" t="s">
        <v>99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4" ht="27.15" customHeight="1">
      <c r="A2" s="46" t="s">
        <v>100</v>
      </c>
      <c r="B2" s="46"/>
      <c r="C2" s="46"/>
      <c r="D2" s="46"/>
      <c r="E2" s="46"/>
      <c r="F2" s="46"/>
      <c r="G2" s="46"/>
      <c r="H2" s="46"/>
      <c r="I2" s="46"/>
      <c r="J2" s="46"/>
      <c r="K2" s="46"/>
      <c r="M2" s="16" t="s">
        <v>26</v>
      </c>
      <c r="N2" s="18" t="s">
        <v>101</v>
      </c>
    </row>
    <row r="3" spans="1:14" ht="27.6">
      <c r="M3" s="11" t="s">
        <v>102</v>
      </c>
      <c r="N3" s="12" t="s">
        <v>103</v>
      </c>
    </row>
    <row r="4" spans="1:14" ht="27.15" customHeight="1">
      <c r="A4" s="16" t="s">
        <v>42</v>
      </c>
      <c r="B4" s="17" t="s">
        <v>43</v>
      </c>
      <c r="C4" s="17" t="s">
        <v>102</v>
      </c>
      <c r="D4" s="17" t="s">
        <v>104</v>
      </c>
      <c r="E4" s="17" t="s">
        <v>105</v>
      </c>
      <c r="F4" s="17" t="s">
        <v>106</v>
      </c>
      <c r="G4" s="17" t="s">
        <v>107</v>
      </c>
      <c r="H4" s="17" t="s">
        <v>108</v>
      </c>
      <c r="I4" s="17" t="s">
        <v>109</v>
      </c>
      <c r="J4" s="17" t="s">
        <v>110</v>
      </c>
      <c r="K4" s="18" t="s">
        <v>111</v>
      </c>
      <c r="M4" s="11" t="s">
        <v>104</v>
      </c>
      <c r="N4" s="12" t="s">
        <v>112</v>
      </c>
    </row>
    <row r="5" spans="1:14" ht="27.6">
      <c r="A5" s="21">
        <v>1</v>
      </c>
      <c r="B5" s="22" t="s">
        <v>53</v>
      </c>
      <c r="C5" s="22">
        <v>3</v>
      </c>
      <c r="D5" s="22">
        <v>2</v>
      </c>
      <c r="E5" s="22">
        <v>1</v>
      </c>
      <c r="F5" s="22">
        <v>2</v>
      </c>
      <c r="G5" s="22">
        <v>2</v>
      </c>
      <c r="H5" s="22">
        <f t="shared" ref="H5:H50" si="0">IF(COUNTA(C5:G5)=0,"",SUM(C5:G5))</f>
        <v>10</v>
      </c>
      <c r="I5" s="22">
        <f t="shared" ref="I5:I50" si="1">IF(H5="","",ROUND(H5/5,2))</f>
        <v>2</v>
      </c>
      <c r="J5" s="22" t="str">
        <f t="shared" ref="J5:J50" si="2">IF(I5="","",IF(I5&gt;=3.26,"Sangat Mandiri",IF(I5&gt;=2.51,"Mandiri",IF(I5&gt;=1.76,"Kurang Mandiri","Belum Mandiri"))))</f>
        <v>Kurang Mandiri</v>
      </c>
      <c r="K5" s="10"/>
      <c r="M5" s="11" t="s">
        <v>105</v>
      </c>
      <c r="N5" s="12" t="s">
        <v>113</v>
      </c>
    </row>
    <row r="6" spans="1:14">
      <c r="A6" s="23">
        <v>2</v>
      </c>
      <c r="B6" s="24" t="s">
        <v>54</v>
      </c>
      <c r="C6" s="22">
        <v>3</v>
      </c>
      <c r="D6" s="22">
        <v>1</v>
      </c>
      <c r="E6" s="22">
        <v>1</v>
      </c>
      <c r="F6" s="22">
        <v>2</v>
      </c>
      <c r="G6" s="22">
        <v>3</v>
      </c>
      <c r="H6" s="24">
        <f t="shared" si="0"/>
        <v>10</v>
      </c>
      <c r="I6" s="24">
        <f t="shared" si="1"/>
        <v>2</v>
      </c>
      <c r="J6" s="24" t="str">
        <f t="shared" si="2"/>
        <v>Kurang Mandiri</v>
      </c>
      <c r="K6" s="12"/>
      <c r="M6" s="11" t="s">
        <v>106</v>
      </c>
      <c r="N6" s="12" t="s">
        <v>114</v>
      </c>
    </row>
    <row r="7" spans="1:14">
      <c r="A7" s="23">
        <v>3</v>
      </c>
      <c r="B7" s="24" t="s">
        <v>55</v>
      </c>
      <c r="C7" s="22">
        <v>3</v>
      </c>
      <c r="D7" s="22">
        <v>2</v>
      </c>
      <c r="E7" s="22">
        <v>1</v>
      </c>
      <c r="F7" s="22">
        <v>2</v>
      </c>
      <c r="G7" s="22">
        <v>2</v>
      </c>
      <c r="H7" s="24">
        <f t="shared" si="0"/>
        <v>10</v>
      </c>
      <c r="I7" s="24">
        <f t="shared" si="1"/>
        <v>2</v>
      </c>
      <c r="J7" s="24" t="str">
        <f t="shared" si="2"/>
        <v>Kurang Mandiri</v>
      </c>
      <c r="K7" s="12"/>
      <c r="M7" s="13" t="s">
        <v>107</v>
      </c>
      <c r="N7" s="15" t="s">
        <v>115</v>
      </c>
    </row>
    <row r="8" spans="1:14">
      <c r="A8" s="23">
        <v>4</v>
      </c>
      <c r="B8" s="24" t="s">
        <v>56</v>
      </c>
      <c r="C8" s="22">
        <v>3</v>
      </c>
      <c r="D8" s="22">
        <v>2</v>
      </c>
      <c r="E8" s="22">
        <v>1</v>
      </c>
      <c r="F8" s="22">
        <v>3</v>
      </c>
      <c r="G8" s="22">
        <v>3</v>
      </c>
      <c r="H8" s="24">
        <f t="shared" si="0"/>
        <v>12</v>
      </c>
      <c r="I8" s="24">
        <f t="shared" si="1"/>
        <v>2.4</v>
      </c>
      <c r="J8" s="24" t="str">
        <f t="shared" si="2"/>
        <v>Kurang Mandiri</v>
      </c>
      <c r="K8" s="12"/>
    </row>
    <row r="9" spans="1:14">
      <c r="A9" s="23">
        <v>5</v>
      </c>
      <c r="B9" s="24" t="s">
        <v>57</v>
      </c>
      <c r="C9" s="22">
        <v>3</v>
      </c>
      <c r="D9" s="22">
        <v>2</v>
      </c>
      <c r="E9" s="22">
        <v>1</v>
      </c>
      <c r="F9" s="22">
        <v>2</v>
      </c>
      <c r="G9" s="22">
        <v>2</v>
      </c>
      <c r="H9" s="24">
        <f t="shared" si="0"/>
        <v>10</v>
      </c>
      <c r="I9" s="24">
        <f t="shared" si="1"/>
        <v>2</v>
      </c>
      <c r="J9" s="24" t="str">
        <f t="shared" si="2"/>
        <v>Kurang Mandiri</v>
      </c>
      <c r="K9" s="12"/>
    </row>
    <row r="10" spans="1:14">
      <c r="A10" s="23">
        <v>6</v>
      </c>
      <c r="B10" s="24" t="s">
        <v>58</v>
      </c>
      <c r="C10" s="22">
        <v>3</v>
      </c>
      <c r="D10" s="22">
        <v>1</v>
      </c>
      <c r="E10" s="22">
        <v>1</v>
      </c>
      <c r="F10" s="22">
        <v>2</v>
      </c>
      <c r="G10" s="22">
        <v>2</v>
      </c>
      <c r="H10" s="24">
        <f t="shared" si="0"/>
        <v>9</v>
      </c>
      <c r="I10" s="24">
        <f t="shared" si="1"/>
        <v>1.8</v>
      </c>
      <c r="J10" s="24" t="str">
        <f t="shared" si="2"/>
        <v>Kurang Mandiri</v>
      </c>
      <c r="K10" s="12"/>
    </row>
    <row r="11" spans="1:14">
      <c r="A11" s="23">
        <v>7</v>
      </c>
      <c r="B11" s="24" t="s">
        <v>59</v>
      </c>
      <c r="C11" s="22">
        <v>3</v>
      </c>
      <c r="D11" s="22">
        <v>1</v>
      </c>
      <c r="E11" s="22">
        <v>1</v>
      </c>
      <c r="F11" s="22">
        <v>3</v>
      </c>
      <c r="G11" s="22">
        <v>2</v>
      </c>
      <c r="H11" s="24">
        <f t="shared" si="0"/>
        <v>10</v>
      </c>
      <c r="I11" s="24">
        <f t="shared" si="1"/>
        <v>2</v>
      </c>
      <c r="J11" s="24" t="str">
        <f t="shared" si="2"/>
        <v>Kurang Mandiri</v>
      </c>
      <c r="K11" s="12"/>
      <c r="M11" t="s">
        <v>145</v>
      </c>
    </row>
    <row r="12" spans="1:14">
      <c r="A12" s="23">
        <v>8</v>
      </c>
      <c r="B12" s="24" t="s">
        <v>60</v>
      </c>
      <c r="C12" s="22">
        <v>3</v>
      </c>
      <c r="D12" s="22">
        <v>2</v>
      </c>
      <c r="E12" s="22">
        <v>1</v>
      </c>
      <c r="F12" s="22">
        <v>2</v>
      </c>
      <c r="G12" s="22">
        <v>3</v>
      </c>
      <c r="H12" s="24">
        <f t="shared" si="0"/>
        <v>11</v>
      </c>
      <c r="I12" s="24">
        <f t="shared" si="1"/>
        <v>2.2000000000000002</v>
      </c>
      <c r="J12" s="24" t="str">
        <f t="shared" si="2"/>
        <v>Kurang Mandiri</v>
      </c>
      <c r="K12" s="12"/>
    </row>
    <row r="13" spans="1:14">
      <c r="A13" s="23">
        <v>9</v>
      </c>
      <c r="B13" s="24" t="s">
        <v>61</v>
      </c>
      <c r="C13" s="22">
        <v>3</v>
      </c>
      <c r="D13" s="22">
        <v>2</v>
      </c>
      <c r="E13" s="22">
        <v>1</v>
      </c>
      <c r="F13" s="22">
        <v>2</v>
      </c>
      <c r="G13" s="22">
        <v>2</v>
      </c>
      <c r="H13" s="24">
        <f t="shared" si="0"/>
        <v>10</v>
      </c>
      <c r="I13" s="24">
        <f t="shared" si="1"/>
        <v>2</v>
      </c>
      <c r="J13" s="24" t="str">
        <f t="shared" si="2"/>
        <v>Kurang Mandiri</v>
      </c>
      <c r="K13" s="12"/>
      <c r="M13" t="s">
        <v>146</v>
      </c>
    </row>
    <row r="14" spans="1:14">
      <c r="A14" s="23">
        <v>10</v>
      </c>
      <c r="B14" s="24" t="s">
        <v>62</v>
      </c>
      <c r="C14" s="22">
        <v>3</v>
      </c>
      <c r="D14" s="22">
        <v>2</v>
      </c>
      <c r="E14" s="22">
        <v>1</v>
      </c>
      <c r="F14" s="22">
        <v>3</v>
      </c>
      <c r="G14" s="22">
        <v>2</v>
      </c>
      <c r="H14" s="24">
        <f t="shared" si="0"/>
        <v>11</v>
      </c>
      <c r="I14" s="24">
        <f t="shared" si="1"/>
        <v>2.2000000000000002</v>
      </c>
      <c r="J14" s="24" t="str">
        <f t="shared" si="2"/>
        <v>Kurang Mandiri</v>
      </c>
      <c r="K14" s="12"/>
    </row>
    <row r="15" spans="1:14">
      <c r="A15" s="23">
        <v>11</v>
      </c>
      <c r="B15" s="24" t="s">
        <v>63</v>
      </c>
      <c r="C15" s="22">
        <v>3</v>
      </c>
      <c r="D15" s="22">
        <v>2</v>
      </c>
      <c r="E15" s="22">
        <v>1</v>
      </c>
      <c r="F15" s="22">
        <v>2</v>
      </c>
      <c r="G15" s="22">
        <v>2</v>
      </c>
      <c r="H15" s="24">
        <f t="shared" si="0"/>
        <v>10</v>
      </c>
      <c r="I15" s="24">
        <f t="shared" si="1"/>
        <v>2</v>
      </c>
      <c r="J15" s="24" t="str">
        <f t="shared" si="2"/>
        <v>Kurang Mandiri</v>
      </c>
      <c r="K15" s="12"/>
    </row>
    <row r="16" spans="1:14">
      <c r="A16" s="23">
        <v>12</v>
      </c>
      <c r="B16" s="24" t="s">
        <v>64</v>
      </c>
      <c r="C16" s="22">
        <v>3</v>
      </c>
      <c r="D16" s="22">
        <v>2</v>
      </c>
      <c r="E16" s="22">
        <v>1</v>
      </c>
      <c r="F16" s="22">
        <v>2</v>
      </c>
      <c r="G16" s="22">
        <v>3</v>
      </c>
      <c r="H16" s="24">
        <f t="shared" si="0"/>
        <v>11</v>
      </c>
      <c r="I16" s="24">
        <f t="shared" si="1"/>
        <v>2.2000000000000002</v>
      </c>
      <c r="J16" s="24" t="str">
        <f t="shared" si="2"/>
        <v>Kurang Mandiri</v>
      </c>
      <c r="K16" s="12"/>
    </row>
    <row r="17" spans="1:11">
      <c r="A17" s="23">
        <v>13</v>
      </c>
      <c r="B17" s="24" t="s">
        <v>65</v>
      </c>
      <c r="C17" s="22">
        <v>3</v>
      </c>
      <c r="D17" s="22">
        <v>2</v>
      </c>
      <c r="E17" s="22">
        <v>1</v>
      </c>
      <c r="F17" s="22">
        <v>3</v>
      </c>
      <c r="G17" s="22">
        <v>3</v>
      </c>
      <c r="H17" s="24">
        <f t="shared" si="0"/>
        <v>12</v>
      </c>
      <c r="I17" s="24">
        <f t="shared" si="1"/>
        <v>2.4</v>
      </c>
      <c r="J17" s="24" t="str">
        <f t="shared" si="2"/>
        <v>Kurang Mandiri</v>
      </c>
      <c r="K17" s="12"/>
    </row>
    <row r="18" spans="1:11">
      <c r="A18" s="23">
        <v>14</v>
      </c>
      <c r="B18" s="24" t="s">
        <v>66</v>
      </c>
      <c r="C18" s="22">
        <v>3</v>
      </c>
      <c r="D18" s="22">
        <v>2</v>
      </c>
      <c r="E18" s="22">
        <v>1</v>
      </c>
      <c r="F18" s="22">
        <v>2</v>
      </c>
      <c r="G18" s="22">
        <v>2</v>
      </c>
      <c r="H18" s="24">
        <f t="shared" si="0"/>
        <v>10</v>
      </c>
      <c r="I18" s="24">
        <f t="shared" si="1"/>
        <v>2</v>
      </c>
      <c r="J18" s="24" t="str">
        <f t="shared" si="2"/>
        <v>Kurang Mandiri</v>
      </c>
      <c r="K18" s="12"/>
    </row>
    <row r="19" spans="1:11">
      <c r="A19" s="23">
        <v>15</v>
      </c>
      <c r="B19" s="24" t="s">
        <v>67</v>
      </c>
      <c r="C19" s="22">
        <v>3</v>
      </c>
      <c r="D19" s="22">
        <v>2</v>
      </c>
      <c r="E19" s="22">
        <v>1</v>
      </c>
      <c r="F19" s="22">
        <v>3</v>
      </c>
      <c r="G19" s="22">
        <v>3</v>
      </c>
      <c r="H19" s="24">
        <f t="shared" si="0"/>
        <v>12</v>
      </c>
      <c r="I19" s="24">
        <f t="shared" si="1"/>
        <v>2.4</v>
      </c>
      <c r="J19" s="24" t="str">
        <f t="shared" si="2"/>
        <v>Kurang Mandiri</v>
      </c>
      <c r="K19" s="12"/>
    </row>
    <row r="20" spans="1:11">
      <c r="A20" s="23">
        <v>16</v>
      </c>
      <c r="B20" s="24" t="s">
        <v>68</v>
      </c>
      <c r="C20" s="22">
        <v>3</v>
      </c>
      <c r="D20" s="22">
        <v>2</v>
      </c>
      <c r="E20" s="22">
        <v>1</v>
      </c>
      <c r="F20" s="22">
        <v>2</v>
      </c>
      <c r="G20" s="22">
        <v>2</v>
      </c>
      <c r="H20" s="24">
        <f t="shared" si="0"/>
        <v>10</v>
      </c>
      <c r="I20" s="24">
        <f t="shared" si="1"/>
        <v>2</v>
      </c>
      <c r="J20" s="24" t="str">
        <f t="shared" si="2"/>
        <v>Kurang Mandiri</v>
      </c>
      <c r="K20" s="12"/>
    </row>
    <row r="21" spans="1:11">
      <c r="A21" s="23">
        <v>17</v>
      </c>
      <c r="B21" s="24" t="s">
        <v>69</v>
      </c>
      <c r="C21" s="22">
        <v>3</v>
      </c>
      <c r="D21" s="22">
        <v>1</v>
      </c>
      <c r="E21" s="22">
        <v>1</v>
      </c>
      <c r="F21" s="22">
        <v>2</v>
      </c>
      <c r="G21" s="22">
        <v>2</v>
      </c>
      <c r="H21" s="24">
        <f t="shared" si="0"/>
        <v>9</v>
      </c>
      <c r="I21" s="24">
        <f t="shared" si="1"/>
        <v>1.8</v>
      </c>
      <c r="J21" s="24" t="str">
        <f t="shared" si="2"/>
        <v>Kurang Mandiri</v>
      </c>
      <c r="K21" s="12"/>
    </row>
    <row r="22" spans="1:11">
      <c r="A22" s="23">
        <v>18</v>
      </c>
      <c r="B22" s="24" t="s">
        <v>70</v>
      </c>
      <c r="C22" s="22">
        <v>3</v>
      </c>
      <c r="D22" s="22">
        <v>1</v>
      </c>
      <c r="E22" s="22">
        <v>1</v>
      </c>
      <c r="F22" s="22">
        <v>2</v>
      </c>
      <c r="G22" s="22">
        <v>2</v>
      </c>
      <c r="H22" s="24">
        <f t="shared" si="0"/>
        <v>9</v>
      </c>
      <c r="I22" s="24">
        <f t="shared" si="1"/>
        <v>1.8</v>
      </c>
      <c r="J22" s="24" t="str">
        <f t="shared" si="2"/>
        <v>Kurang Mandiri</v>
      </c>
      <c r="K22" s="12"/>
    </row>
    <row r="23" spans="1:11">
      <c r="A23" s="23">
        <v>19</v>
      </c>
      <c r="B23" s="24" t="s">
        <v>71</v>
      </c>
      <c r="C23" s="22">
        <v>3</v>
      </c>
      <c r="D23" s="22">
        <v>2</v>
      </c>
      <c r="E23" s="22">
        <v>1</v>
      </c>
      <c r="F23" s="22">
        <v>2</v>
      </c>
      <c r="G23" s="22">
        <v>2</v>
      </c>
      <c r="H23" s="24">
        <f t="shared" si="0"/>
        <v>10</v>
      </c>
      <c r="I23" s="24">
        <f t="shared" si="1"/>
        <v>2</v>
      </c>
      <c r="J23" s="24" t="str">
        <f t="shared" si="2"/>
        <v>Kurang Mandiri</v>
      </c>
      <c r="K23" s="12"/>
    </row>
    <row r="24" spans="1:11">
      <c r="A24" s="23">
        <v>20</v>
      </c>
      <c r="B24" s="24" t="s">
        <v>72</v>
      </c>
      <c r="C24" s="22">
        <v>3</v>
      </c>
      <c r="D24" s="22">
        <v>2</v>
      </c>
      <c r="E24" s="22">
        <v>1</v>
      </c>
      <c r="F24" s="22">
        <v>2</v>
      </c>
      <c r="G24" s="22">
        <v>2</v>
      </c>
      <c r="H24" s="24">
        <f t="shared" si="0"/>
        <v>10</v>
      </c>
      <c r="I24" s="24">
        <f t="shared" si="1"/>
        <v>2</v>
      </c>
      <c r="J24" s="24" t="str">
        <f t="shared" si="2"/>
        <v>Kurang Mandiri</v>
      </c>
      <c r="K24" s="12"/>
    </row>
    <row r="25" spans="1:11">
      <c r="A25" s="23">
        <v>21</v>
      </c>
      <c r="B25" s="24" t="s">
        <v>73</v>
      </c>
      <c r="C25" s="22">
        <v>3</v>
      </c>
      <c r="D25" s="22">
        <v>3</v>
      </c>
      <c r="E25" s="22">
        <v>3</v>
      </c>
      <c r="F25" s="22">
        <v>3</v>
      </c>
      <c r="G25" s="22">
        <v>3</v>
      </c>
      <c r="H25" s="24">
        <f t="shared" si="0"/>
        <v>15</v>
      </c>
      <c r="I25" s="24">
        <f t="shared" si="1"/>
        <v>3</v>
      </c>
      <c r="J25" s="24" t="str">
        <f t="shared" si="2"/>
        <v>Mandiri</v>
      </c>
      <c r="K25" s="12"/>
    </row>
    <row r="26" spans="1:11">
      <c r="A26" s="23">
        <v>22</v>
      </c>
      <c r="B26" s="24" t="s">
        <v>74</v>
      </c>
      <c r="C26" s="22">
        <v>3</v>
      </c>
      <c r="D26" s="22">
        <v>2</v>
      </c>
      <c r="E26" s="22">
        <v>1</v>
      </c>
      <c r="F26" s="22">
        <v>2</v>
      </c>
      <c r="G26" s="22">
        <v>2</v>
      </c>
      <c r="H26" s="24">
        <f t="shared" si="0"/>
        <v>10</v>
      </c>
      <c r="I26" s="24">
        <f t="shared" si="1"/>
        <v>2</v>
      </c>
      <c r="J26" s="24" t="str">
        <f t="shared" si="2"/>
        <v>Kurang Mandiri</v>
      </c>
      <c r="K26" s="12"/>
    </row>
    <row r="27" spans="1:11">
      <c r="A27" s="23">
        <v>23</v>
      </c>
      <c r="B27" s="24" t="s">
        <v>75</v>
      </c>
      <c r="C27" s="22">
        <v>3</v>
      </c>
      <c r="D27" s="22">
        <v>2</v>
      </c>
      <c r="E27" s="22">
        <v>1</v>
      </c>
      <c r="F27" s="22">
        <v>2</v>
      </c>
      <c r="G27" s="22">
        <v>2</v>
      </c>
      <c r="H27" s="24">
        <f t="shared" si="0"/>
        <v>10</v>
      </c>
      <c r="I27" s="24">
        <f t="shared" si="1"/>
        <v>2</v>
      </c>
      <c r="J27" s="24" t="str">
        <f t="shared" si="2"/>
        <v>Kurang Mandiri</v>
      </c>
      <c r="K27" s="12"/>
    </row>
    <row r="28" spans="1:11">
      <c r="A28" s="23">
        <v>24</v>
      </c>
      <c r="B28" s="24" t="s">
        <v>76</v>
      </c>
      <c r="C28" s="22">
        <v>3</v>
      </c>
      <c r="D28" s="22">
        <v>2</v>
      </c>
      <c r="E28" s="22">
        <v>1</v>
      </c>
      <c r="F28" s="22">
        <v>2</v>
      </c>
      <c r="G28" s="22">
        <v>2</v>
      </c>
      <c r="H28" s="24">
        <f t="shared" si="0"/>
        <v>10</v>
      </c>
      <c r="I28" s="24">
        <f t="shared" si="1"/>
        <v>2</v>
      </c>
      <c r="J28" s="24" t="str">
        <f t="shared" si="2"/>
        <v>Kurang Mandiri</v>
      </c>
      <c r="K28" s="12"/>
    </row>
    <row r="29" spans="1:11">
      <c r="A29" s="23">
        <v>25</v>
      </c>
      <c r="B29" s="24" t="s">
        <v>77</v>
      </c>
      <c r="C29" s="22">
        <v>3</v>
      </c>
      <c r="D29" s="22">
        <v>3</v>
      </c>
      <c r="E29" s="22">
        <v>3</v>
      </c>
      <c r="F29" s="22">
        <v>3</v>
      </c>
      <c r="G29" s="22">
        <v>3</v>
      </c>
      <c r="H29" s="24">
        <f t="shared" si="0"/>
        <v>15</v>
      </c>
      <c r="I29" s="24">
        <f t="shared" si="1"/>
        <v>3</v>
      </c>
      <c r="J29" s="24" t="str">
        <f t="shared" si="2"/>
        <v>Mandiri</v>
      </c>
      <c r="K29" s="12"/>
    </row>
    <row r="30" spans="1:11">
      <c r="A30" s="23">
        <v>26</v>
      </c>
      <c r="B30" s="24" t="s">
        <v>78</v>
      </c>
      <c r="C30" s="22">
        <v>3</v>
      </c>
      <c r="D30" s="22">
        <v>1</v>
      </c>
      <c r="E30" s="22">
        <v>1</v>
      </c>
      <c r="F30" s="22">
        <v>2</v>
      </c>
      <c r="G30" s="22">
        <v>2</v>
      </c>
      <c r="H30" s="24">
        <f t="shared" si="0"/>
        <v>9</v>
      </c>
      <c r="I30" s="24">
        <f t="shared" si="1"/>
        <v>1.8</v>
      </c>
      <c r="J30" s="24" t="str">
        <f t="shared" si="2"/>
        <v>Kurang Mandiri</v>
      </c>
      <c r="K30" s="12"/>
    </row>
    <row r="31" spans="1:11">
      <c r="A31" s="23">
        <v>27</v>
      </c>
      <c r="B31" s="24" t="s">
        <v>79</v>
      </c>
      <c r="C31" s="22">
        <v>3</v>
      </c>
      <c r="D31" s="22">
        <v>1</v>
      </c>
      <c r="E31" s="22">
        <v>1</v>
      </c>
      <c r="F31" s="22">
        <v>2</v>
      </c>
      <c r="G31" s="22">
        <v>2</v>
      </c>
      <c r="H31" s="24">
        <f t="shared" si="0"/>
        <v>9</v>
      </c>
      <c r="I31" s="24">
        <f t="shared" si="1"/>
        <v>1.8</v>
      </c>
      <c r="J31" s="24" t="str">
        <f t="shared" si="2"/>
        <v>Kurang Mandiri</v>
      </c>
      <c r="K31" s="12"/>
    </row>
    <row r="32" spans="1:11">
      <c r="A32" s="23">
        <v>28</v>
      </c>
      <c r="B32" s="24" t="s">
        <v>80</v>
      </c>
      <c r="C32" s="22">
        <v>3</v>
      </c>
      <c r="D32" s="22">
        <v>2</v>
      </c>
      <c r="E32" s="22">
        <v>1</v>
      </c>
      <c r="F32" s="22">
        <v>2</v>
      </c>
      <c r="G32" s="22">
        <v>2</v>
      </c>
      <c r="H32" s="24">
        <f t="shared" si="0"/>
        <v>10</v>
      </c>
      <c r="I32" s="24">
        <f t="shared" si="1"/>
        <v>2</v>
      </c>
      <c r="J32" s="24" t="str">
        <f t="shared" si="2"/>
        <v>Kurang Mandiri</v>
      </c>
      <c r="K32" s="12"/>
    </row>
    <row r="33" spans="1:11">
      <c r="A33" s="23">
        <v>29</v>
      </c>
      <c r="B33" s="24" t="s">
        <v>81</v>
      </c>
      <c r="C33" s="22">
        <v>3</v>
      </c>
      <c r="D33" s="22">
        <v>2</v>
      </c>
      <c r="E33" s="22">
        <v>1</v>
      </c>
      <c r="F33" s="22">
        <v>3</v>
      </c>
      <c r="G33" s="22">
        <v>2</v>
      </c>
      <c r="H33" s="24">
        <f t="shared" si="0"/>
        <v>11</v>
      </c>
      <c r="I33" s="24">
        <f t="shared" si="1"/>
        <v>2.2000000000000002</v>
      </c>
      <c r="J33" s="24" t="str">
        <f t="shared" si="2"/>
        <v>Kurang Mandiri</v>
      </c>
      <c r="K33" s="12"/>
    </row>
    <row r="34" spans="1:11">
      <c r="A34" s="23">
        <v>30</v>
      </c>
      <c r="B34" s="24" t="s">
        <v>82</v>
      </c>
      <c r="C34" s="22">
        <v>3</v>
      </c>
      <c r="D34" s="22">
        <v>2</v>
      </c>
      <c r="E34" s="22">
        <v>1</v>
      </c>
      <c r="F34" s="22">
        <v>3</v>
      </c>
      <c r="G34" s="22">
        <v>2</v>
      </c>
      <c r="H34" s="24">
        <f t="shared" si="0"/>
        <v>11</v>
      </c>
      <c r="I34" s="24">
        <f t="shared" si="1"/>
        <v>2.2000000000000002</v>
      </c>
      <c r="J34" s="24" t="str">
        <f t="shared" si="2"/>
        <v>Kurang Mandiri</v>
      </c>
      <c r="K34" s="12"/>
    </row>
    <row r="35" spans="1:11">
      <c r="A35" s="23">
        <v>31</v>
      </c>
      <c r="B35" s="24" t="s">
        <v>83</v>
      </c>
      <c r="C35" s="22">
        <v>3</v>
      </c>
      <c r="D35" s="22">
        <v>2</v>
      </c>
      <c r="E35" s="22">
        <v>1</v>
      </c>
      <c r="F35" s="22">
        <v>2</v>
      </c>
      <c r="G35" s="22">
        <v>2</v>
      </c>
      <c r="H35" s="24">
        <f t="shared" si="0"/>
        <v>10</v>
      </c>
      <c r="I35" s="24">
        <f t="shared" si="1"/>
        <v>2</v>
      </c>
      <c r="J35" s="24" t="str">
        <f t="shared" si="2"/>
        <v>Kurang Mandiri</v>
      </c>
      <c r="K35" s="12"/>
    </row>
    <row r="36" spans="1:11">
      <c r="A36" s="23">
        <v>32</v>
      </c>
      <c r="B36" s="24" t="s">
        <v>84</v>
      </c>
      <c r="C36" s="22">
        <v>3</v>
      </c>
      <c r="D36" s="22">
        <v>3</v>
      </c>
      <c r="E36" s="22">
        <v>3</v>
      </c>
      <c r="F36" s="22">
        <v>3</v>
      </c>
      <c r="G36" s="22">
        <v>3</v>
      </c>
      <c r="H36" s="24">
        <f t="shared" si="0"/>
        <v>15</v>
      </c>
      <c r="I36" s="24">
        <f t="shared" si="1"/>
        <v>3</v>
      </c>
      <c r="J36" s="24" t="str">
        <f t="shared" si="2"/>
        <v>Mandiri</v>
      </c>
      <c r="K36" s="12"/>
    </row>
    <row r="37" spans="1:11">
      <c r="A37" s="23">
        <v>33</v>
      </c>
      <c r="B37" s="24" t="s">
        <v>85</v>
      </c>
      <c r="C37" s="22">
        <v>3</v>
      </c>
      <c r="D37" s="22">
        <v>2</v>
      </c>
      <c r="E37" s="22">
        <v>1</v>
      </c>
      <c r="F37" s="22">
        <v>2</v>
      </c>
      <c r="G37" s="22">
        <v>3</v>
      </c>
      <c r="H37" s="24">
        <f t="shared" si="0"/>
        <v>11</v>
      </c>
      <c r="I37" s="24">
        <f t="shared" si="1"/>
        <v>2.2000000000000002</v>
      </c>
      <c r="J37" s="24" t="str">
        <f t="shared" si="2"/>
        <v>Kurang Mandiri</v>
      </c>
      <c r="K37" s="12"/>
    </row>
    <row r="38" spans="1:11">
      <c r="A38" s="23">
        <v>34</v>
      </c>
      <c r="B38" s="24" t="s">
        <v>86</v>
      </c>
      <c r="C38" s="22">
        <v>3</v>
      </c>
      <c r="D38" s="22">
        <v>2</v>
      </c>
      <c r="E38" s="22">
        <v>1</v>
      </c>
      <c r="F38" s="22">
        <v>3</v>
      </c>
      <c r="G38" s="22">
        <v>2</v>
      </c>
      <c r="H38" s="24">
        <f t="shared" si="0"/>
        <v>11</v>
      </c>
      <c r="I38" s="24">
        <f t="shared" si="1"/>
        <v>2.2000000000000002</v>
      </c>
      <c r="J38" s="24" t="str">
        <f t="shared" si="2"/>
        <v>Kurang Mandiri</v>
      </c>
      <c r="K38" s="12"/>
    </row>
    <row r="39" spans="1:11">
      <c r="A39" s="23">
        <v>35</v>
      </c>
      <c r="B39" s="24" t="s">
        <v>87</v>
      </c>
      <c r="C39" s="22">
        <v>3</v>
      </c>
      <c r="D39" s="22">
        <v>2</v>
      </c>
      <c r="E39" s="22">
        <v>1</v>
      </c>
      <c r="F39" s="22">
        <v>2</v>
      </c>
      <c r="G39" s="22">
        <v>3</v>
      </c>
      <c r="H39" s="24">
        <f t="shared" si="0"/>
        <v>11</v>
      </c>
      <c r="I39" s="24">
        <f t="shared" si="1"/>
        <v>2.2000000000000002</v>
      </c>
      <c r="J39" s="24" t="str">
        <f t="shared" si="2"/>
        <v>Kurang Mandiri</v>
      </c>
      <c r="K39" s="12"/>
    </row>
    <row r="40" spans="1:11">
      <c r="A40" s="23">
        <v>36</v>
      </c>
      <c r="B40" s="24" t="s">
        <v>88</v>
      </c>
      <c r="C40" s="22">
        <v>3</v>
      </c>
      <c r="D40" s="22">
        <v>2</v>
      </c>
      <c r="E40" s="22">
        <v>1</v>
      </c>
      <c r="F40" s="22">
        <v>2</v>
      </c>
      <c r="G40" s="22">
        <v>3</v>
      </c>
      <c r="H40" s="24">
        <f t="shared" si="0"/>
        <v>11</v>
      </c>
      <c r="I40" s="24">
        <f t="shared" si="1"/>
        <v>2.2000000000000002</v>
      </c>
      <c r="J40" s="24" t="str">
        <f t="shared" si="2"/>
        <v>Kurang Mandiri</v>
      </c>
      <c r="K40" s="12"/>
    </row>
    <row r="41" spans="1:11">
      <c r="A41" s="23">
        <v>37</v>
      </c>
      <c r="B41" s="24" t="s">
        <v>89</v>
      </c>
      <c r="C41" s="22">
        <v>3</v>
      </c>
      <c r="D41" s="22">
        <v>1</v>
      </c>
      <c r="E41" s="22">
        <v>1</v>
      </c>
      <c r="F41" s="22">
        <v>2</v>
      </c>
      <c r="G41" s="22">
        <v>2</v>
      </c>
      <c r="H41" s="24">
        <f t="shared" si="0"/>
        <v>9</v>
      </c>
      <c r="I41" s="24">
        <f t="shared" si="1"/>
        <v>1.8</v>
      </c>
      <c r="J41" s="24" t="str">
        <f t="shared" si="2"/>
        <v>Kurang Mandiri</v>
      </c>
      <c r="K41" s="12"/>
    </row>
    <row r="42" spans="1:11">
      <c r="A42" s="23">
        <v>38</v>
      </c>
      <c r="B42" s="24" t="s">
        <v>90</v>
      </c>
      <c r="C42" s="22">
        <v>3</v>
      </c>
      <c r="D42" s="22">
        <v>1</v>
      </c>
      <c r="E42" s="22">
        <v>1</v>
      </c>
      <c r="F42" s="22">
        <v>2</v>
      </c>
      <c r="G42" s="22">
        <v>2</v>
      </c>
      <c r="H42" s="24">
        <f t="shared" si="0"/>
        <v>9</v>
      </c>
      <c r="I42" s="24">
        <f t="shared" si="1"/>
        <v>1.8</v>
      </c>
      <c r="J42" s="24" t="str">
        <f t="shared" si="2"/>
        <v>Kurang Mandiri</v>
      </c>
      <c r="K42" s="12"/>
    </row>
    <row r="43" spans="1:11">
      <c r="A43" s="23">
        <v>39</v>
      </c>
      <c r="B43" s="24" t="s">
        <v>91</v>
      </c>
      <c r="C43" s="22">
        <v>3</v>
      </c>
      <c r="D43" s="22">
        <v>2</v>
      </c>
      <c r="E43" s="22">
        <v>1</v>
      </c>
      <c r="F43" s="22">
        <v>2</v>
      </c>
      <c r="G43" s="22">
        <v>3</v>
      </c>
      <c r="H43" s="24">
        <f t="shared" si="0"/>
        <v>11</v>
      </c>
      <c r="I43" s="24">
        <f t="shared" si="1"/>
        <v>2.2000000000000002</v>
      </c>
      <c r="J43" s="24" t="str">
        <f t="shared" si="2"/>
        <v>Kurang Mandiri</v>
      </c>
      <c r="K43" s="12"/>
    </row>
    <row r="44" spans="1:11">
      <c r="A44" s="23">
        <v>40</v>
      </c>
      <c r="B44" s="24" t="s">
        <v>92</v>
      </c>
      <c r="C44" s="22">
        <v>3</v>
      </c>
      <c r="D44" s="22">
        <v>2</v>
      </c>
      <c r="E44" s="22">
        <v>1</v>
      </c>
      <c r="F44" s="22">
        <v>3</v>
      </c>
      <c r="G44" s="22">
        <v>2</v>
      </c>
      <c r="H44" s="24">
        <f t="shared" si="0"/>
        <v>11</v>
      </c>
      <c r="I44" s="24">
        <f t="shared" si="1"/>
        <v>2.2000000000000002</v>
      </c>
      <c r="J44" s="24" t="str">
        <f t="shared" si="2"/>
        <v>Kurang Mandiri</v>
      </c>
      <c r="K44" s="12"/>
    </row>
    <row r="45" spans="1:11">
      <c r="A45" s="23">
        <v>41</v>
      </c>
      <c r="B45" s="24" t="s">
        <v>93</v>
      </c>
      <c r="C45" s="22">
        <v>3</v>
      </c>
      <c r="D45" s="22">
        <v>2</v>
      </c>
      <c r="E45" s="22">
        <v>1</v>
      </c>
      <c r="F45" s="22">
        <v>2</v>
      </c>
      <c r="G45" s="22">
        <v>3</v>
      </c>
      <c r="H45" s="24">
        <f t="shared" si="0"/>
        <v>11</v>
      </c>
      <c r="I45" s="24">
        <f t="shared" si="1"/>
        <v>2.2000000000000002</v>
      </c>
      <c r="J45" s="24" t="str">
        <f t="shared" si="2"/>
        <v>Kurang Mandiri</v>
      </c>
      <c r="K45" s="12"/>
    </row>
    <row r="46" spans="1:11">
      <c r="A46" s="23">
        <v>42</v>
      </c>
      <c r="B46" s="24" t="s">
        <v>94</v>
      </c>
      <c r="C46" s="22">
        <v>3</v>
      </c>
      <c r="D46" s="22">
        <v>2</v>
      </c>
      <c r="E46" s="22">
        <v>3</v>
      </c>
      <c r="F46" s="22">
        <v>2</v>
      </c>
      <c r="G46" s="22">
        <v>2</v>
      </c>
      <c r="H46" s="24">
        <f t="shared" si="0"/>
        <v>12</v>
      </c>
      <c r="I46" s="24">
        <f t="shared" si="1"/>
        <v>2.4</v>
      </c>
      <c r="J46" s="24" t="str">
        <f t="shared" si="2"/>
        <v>Kurang Mandiri</v>
      </c>
      <c r="K46" s="12"/>
    </row>
    <row r="47" spans="1:11">
      <c r="A47" s="23">
        <v>43</v>
      </c>
      <c r="B47" s="24" t="s">
        <v>95</v>
      </c>
      <c r="C47" s="22">
        <v>3</v>
      </c>
      <c r="D47" s="22">
        <v>2</v>
      </c>
      <c r="E47" s="22">
        <v>1</v>
      </c>
      <c r="F47" s="22">
        <v>3</v>
      </c>
      <c r="G47" s="22">
        <v>2</v>
      </c>
      <c r="H47" s="24">
        <f t="shared" si="0"/>
        <v>11</v>
      </c>
      <c r="I47" s="24">
        <f t="shared" si="1"/>
        <v>2.2000000000000002</v>
      </c>
      <c r="J47" s="24" t="str">
        <f t="shared" si="2"/>
        <v>Kurang Mandiri</v>
      </c>
      <c r="K47" s="12"/>
    </row>
    <row r="48" spans="1:11">
      <c r="A48" s="23">
        <v>44</v>
      </c>
      <c r="B48" s="24" t="s">
        <v>96</v>
      </c>
      <c r="C48" s="22">
        <v>3</v>
      </c>
      <c r="D48" s="22">
        <v>1</v>
      </c>
      <c r="E48" s="22">
        <v>1</v>
      </c>
      <c r="F48" s="22">
        <v>2</v>
      </c>
      <c r="G48" s="22">
        <v>2</v>
      </c>
      <c r="H48" s="24">
        <f t="shared" si="0"/>
        <v>9</v>
      </c>
      <c r="I48" s="24">
        <f t="shared" si="1"/>
        <v>1.8</v>
      </c>
      <c r="J48" s="24" t="str">
        <f t="shared" si="2"/>
        <v>Kurang Mandiri</v>
      </c>
      <c r="K48" s="12"/>
    </row>
    <row r="49" spans="1:11">
      <c r="A49" s="23">
        <v>45</v>
      </c>
      <c r="B49" s="24" t="s">
        <v>97</v>
      </c>
      <c r="C49" s="22">
        <v>3</v>
      </c>
      <c r="D49" s="22">
        <v>2</v>
      </c>
      <c r="E49" s="22">
        <v>1</v>
      </c>
      <c r="F49" s="22">
        <v>2</v>
      </c>
      <c r="G49" s="22">
        <v>2</v>
      </c>
      <c r="H49" s="24">
        <f t="shared" si="0"/>
        <v>10</v>
      </c>
      <c r="I49" s="24">
        <f t="shared" si="1"/>
        <v>2</v>
      </c>
      <c r="J49" s="24" t="str">
        <f t="shared" si="2"/>
        <v>Kurang Mandiri</v>
      </c>
      <c r="K49" s="12"/>
    </row>
    <row r="50" spans="1:11">
      <c r="A50" s="25">
        <v>46</v>
      </c>
      <c r="B50" s="26" t="s">
        <v>98</v>
      </c>
      <c r="C50" s="22">
        <v>3</v>
      </c>
      <c r="D50" s="22">
        <v>3</v>
      </c>
      <c r="E50" s="22">
        <v>3</v>
      </c>
      <c r="F50" s="22">
        <v>3</v>
      </c>
      <c r="G50" s="22">
        <v>3</v>
      </c>
      <c r="H50" s="26">
        <f t="shared" si="0"/>
        <v>15</v>
      </c>
      <c r="I50" s="26">
        <f t="shared" si="1"/>
        <v>3</v>
      </c>
      <c r="J50" s="26" t="str">
        <f t="shared" si="2"/>
        <v>Mandiri</v>
      </c>
      <c r="K50" s="15"/>
    </row>
  </sheetData>
  <mergeCells count="2">
    <mergeCell ref="A1:K1"/>
    <mergeCell ref="A2:K2"/>
  </mergeCells>
  <conditionalFormatting sqref="C5:G50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1">
    <dataValidation type="list" sqref="C5:G50" xr:uid="{00000000-0002-0000-0200-000000000000}">
      <formula1>"1,2,3,4"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7"/>
  <sheetViews>
    <sheetView zoomScale="58" workbookViewId="0">
      <selection activeCell="G16" sqref="G16"/>
    </sheetView>
  </sheetViews>
  <sheetFormatPr defaultRowHeight="13.8"/>
  <cols>
    <col min="1" max="1" width="24" customWidth="1"/>
    <col min="2" max="2" width="18" customWidth="1"/>
    <col min="3" max="3" width="15" customWidth="1"/>
    <col min="4" max="4" width="23" customWidth="1"/>
    <col min="5" max="5" width="16" customWidth="1"/>
    <col min="6" max="6" width="24" customWidth="1"/>
    <col min="7" max="7" width="14" customWidth="1"/>
    <col min="8" max="8" width="16" customWidth="1"/>
    <col min="9" max="9" width="3" customWidth="1"/>
    <col min="10" max="17" width="12" customWidth="1"/>
  </cols>
  <sheetData>
    <row r="1" spans="1:10" ht="24" customHeight="1">
      <c r="A1" s="39" t="s">
        <v>116</v>
      </c>
      <c r="B1" s="39"/>
      <c r="C1" s="39"/>
      <c r="D1" s="39"/>
      <c r="E1" s="39"/>
      <c r="F1" s="39"/>
      <c r="G1" s="39"/>
      <c r="H1" s="39"/>
      <c r="I1" s="39"/>
      <c r="J1" s="39"/>
    </row>
    <row r="3" spans="1:10" ht="27.15" customHeight="1">
      <c r="A3" s="16" t="s">
        <v>117</v>
      </c>
      <c r="B3" s="18" t="s">
        <v>50</v>
      </c>
      <c r="D3" s="16" t="s">
        <v>118</v>
      </c>
      <c r="E3" s="18" t="s">
        <v>119</v>
      </c>
    </row>
    <row r="4" spans="1:10">
      <c r="A4" s="27" t="s">
        <v>9</v>
      </c>
      <c r="B4" s="29">
        <v>46</v>
      </c>
      <c r="D4" s="27" t="s">
        <v>120</v>
      </c>
      <c r="E4" s="29">
        <f>COUNT('Data Diagnostik'!J5:J50)</f>
        <v>46</v>
      </c>
    </row>
    <row r="5" spans="1:10">
      <c r="A5" s="27" t="s">
        <v>121</v>
      </c>
      <c r="B5" s="29" t="s">
        <v>122</v>
      </c>
      <c r="D5" s="27" t="s">
        <v>123</v>
      </c>
      <c r="E5" s="29">
        <f>IFERROR(ROUND(AVERAGE('Data Diagnostik'!J5:J50),2),"")</f>
        <v>39.86</v>
      </c>
    </row>
    <row r="6" spans="1:10">
      <c r="A6" s="27" t="s">
        <v>12</v>
      </c>
      <c r="B6" s="29">
        <v>75</v>
      </c>
      <c r="D6" s="27" t="s">
        <v>124</v>
      </c>
      <c r="E6" s="29">
        <f>COUNTIF('Data Diagnostik'!K5:K50,"Tuntas")</f>
        <v>5</v>
      </c>
    </row>
    <row r="7" spans="1:10">
      <c r="A7" s="28" t="s">
        <v>125</v>
      </c>
      <c r="B7" s="30">
        <v>24</v>
      </c>
      <c r="D7" s="27" t="s">
        <v>126</v>
      </c>
      <c r="E7" s="29">
        <f>COUNTIF('Data Diagnostik'!K5:K50,"Belum Tuntas")</f>
        <v>41</v>
      </c>
    </row>
    <row r="8" spans="1:10">
      <c r="D8" s="28" t="s">
        <v>127</v>
      </c>
      <c r="E8" s="31">
        <f>IF(E4=0,"",E6/E4)</f>
        <v>0.10869565217391304</v>
      </c>
    </row>
    <row r="10" spans="1:10" ht="27.15" customHeight="1">
      <c r="A10" s="16" t="s">
        <v>27</v>
      </c>
      <c r="B10" s="17" t="s">
        <v>128</v>
      </c>
      <c r="C10" s="17" t="s">
        <v>129</v>
      </c>
      <c r="D10" s="18" t="s">
        <v>130</v>
      </c>
      <c r="F10" s="16" t="s">
        <v>131</v>
      </c>
      <c r="G10" s="17" t="s">
        <v>50</v>
      </c>
      <c r="H10" s="18" t="s">
        <v>132</v>
      </c>
    </row>
    <row r="11" spans="1:10">
      <c r="A11" s="19" t="s">
        <v>28</v>
      </c>
      <c r="B11" s="24">
        <f>IFERROR(ROUND(AVERAGE('Data Diagnostik'!C5:C50),2),"")</f>
        <v>1.85</v>
      </c>
      <c r="C11" s="32">
        <f t="shared" ref="C11:C16" si="0">IF(B11="","",B11/4)</f>
        <v>0.46250000000000002</v>
      </c>
      <c r="D11" s="29" t="str">
        <f t="shared" ref="D11:D16" si="1">IF(B11="","",IF(B11&gt;=3.26,"Sangat Baik",IF(B11&gt;=2.51,"Baik",IF(B11&gt;=1.76,"Cukup","Perlu Bimbingan"))))</f>
        <v>Cukup</v>
      </c>
      <c r="F11" s="27" t="s">
        <v>133</v>
      </c>
      <c r="G11" s="24">
        <f>COUNT('Observasi Kemandirian'!I5:I50)</f>
        <v>46</v>
      </c>
      <c r="H11" s="29" t="s">
        <v>134</v>
      </c>
    </row>
    <row r="12" spans="1:10">
      <c r="A12" s="19" t="s">
        <v>44</v>
      </c>
      <c r="B12" s="24">
        <f>IFERROR(ROUND(AVERAGE('Data Diagnostik'!D5:D50),2),"")</f>
        <v>2.15</v>
      </c>
      <c r="C12" s="32">
        <f t="shared" si="0"/>
        <v>0.53749999999999998</v>
      </c>
      <c r="D12" s="29" t="str">
        <f t="shared" si="1"/>
        <v>Cukup</v>
      </c>
      <c r="F12" s="27" t="s">
        <v>135</v>
      </c>
      <c r="G12" s="24">
        <f>IFERROR(ROUND(AVERAGE('Observasi Kemandirian'!I5:I50),2),"")</f>
        <v>2.14</v>
      </c>
      <c r="H12" s="29" t="s">
        <v>136</v>
      </c>
    </row>
    <row r="13" spans="1:10">
      <c r="A13" s="19" t="s">
        <v>45</v>
      </c>
      <c r="B13" s="24">
        <f>IFERROR(ROUND(AVERAGE('Data Diagnostik'!E5:E50),2),"")</f>
        <v>1.63</v>
      </c>
      <c r="C13" s="32">
        <f t="shared" si="0"/>
        <v>0.40749999999999997</v>
      </c>
      <c r="D13" s="29" t="str">
        <f t="shared" si="1"/>
        <v>Perlu Bimbingan</v>
      </c>
      <c r="F13" s="27" t="s">
        <v>137</v>
      </c>
      <c r="G13" s="24">
        <f>COUNTIF('Observasi Kemandirian'!J5:J50,"Sangat Mandiri")</f>
        <v>0</v>
      </c>
      <c r="H13" s="34">
        <f>IF(G11=0,"",G13/G11)</f>
        <v>0</v>
      </c>
    </row>
    <row r="14" spans="1:10">
      <c r="A14" s="19" t="s">
        <v>46</v>
      </c>
      <c r="B14" s="24">
        <f>IFERROR(ROUND(AVERAGE('Data Diagnostik'!F5:F50),2),"")</f>
        <v>1.1299999999999999</v>
      </c>
      <c r="C14" s="32">
        <f t="shared" si="0"/>
        <v>0.28249999999999997</v>
      </c>
      <c r="D14" s="29" t="str">
        <f t="shared" si="1"/>
        <v>Perlu Bimbingan</v>
      </c>
      <c r="F14" s="27" t="s">
        <v>138</v>
      </c>
      <c r="G14" s="24">
        <f>COUNTIF('Observasi Kemandirian'!J5:J50,"Mandiri")</f>
        <v>4</v>
      </c>
      <c r="H14" s="34">
        <f>IF(G11=0,"",G14/G11)</f>
        <v>8.6956521739130432E-2</v>
      </c>
    </row>
    <row r="15" spans="1:10">
      <c r="A15" s="19" t="s">
        <v>47</v>
      </c>
      <c r="B15" s="24">
        <f>IFERROR(ROUND(AVERAGE('Data Diagnostik'!G5:G50),2),"")</f>
        <v>1.1100000000000001</v>
      </c>
      <c r="C15" s="32">
        <f t="shared" si="0"/>
        <v>0.27750000000000002</v>
      </c>
      <c r="D15" s="29" t="str">
        <f t="shared" si="1"/>
        <v>Perlu Bimbingan</v>
      </c>
      <c r="F15" s="27" t="s">
        <v>139</v>
      </c>
      <c r="G15" s="24">
        <f>COUNTIF('Observasi Kemandirian'!J5:J50,"Kurang Mandiri")</f>
        <v>42</v>
      </c>
      <c r="H15" s="34">
        <f>IF(G11=0,"",G15/G11)</f>
        <v>0.91304347826086951</v>
      </c>
    </row>
    <row r="16" spans="1:10">
      <c r="A16" s="20" t="s">
        <v>48</v>
      </c>
      <c r="B16" s="26">
        <f>IFERROR(ROUND(AVERAGE('Data Diagnostik'!H5:H50),2),"")</f>
        <v>1.7</v>
      </c>
      <c r="C16" s="33">
        <f t="shared" si="0"/>
        <v>0.42499999999999999</v>
      </c>
      <c r="D16" s="30" t="str">
        <f t="shared" si="1"/>
        <v>Perlu Bimbingan</v>
      </c>
      <c r="F16" s="28" t="s">
        <v>140</v>
      </c>
      <c r="G16" s="26">
        <f>COUNTIF('Observasi Kemandirian'!J5:J50,"Belum Mandiri")</f>
        <v>0</v>
      </c>
      <c r="H16" s="31">
        <f>IF(G11=0,"",G16/G11)</f>
        <v>0</v>
      </c>
    </row>
    <row r="18" spans="1:11" ht="27.15" customHeight="1">
      <c r="J18" s="16" t="s">
        <v>141</v>
      </c>
      <c r="K18" s="18" t="s">
        <v>142</v>
      </c>
    </row>
    <row r="19" spans="1:11" ht="27.15" customHeight="1">
      <c r="J19" s="57" t="s">
        <v>124</v>
      </c>
      <c r="K19" s="4">
        <f>E6</f>
        <v>5</v>
      </c>
    </row>
    <row r="20" spans="1:11" ht="27.15" customHeight="1">
      <c r="J20" s="57" t="s">
        <v>126</v>
      </c>
      <c r="K20" s="6">
        <f>E7</f>
        <v>41</v>
      </c>
    </row>
    <row r="21" spans="1:11" ht="27.15" customHeight="1">
      <c r="J21" s="59"/>
      <c r="K21" s="58"/>
    </row>
    <row r="22" spans="1:11">
      <c r="A22" s="41" t="s">
        <v>143</v>
      </c>
      <c r="B22" s="41"/>
      <c r="C22" s="41"/>
      <c r="D22" s="41"/>
      <c r="E22" s="41"/>
      <c r="F22" s="41"/>
      <c r="G22" s="41"/>
      <c r="H22" s="41"/>
      <c r="I22" s="41"/>
      <c r="J22" s="47" t="s">
        <v>124</v>
      </c>
    </row>
    <row r="23" spans="1:11">
      <c r="A23" s="48" t="s">
        <v>144</v>
      </c>
      <c r="B23" s="49"/>
      <c r="C23" s="49"/>
      <c r="D23" s="49"/>
      <c r="E23" s="49"/>
      <c r="F23" s="49"/>
      <c r="G23" s="49"/>
      <c r="H23" s="49"/>
      <c r="I23" s="49"/>
      <c r="J23" s="50" t="s">
        <v>126</v>
      </c>
    </row>
    <row r="24" spans="1:11">
      <c r="A24" s="51"/>
      <c r="B24" s="52"/>
      <c r="C24" s="52"/>
      <c r="D24" s="52"/>
      <c r="E24" s="52"/>
      <c r="F24" s="52"/>
      <c r="G24" s="52"/>
      <c r="H24" s="52"/>
      <c r="I24" s="52"/>
      <c r="J24" s="53"/>
    </row>
    <row r="25" spans="1:11">
      <c r="A25" s="51"/>
      <c r="B25" s="52"/>
      <c r="C25" s="52"/>
      <c r="D25" s="52"/>
      <c r="E25" s="52"/>
      <c r="F25" s="52"/>
      <c r="G25" s="52"/>
      <c r="H25" s="52"/>
      <c r="I25" s="52"/>
      <c r="J25" s="53"/>
    </row>
    <row r="26" spans="1:11">
      <c r="A26" s="51"/>
      <c r="B26" s="52"/>
      <c r="C26" s="52"/>
      <c r="D26" s="52"/>
      <c r="E26" s="52"/>
      <c r="F26" s="52"/>
      <c r="G26" s="52"/>
      <c r="H26" s="52"/>
      <c r="I26" s="52"/>
      <c r="J26" s="53"/>
    </row>
    <row r="27" spans="1:11">
      <c r="A27" s="54"/>
      <c r="B27" s="55"/>
      <c r="C27" s="55"/>
      <c r="D27" s="55"/>
      <c r="E27" s="55"/>
      <c r="F27" s="55"/>
      <c r="G27" s="55"/>
      <c r="H27" s="55"/>
      <c r="I27" s="55"/>
      <c r="J27" s="56"/>
    </row>
  </sheetData>
  <mergeCells count="3">
    <mergeCell ref="A1:J1"/>
    <mergeCell ref="A22:J22"/>
    <mergeCell ref="A23:J27"/>
  </mergeCells>
  <conditionalFormatting sqref="B11:C16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Petunjuk</vt:lpstr>
      <vt:lpstr>Data Diagnostik</vt:lpstr>
      <vt:lpstr>Observasi Kemandirian</vt:lpstr>
      <vt:lpstr>Rekap &amp;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Ahmad Nursyifa</cp:lastModifiedBy>
  <dcterms:modified xsi:type="dcterms:W3CDTF">2026-10-13T15:28:04Z</dcterms:modified>
</cp:coreProperties>
</file>