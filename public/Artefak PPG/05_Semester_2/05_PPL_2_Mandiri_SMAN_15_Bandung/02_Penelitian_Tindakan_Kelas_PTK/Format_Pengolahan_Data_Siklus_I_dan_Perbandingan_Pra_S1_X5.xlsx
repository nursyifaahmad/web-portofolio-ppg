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PG\SEMESTER 2\PPL\X-5\PTK\"/>
    </mc:Choice>
  </mc:AlternateContent>
  <xr:revisionPtr revIDLastSave="0" documentId="13_ncr:1_{4A543144-BDFF-45D3-AA4D-25A96F44EE56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Petunjuk" sheetId="1" r:id="rId1"/>
    <sheet name="Data Diagnostik" sheetId="2" r:id="rId2"/>
    <sheet name="Observasi Kemandirian" sheetId="3" r:id="rId3"/>
    <sheet name="Rekap &amp; Dashboard" sheetId="4" r:id="rId4"/>
    <sheet name="Petunjuk Siklus I" sheetId="5" r:id="rId5"/>
    <sheet name="Data Siklus I" sheetId="6" r:id="rId6"/>
    <sheet name="Obs Kemandirian S1" sheetId="7" r:id="rId7"/>
    <sheet name="Refleksi Siklus I" sheetId="8" r:id="rId8"/>
    <sheet name="Perbandingan Pra-S1" sheetId="9" r:id="rId9"/>
    <sheet name="Dashboard Siklus I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8" l="1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I50" i="7"/>
  <c r="J50" i="7" s="1"/>
  <c r="K50" i="7" s="1"/>
  <c r="L50" i="7"/>
  <c r="L49" i="7"/>
  <c r="I49" i="7"/>
  <c r="J49" i="7" s="1"/>
  <c r="K49" i="7" s="1"/>
  <c r="L48" i="7"/>
  <c r="K48" i="9" s="1"/>
  <c r="I48" i="7"/>
  <c r="J48" i="7" s="1"/>
  <c r="K48" i="7" s="1"/>
  <c r="L47" i="7"/>
  <c r="I47" i="7"/>
  <c r="J47" i="7" s="1"/>
  <c r="K47" i="7" s="1"/>
  <c r="L46" i="7"/>
  <c r="I45" i="7"/>
  <c r="J45" i="7" s="1"/>
  <c r="K45" i="7" s="1"/>
  <c r="L44" i="7"/>
  <c r="L43" i="7"/>
  <c r="I43" i="7"/>
  <c r="J43" i="7" s="1"/>
  <c r="K43" i="7" s="1"/>
  <c r="I42" i="7"/>
  <c r="J42" i="7" s="1"/>
  <c r="K42" i="7" s="1"/>
  <c r="L42" i="7"/>
  <c r="L41" i="7"/>
  <c r="I41" i="7"/>
  <c r="J41" i="7" s="1"/>
  <c r="K41" i="7" s="1"/>
  <c r="L40" i="7"/>
  <c r="I40" i="7"/>
  <c r="J40" i="7" s="1"/>
  <c r="K40" i="7" s="1"/>
  <c r="L39" i="7"/>
  <c r="I39" i="7"/>
  <c r="J39" i="7" s="1"/>
  <c r="K39" i="7" s="1"/>
  <c r="L38" i="7"/>
  <c r="K38" i="9" s="1"/>
  <c r="I37" i="7"/>
  <c r="J37" i="7" s="1"/>
  <c r="K37" i="7" s="1"/>
  <c r="L36" i="7"/>
  <c r="L35" i="7"/>
  <c r="I35" i="7"/>
  <c r="J35" i="7" s="1"/>
  <c r="K35" i="7" s="1"/>
  <c r="I34" i="7"/>
  <c r="J34" i="7" s="1"/>
  <c r="K34" i="7" s="1"/>
  <c r="I33" i="7"/>
  <c r="J33" i="7" s="1"/>
  <c r="K33" i="7" s="1"/>
  <c r="L32" i="7"/>
  <c r="K32" i="9" s="1"/>
  <c r="I32" i="7"/>
  <c r="J32" i="7" s="1"/>
  <c r="K32" i="7" s="1"/>
  <c r="L31" i="7"/>
  <c r="I31" i="7"/>
  <c r="J31" i="7" s="1"/>
  <c r="K31" i="7" s="1"/>
  <c r="L30" i="7"/>
  <c r="I29" i="7"/>
  <c r="J29" i="7" s="1"/>
  <c r="K29" i="7" s="1"/>
  <c r="L28" i="7"/>
  <c r="L27" i="7"/>
  <c r="I27" i="7"/>
  <c r="J27" i="7" s="1"/>
  <c r="K27" i="7" s="1"/>
  <c r="I26" i="7"/>
  <c r="J26" i="7" s="1"/>
  <c r="K26" i="7" s="1"/>
  <c r="I25" i="7"/>
  <c r="J25" i="7" s="1"/>
  <c r="K25" i="7" s="1"/>
  <c r="L24" i="7"/>
  <c r="I24" i="7"/>
  <c r="J24" i="7" s="1"/>
  <c r="K24" i="7" s="1"/>
  <c r="I23" i="7"/>
  <c r="J23" i="7" s="1"/>
  <c r="K23" i="7" s="1"/>
  <c r="L22" i="7"/>
  <c r="K22" i="9" s="1"/>
  <c r="I21" i="7"/>
  <c r="J21" i="7" s="1"/>
  <c r="K21" i="7" s="1"/>
  <c r="L20" i="7"/>
  <c r="L19" i="7"/>
  <c r="K19" i="9" s="1"/>
  <c r="I19" i="7"/>
  <c r="J19" i="7" s="1"/>
  <c r="K19" i="7" s="1"/>
  <c r="I18" i="7"/>
  <c r="J18" i="7" s="1"/>
  <c r="K18" i="7" s="1"/>
  <c r="L18" i="7"/>
  <c r="I17" i="7"/>
  <c r="J17" i="7" s="1"/>
  <c r="K17" i="7" s="1"/>
  <c r="L16" i="7"/>
  <c r="I16" i="7"/>
  <c r="J16" i="7" s="1"/>
  <c r="K16" i="7" s="1"/>
  <c r="L15" i="7"/>
  <c r="I15" i="7"/>
  <c r="J15" i="7" s="1"/>
  <c r="K15" i="7" s="1"/>
  <c r="L14" i="7"/>
  <c r="K14" i="9" s="1"/>
  <c r="I13" i="7"/>
  <c r="J13" i="7" s="1"/>
  <c r="K13" i="7" s="1"/>
  <c r="L12" i="7"/>
  <c r="L11" i="7"/>
  <c r="I11" i="7"/>
  <c r="J11" i="7" s="1"/>
  <c r="K11" i="7" s="1"/>
  <c r="I10" i="7"/>
  <c r="J10" i="7" s="1"/>
  <c r="K10" i="7" s="1"/>
  <c r="L10" i="7"/>
  <c r="I9" i="7"/>
  <c r="J9" i="7" s="1"/>
  <c r="K9" i="7" s="1"/>
  <c r="L8" i="7"/>
  <c r="I8" i="7"/>
  <c r="J8" i="7" s="1"/>
  <c r="K8" i="7" s="1"/>
  <c r="L7" i="7"/>
  <c r="I7" i="7"/>
  <c r="J7" i="7" s="1"/>
  <c r="K7" i="7" s="1"/>
  <c r="L6" i="7"/>
  <c r="I5" i="7"/>
  <c r="J5" i="7" s="1"/>
  <c r="K5" i="7" s="1"/>
  <c r="G17" i="10"/>
  <c r="G16" i="10"/>
  <c r="G15" i="10"/>
  <c r="G14" i="10"/>
  <c r="G13" i="10"/>
  <c r="G12" i="10"/>
  <c r="E8" i="10"/>
  <c r="B8" i="10"/>
  <c r="E7" i="10"/>
  <c r="B7" i="10"/>
  <c r="E6" i="10"/>
  <c r="B6" i="10"/>
  <c r="E5" i="10"/>
  <c r="B5" i="10"/>
  <c r="E4" i="10"/>
  <c r="B4" i="10"/>
  <c r="C50" i="9"/>
  <c r="B50" i="9"/>
  <c r="A50" i="9"/>
  <c r="C49" i="9"/>
  <c r="B49" i="9"/>
  <c r="A49" i="9"/>
  <c r="C48" i="9"/>
  <c r="B48" i="9"/>
  <c r="A48" i="9"/>
  <c r="C47" i="9"/>
  <c r="B47" i="9"/>
  <c r="A47" i="9"/>
  <c r="C46" i="9"/>
  <c r="B46" i="9"/>
  <c r="A46" i="9"/>
  <c r="C45" i="9"/>
  <c r="B45" i="9"/>
  <c r="A45" i="9"/>
  <c r="C44" i="9"/>
  <c r="B44" i="9"/>
  <c r="A44" i="9"/>
  <c r="C43" i="9"/>
  <c r="B43" i="9"/>
  <c r="A43" i="9"/>
  <c r="C42" i="9"/>
  <c r="B42" i="9"/>
  <c r="A42" i="9"/>
  <c r="C41" i="9"/>
  <c r="B41" i="9"/>
  <c r="A41" i="9"/>
  <c r="C40" i="9"/>
  <c r="B40" i="9"/>
  <c r="A40" i="9"/>
  <c r="C39" i="9"/>
  <c r="B39" i="9"/>
  <c r="A39" i="9"/>
  <c r="C38" i="9"/>
  <c r="B38" i="9"/>
  <c r="A38" i="9"/>
  <c r="C37" i="9"/>
  <c r="B37" i="9"/>
  <c r="A37" i="9"/>
  <c r="C36" i="9"/>
  <c r="B36" i="9"/>
  <c r="A36" i="9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T9" i="9"/>
  <c r="D9" i="9"/>
  <c r="E9" i="9" s="1"/>
  <c r="C9" i="9"/>
  <c r="B9" i="9"/>
  <c r="A9" i="9"/>
  <c r="T8" i="9"/>
  <c r="C8" i="9"/>
  <c r="B8" i="9"/>
  <c r="A8" i="9"/>
  <c r="C7" i="9"/>
  <c r="B7" i="9"/>
  <c r="A7" i="9"/>
  <c r="C6" i="9"/>
  <c r="B6" i="9"/>
  <c r="A6" i="9"/>
  <c r="C5" i="9"/>
  <c r="B5" i="9"/>
  <c r="A5" i="9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37" i="7"/>
  <c r="L37" i="9" s="1"/>
  <c r="L34" i="7"/>
  <c r="L33" i="7"/>
  <c r="L29" i="7"/>
  <c r="L26" i="7"/>
  <c r="L26" i="9" s="1"/>
  <c r="L25" i="7"/>
  <c r="K25" i="9" s="1"/>
  <c r="L23" i="7"/>
  <c r="L21" i="7"/>
  <c r="K21" i="9" s="1"/>
  <c r="L17" i="7"/>
  <c r="L13" i="7"/>
  <c r="L9" i="7"/>
  <c r="K9" i="9" s="1"/>
  <c r="L5" i="7"/>
  <c r="M50" i="6"/>
  <c r="D50" i="9" s="1"/>
  <c r="J50" i="6"/>
  <c r="K50" i="6" s="1"/>
  <c r="L50" i="6" s="1"/>
  <c r="M49" i="6"/>
  <c r="D49" i="9" s="1"/>
  <c r="J49" i="6"/>
  <c r="K49" i="6" s="1"/>
  <c r="L49" i="6" s="1"/>
  <c r="M48" i="6"/>
  <c r="D48" i="9" s="1"/>
  <c r="J48" i="6"/>
  <c r="K48" i="6" s="1"/>
  <c r="L48" i="6" s="1"/>
  <c r="M47" i="6"/>
  <c r="D47" i="9" s="1"/>
  <c r="J47" i="6"/>
  <c r="K47" i="6" s="1"/>
  <c r="L47" i="6" s="1"/>
  <c r="M46" i="6"/>
  <c r="D46" i="9" s="1"/>
  <c r="E46" i="9" s="1"/>
  <c r="J46" i="6"/>
  <c r="K46" i="6" s="1"/>
  <c r="L46" i="6" s="1"/>
  <c r="M45" i="6"/>
  <c r="D45" i="9" s="1"/>
  <c r="J45" i="6"/>
  <c r="K45" i="6" s="1"/>
  <c r="L45" i="6" s="1"/>
  <c r="M44" i="6"/>
  <c r="D44" i="9" s="1"/>
  <c r="J44" i="6"/>
  <c r="K44" i="6" s="1"/>
  <c r="L44" i="6" s="1"/>
  <c r="M43" i="6"/>
  <c r="D43" i="9" s="1"/>
  <c r="J43" i="6"/>
  <c r="K43" i="6" s="1"/>
  <c r="L43" i="6" s="1"/>
  <c r="M42" i="6"/>
  <c r="D42" i="9" s="1"/>
  <c r="J42" i="6"/>
  <c r="K42" i="6" s="1"/>
  <c r="L42" i="6" s="1"/>
  <c r="M41" i="6"/>
  <c r="D41" i="9" s="1"/>
  <c r="J41" i="6"/>
  <c r="K41" i="6" s="1"/>
  <c r="L41" i="6" s="1"/>
  <c r="M40" i="6"/>
  <c r="D40" i="9" s="1"/>
  <c r="J40" i="6"/>
  <c r="K40" i="6" s="1"/>
  <c r="L40" i="6" s="1"/>
  <c r="M39" i="6"/>
  <c r="D39" i="9" s="1"/>
  <c r="J39" i="6"/>
  <c r="K39" i="6" s="1"/>
  <c r="L39" i="6" s="1"/>
  <c r="M38" i="6"/>
  <c r="D38" i="9" s="1"/>
  <c r="J38" i="6"/>
  <c r="K38" i="6" s="1"/>
  <c r="L38" i="6" s="1"/>
  <c r="M37" i="6"/>
  <c r="D37" i="9" s="1"/>
  <c r="J37" i="6"/>
  <c r="K37" i="6" s="1"/>
  <c r="L37" i="6" s="1"/>
  <c r="M36" i="6"/>
  <c r="D36" i="9" s="1"/>
  <c r="J36" i="6"/>
  <c r="K36" i="6" s="1"/>
  <c r="L36" i="6" s="1"/>
  <c r="M35" i="6"/>
  <c r="D35" i="9" s="1"/>
  <c r="J35" i="6"/>
  <c r="K35" i="6" s="1"/>
  <c r="L35" i="6" s="1"/>
  <c r="M34" i="6"/>
  <c r="D34" i="9" s="1"/>
  <c r="J34" i="6"/>
  <c r="K34" i="6" s="1"/>
  <c r="L34" i="6" s="1"/>
  <c r="M33" i="6"/>
  <c r="D33" i="9" s="1"/>
  <c r="H33" i="9" s="1"/>
  <c r="J33" i="6"/>
  <c r="K33" i="6" s="1"/>
  <c r="L33" i="6" s="1"/>
  <c r="M32" i="6"/>
  <c r="D32" i="9" s="1"/>
  <c r="J32" i="6"/>
  <c r="K32" i="6" s="1"/>
  <c r="L32" i="6" s="1"/>
  <c r="M31" i="6"/>
  <c r="D31" i="9" s="1"/>
  <c r="J31" i="6"/>
  <c r="K31" i="6" s="1"/>
  <c r="L31" i="6" s="1"/>
  <c r="M30" i="6"/>
  <c r="D30" i="9" s="1"/>
  <c r="E30" i="9" s="1"/>
  <c r="J30" i="6"/>
  <c r="K30" i="6" s="1"/>
  <c r="L30" i="6" s="1"/>
  <c r="M29" i="6"/>
  <c r="D29" i="9" s="1"/>
  <c r="J29" i="6"/>
  <c r="K29" i="6" s="1"/>
  <c r="L29" i="6" s="1"/>
  <c r="M28" i="6"/>
  <c r="J28" i="6"/>
  <c r="K28" i="6" s="1"/>
  <c r="L28" i="6" s="1"/>
  <c r="M27" i="6"/>
  <c r="D27" i="9" s="1"/>
  <c r="J27" i="6"/>
  <c r="K27" i="6" s="1"/>
  <c r="L27" i="6" s="1"/>
  <c r="M26" i="6"/>
  <c r="D26" i="9" s="1"/>
  <c r="I26" i="9" s="1"/>
  <c r="J26" i="6"/>
  <c r="K26" i="6" s="1"/>
  <c r="L26" i="6" s="1"/>
  <c r="M25" i="6"/>
  <c r="D25" i="9" s="1"/>
  <c r="H25" i="9" s="1"/>
  <c r="J25" i="6"/>
  <c r="K25" i="6" s="1"/>
  <c r="L25" i="6" s="1"/>
  <c r="M24" i="6"/>
  <c r="D24" i="9" s="1"/>
  <c r="J24" i="6"/>
  <c r="K24" i="6" s="1"/>
  <c r="L24" i="6" s="1"/>
  <c r="M23" i="6"/>
  <c r="D23" i="9" s="1"/>
  <c r="J23" i="6"/>
  <c r="K23" i="6" s="1"/>
  <c r="L23" i="6" s="1"/>
  <c r="M22" i="6"/>
  <c r="D22" i="9" s="1"/>
  <c r="E22" i="9" s="1"/>
  <c r="J22" i="6"/>
  <c r="K22" i="6" s="1"/>
  <c r="L22" i="6" s="1"/>
  <c r="M21" i="6"/>
  <c r="D21" i="9" s="1"/>
  <c r="J21" i="6"/>
  <c r="K21" i="6" s="1"/>
  <c r="L21" i="6" s="1"/>
  <c r="M20" i="6"/>
  <c r="D20" i="9" s="1"/>
  <c r="J20" i="6"/>
  <c r="K20" i="6" s="1"/>
  <c r="L20" i="6" s="1"/>
  <c r="M19" i="6"/>
  <c r="D19" i="9" s="1"/>
  <c r="E19" i="9" s="1"/>
  <c r="J19" i="6"/>
  <c r="K19" i="6" s="1"/>
  <c r="L19" i="6" s="1"/>
  <c r="M18" i="6"/>
  <c r="D18" i="9" s="1"/>
  <c r="J18" i="6"/>
  <c r="K18" i="6" s="1"/>
  <c r="L18" i="6" s="1"/>
  <c r="M17" i="6"/>
  <c r="D17" i="9" s="1"/>
  <c r="J17" i="6"/>
  <c r="K17" i="6" s="1"/>
  <c r="L17" i="6" s="1"/>
  <c r="M16" i="6"/>
  <c r="D16" i="9" s="1"/>
  <c r="J16" i="6"/>
  <c r="K16" i="6" s="1"/>
  <c r="L16" i="6" s="1"/>
  <c r="M15" i="6"/>
  <c r="D15" i="9" s="1"/>
  <c r="J15" i="6"/>
  <c r="K15" i="6" s="1"/>
  <c r="L15" i="6" s="1"/>
  <c r="M14" i="6"/>
  <c r="D14" i="9" s="1"/>
  <c r="J14" i="6"/>
  <c r="K14" i="6" s="1"/>
  <c r="L14" i="6" s="1"/>
  <c r="M13" i="6"/>
  <c r="D13" i="9" s="1"/>
  <c r="J13" i="6"/>
  <c r="K13" i="6" s="1"/>
  <c r="L13" i="6" s="1"/>
  <c r="M12" i="6"/>
  <c r="D12" i="9" s="1"/>
  <c r="J12" i="6"/>
  <c r="K12" i="6" s="1"/>
  <c r="L12" i="6" s="1"/>
  <c r="M11" i="6"/>
  <c r="D11" i="9" s="1"/>
  <c r="J11" i="6"/>
  <c r="K11" i="6" s="1"/>
  <c r="L11" i="6" s="1"/>
  <c r="M10" i="6"/>
  <c r="D10" i="9" s="1"/>
  <c r="J10" i="6"/>
  <c r="K10" i="6" s="1"/>
  <c r="L10" i="6" s="1"/>
  <c r="M9" i="6"/>
  <c r="J9" i="6"/>
  <c r="K9" i="6" s="1"/>
  <c r="L9" i="6" s="1"/>
  <c r="M8" i="6"/>
  <c r="D8" i="9" s="1"/>
  <c r="F8" i="9" s="1"/>
  <c r="J8" i="6"/>
  <c r="K8" i="6" s="1"/>
  <c r="L8" i="6" s="1"/>
  <c r="M7" i="6"/>
  <c r="D7" i="9" s="1"/>
  <c r="J7" i="6"/>
  <c r="K7" i="6" s="1"/>
  <c r="L7" i="6" s="1"/>
  <c r="M6" i="6"/>
  <c r="D6" i="9" s="1"/>
  <c r="H6" i="9" s="1"/>
  <c r="J6" i="6"/>
  <c r="K6" i="6" s="1"/>
  <c r="L6" i="6" s="1"/>
  <c r="M5" i="6"/>
  <c r="J5" i="6"/>
  <c r="K5" i="6" s="1"/>
  <c r="L5" i="6" s="1"/>
  <c r="D16" i="4"/>
  <c r="C16" i="4"/>
  <c r="B16" i="4"/>
  <c r="B15" i="4"/>
  <c r="D14" i="4"/>
  <c r="C14" i="4"/>
  <c r="B14" i="4"/>
  <c r="B13" i="4"/>
  <c r="D13" i="4" s="1"/>
  <c r="B12" i="4"/>
  <c r="C11" i="4"/>
  <c r="B11" i="4"/>
  <c r="D11" i="4" s="1"/>
  <c r="H50" i="3"/>
  <c r="I50" i="3" s="1"/>
  <c r="J50" i="3" s="1"/>
  <c r="H49" i="3"/>
  <c r="I49" i="3" s="1"/>
  <c r="J49" i="3" s="1"/>
  <c r="H48" i="3"/>
  <c r="I48" i="3" s="1"/>
  <c r="J48" i="3" s="1"/>
  <c r="H47" i="3"/>
  <c r="I47" i="3" s="1"/>
  <c r="J47" i="3" s="1"/>
  <c r="I46" i="3"/>
  <c r="J46" i="3" s="1"/>
  <c r="H46" i="3"/>
  <c r="H45" i="3"/>
  <c r="I45" i="3" s="1"/>
  <c r="J45" i="3" s="1"/>
  <c r="J44" i="3"/>
  <c r="I44" i="3"/>
  <c r="H44" i="3"/>
  <c r="H43" i="3"/>
  <c r="I43" i="3" s="1"/>
  <c r="J43" i="3" s="1"/>
  <c r="I42" i="3"/>
  <c r="J42" i="3" s="1"/>
  <c r="H42" i="3"/>
  <c r="I41" i="3"/>
  <c r="J41" i="3" s="1"/>
  <c r="H41" i="3"/>
  <c r="H40" i="3"/>
  <c r="I40" i="3" s="1"/>
  <c r="J40" i="3" s="1"/>
  <c r="I39" i="3"/>
  <c r="J39" i="3" s="1"/>
  <c r="H39" i="3"/>
  <c r="H38" i="3"/>
  <c r="I38" i="3" s="1"/>
  <c r="J38" i="3" s="1"/>
  <c r="H37" i="3"/>
  <c r="I37" i="3" s="1"/>
  <c r="J37" i="3" s="1"/>
  <c r="I36" i="3"/>
  <c r="J36" i="3" s="1"/>
  <c r="H36" i="3"/>
  <c r="I35" i="3"/>
  <c r="J35" i="3" s="1"/>
  <c r="H35" i="3"/>
  <c r="H34" i="3"/>
  <c r="I34" i="3" s="1"/>
  <c r="J34" i="3" s="1"/>
  <c r="H33" i="3"/>
  <c r="I33" i="3" s="1"/>
  <c r="J33" i="3" s="1"/>
  <c r="H32" i="3"/>
  <c r="I32" i="3" s="1"/>
  <c r="J32" i="3" s="1"/>
  <c r="H31" i="3"/>
  <c r="I31" i="3" s="1"/>
  <c r="J31" i="3" s="1"/>
  <c r="I30" i="3"/>
  <c r="J30" i="3" s="1"/>
  <c r="H30" i="3"/>
  <c r="I29" i="3"/>
  <c r="J29" i="3" s="1"/>
  <c r="H29" i="3"/>
  <c r="J28" i="3"/>
  <c r="I28" i="3"/>
  <c r="H28" i="3"/>
  <c r="H27" i="3"/>
  <c r="I27" i="3" s="1"/>
  <c r="J27" i="3" s="1"/>
  <c r="H26" i="3"/>
  <c r="I26" i="3" s="1"/>
  <c r="J26" i="3" s="1"/>
  <c r="H25" i="3"/>
  <c r="I25" i="3" s="1"/>
  <c r="J25" i="3" s="1"/>
  <c r="H24" i="3"/>
  <c r="I24" i="3" s="1"/>
  <c r="J24" i="3" s="1"/>
  <c r="J23" i="3"/>
  <c r="I23" i="3"/>
  <c r="H23" i="3"/>
  <c r="H22" i="3"/>
  <c r="I22" i="3" s="1"/>
  <c r="J22" i="3" s="1"/>
  <c r="I21" i="3"/>
  <c r="J21" i="3" s="1"/>
  <c r="H21" i="3"/>
  <c r="H20" i="3"/>
  <c r="I20" i="3" s="1"/>
  <c r="J20" i="3" s="1"/>
  <c r="H19" i="3"/>
  <c r="I19" i="3" s="1"/>
  <c r="J19" i="3" s="1"/>
  <c r="H18" i="3"/>
  <c r="I18" i="3" s="1"/>
  <c r="J18" i="3" s="1"/>
  <c r="H17" i="3"/>
  <c r="I17" i="3" s="1"/>
  <c r="J17" i="3" s="1"/>
  <c r="I16" i="3"/>
  <c r="J16" i="3" s="1"/>
  <c r="H16" i="3"/>
  <c r="I15" i="3"/>
  <c r="J15" i="3" s="1"/>
  <c r="H15" i="3"/>
  <c r="H14" i="3"/>
  <c r="I14" i="3" s="1"/>
  <c r="J14" i="3" s="1"/>
  <c r="H13" i="3"/>
  <c r="I13" i="3" s="1"/>
  <c r="J13" i="3" s="1"/>
  <c r="J12" i="3"/>
  <c r="I12" i="3"/>
  <c r="H12" i="3"/>
  <c r="I11" i="3"/>
  <c r="J11" i="3" s="1"/>
  <c r="H11" i="3"/>
  <c r="H10" i="3"/>
  <c r="I10" i="3" s="1"/>
  <c r="J10" i="3" s="1"/>
  <c r="I9" i="3"/>
  <c r="J9" i="3" s="1"/>
  <c r="H9" i="3"/>
  <c r="I8" i="3"/>
  <c r="J8" i="3" s="1"/>
  <c r="H8" i="3"/>
  <c r="I7" i="3"/>
  <c r="J7" i="3" s="1"/>
  <c r="H7" i="3"/>
  <c r="H6" i="3"/>
  <c r="I6" i="3" s="1"/>
  <c r="J6" i="3" s="1"/>
  <c r="I5" i="3"/>
  <c r="H5" i="3"/>
  <c r="I50" i="2"/>
  <c r="J50" i="2" s="1"/>
  <c r="K50" i="2" s="1"/>
  <c r="J49" i="2"/>
  <c r="K49" i="2" s="1"/>
  <c r="I49" i="2"/>
  <c r="I48" i="2"/>
  <c r="J48" i="2" s="1"/>
  <c r="K48" i="2" s="1"/>
  <c r="I47" i="2"/>
  <c r="J47" i="2" s="1"/>
  <c r="K47" i="2" s="1"/>
  <c r="K46" i="2"/>
  <c r="J46" i="2"/>
  <c r="I46" i="2"/>
  <c r="J45" i="2"/>
  <c r="K45" i="2" s="1"/>
  <c r="I45" i="2"/>
  <c r="K44" i="2"/>
  <c r="I44" i="2"/>
  <c r="J44" i="2" s="1"/>
  <c r="J43" i="2"/>
  <c r="K43" i="2" s="1"/>
  <c r="I43" i="2"/>
  <c r="K42" i="2"/>
  <c r="J42" i="2"/>
  <c r="I42" i="2"/>
  <c r="I41" i="2"/>
  <c r="J41" i="2" s="1"/>
  <c r="K41" i="2" s="1"/>
  <c r="I40" i="2"/>
  <c r="J40" i="2" s="1"/>
  <c r="K40" i="2" s="1"/>
  <c r="I39" i="2"/>
  <c r="J39" i="2" s="1"/>
  <c r="K39" i="2" s="1"/>
  <c r="I38" i="2"/>
  <c r="J38" i="2" s="1"/>
  <c r="K38" i="2" s="1"/>
  <c r="K37" i="2"/>
  <c r="J37" i="2"/>
  <c r="I37" i="2"/>
  <c r="I36" i="2"/>
  <c r="J36" i="2" s="1"/>
  <c r="K36" i="2" s="1"/>
  <c r="I35" i="2"/>
  <c r="J35" i="2" s="1"/>
  <c r="K35" i="2" s="1"/>
  <c r="I34" i="2"/>
  <c r="J34" i="2" s="1"/>
  <c r="K34" i="2" s="1"/>
  <c r="I33" i="2"/>
  <c r="J33" i="2" s="1"/>
  <c r="K33" i="2" s="1"/>
  <c r="I32" i="2"/>
  <c r="J32" i="2" s="1"/>
  <c r="K32" i="2" s="1"/>
  <c r="I31" i="2"/>
  <c r="J31" i="2" s="1"/>
  <c r="K31" i="2" s="1"/>
  <c r="I30" i="2"/>
  <c r="J30" i="2" s="1"/>
  <c r="K30" i="2" s="1"/>
  <c r="I29" i="2"/>
  <c r="J29" i="2" s="1"/>
  <c r="K29" i="2" s="1"/>
  <c r="K28" i="2"/>
  <c r="I28" i="2"/>
  <c r="J28" i="2" s="1"/>
  <c r="I27" i="2"/>
  <c r="J27" i="2" s="1"/>
  <c r="K27" i="2" s="1"/>
  <c r="K26" i="2"/>
  <c r="J26" i="2"/>
  <c r="I26" i="2"/>
  <c r="J25" i="2"/>
  <c r="K25" i="2" s="1"/>
  <c r="I25" i="2"/>
  <c r="I24" i="2"/>
  <c r="J24" i="2" s="1"/>
  <c r="K24" i="2" s="1"/>
  <c r="I23" i="2"/>
  <c r="J23" i="2" s="1"/>
  <c r="K23" i="2" s="1"/>
  <c r="I22" i="2"/>
  <c r="J22" i="2" s="1"/>
  <c r="K22" i="2" s="1"/>
  <c r="J21" i="2"/>
  <c r="K21" i="2" s="1"/>
  <c r="I21" i="2"/>
  <c r="I20" i="2"/>
  <c r="J20" i="2" s="1"/>
  <c r="K20" i="2" s="1"/>
  <c r="J19" i="2"/>
  <c r="K19" i="2" s="1"/>
  <c r="I19" i="2"/>
  <c r="I18" i="2"/>
  <c r="J18" i="2" s="1"/>
  <c r="K18" i="2" s="1"/>
  <c r="I17" i="2"/>
  <c r="J17" i="2" s="1"/>
  <c r="K17" i="2" s="1"/>
  <c r="I16" i="2"/>
  <c r="J16" i="2" s="1"/>
  <c r="K16" i="2" s="1"/>
  <c r="I15" i="2"/>
  <c r="J15" i="2" s="1"/>
  <c r="K15" i="2" s="1"/>
  <c r="I14" i="2"/>
  <c r="J14" i="2" s="1"/>
  <c r="K14" i="2" s="1"/>
  <c r="K13" i="2"/>
  <c r="J13" i="2"/>
  <c r="I13" i="2"/>
  <c r="J12" i="2"/>
  <c r="K12" i="2" s="1"/>
  <c r="I12" i="2"/>
  <c r="I11" i="2"/>
  <c r="J11" i="2" s="1"/>
  <c r="K11" i="2" s="1"/>
  <c r="K10" i="2"/>
  <c r="J10" i="2"/>
  <c r="I10" i="2"/>
  <c r="I9" i="2"/>
  <c r="J9" i="2" s="1"/>
  <c r="K9" i="2" s="1"/>
  <c r="I8" i="2"/>
  <c r="J8" i="2" s="1"/>
  <c r="K8" i="2" s="1"/>
  <c r="K7" i="2"/>
  <c r="I7" i="2"/>
  <c r="J7" i="2" s="1"/>
  <c r="J6" i="2"/>
  <c r="K6" i="2" s="1"/>
  <c r="I6" i="2"/>
  <c r="J5" i="2"/>
  <c r="K5" i="2" s="1"/>
  <c r="I5" i="2"/>
  <c r="F43" i="9" l="1"/>
  <c r="M52" i="6"/>
  <c r="M53" i="6"/>
  <c r="M54" i="6"/>
  <c r="I12" i="7"/>
  <c r="J12" i="7" s="1"/>
  <c r="K12" i="7" s="1"/>
  <c r="I20" i="7"/>
  <c r="J20" i="7" s="1"/>
  <c r="K20" i="7" s="1"/>
  <c r="I28" i="7"/>
  <c r="J28" i="7" s="1"/>
  <c r="K28" i="7" s="1"/>
  <c r="I44" i="7"/>
  <c r="J44" i="7" s="1"/>
  <c r="K44" i="7" s="1"/>
  <c r="L45" i="7"/>
  <c r="K45" i="9" s="1"/>
  <c r="I36" i="7"/>
  <c r="J36" i="7" s="1"/>
  <c r="K36" i="7" s="1"/>
  <c r="I6" i="7"/>
  <c r="J6" i="7" s="1"/>
  <c r="K6" i="7" s="1"/>
  <c r="I14" i="7"/>
  <c r="J14" i="7" s="1"/>
  <c r="K14" i="7" s="1"/>
  <c r="I22" i="7"/>
  <c r="J22" i="7" s="1"/>
  <c r="K22" i="7" s="1"/>
  <c r="I30" i="7"/>
  <c r="J30" i="7" s="1"/>
  <c r="K30" i="7" s="1"/>
  <c r="I38" i="7"/>
  <c r="J38" i="7" s="1"/>
  <c r="K38" i="7" s="1"/>
  <c r="I46" i="7"/>
  <c r="J46" i="7" s="1"/>
  <c r="K46" i="7" s="1"/>
  <c r="I8" i="10" s="1"/>
  <c r="L16" i="9"/>
  <c r="L40" i="9"/>
  <c r="L49" i="9"/>
  <c r="L45" i="9"/>
  <c r="M45" i="9" s="1"/>
  <c r="L19" i="9"/>
  <c r="M19" i="9" s="1"/>
  <c r="L27" i="9"/>
  <c r="L20" i="9"/>
  <c r="L42" i="9"/>
  <c r="L29" i="9"/>
  <c r="K16" i="9"/>
  <c r="K40" i="9"/>
  <c r="L8" i="9"/>
  <c r="K26" i="9"/>
  <c r="M26" i="9" s="1"/>
  <c r="L24" i="9"/>
  <c r="L31" i="9"/>
  <c r="K31" i="9"/>
  <c r="L50" i="9"/>
  <c r="L36" i="9"/>
  <c r="L12" i="9"/>
  <c r="L13" i="9"/>
  <c r="L43" i="9"/>
  <c r="L10" i="9"/>
  <c r="L18" i="9"/>
  <c r="L35" i="9"/>
  <c r="L32" i="9"/>
  <c r="M32" i="9" s="1"/>
  <c r="K36" i="9"/>
  <c r="K20" i="9"/>
  <c r="M20" i="9" s="1"/>
  <c r="K24" i="9"/>
  <c r="K13" i="9"/>
  <c r="L21" i="9"/>
  <c r="M21" i="9" s="1"/>
  <c r="K50" i="9"/>
  <c r="K42" i="9"/>
  <c r="L48" i="9"/>
  <c r="M48" i="9" s="1"/>
  <c r="K37" i="9"/>
  <c r="M37" i="9" s="1"/>
  <c r="L25" i="9"/>
  <c r="M25" i="9" s="1"/>
  <c r="L14" i="9"/>
  <c r="M14" i="9" s="1"/>
  <c r="K18" i="9"/>
  <c r="K10" i="9"/>
  <c r="H26" i="9"/>
  <c r="F20" i="9"/>
  <c r="F27" i="9"/>
  <c r="I39" i="9"/>
  <c r="H39" i="9"/>
  <c r="J39" i="9" s="1"/>
  <c r="I25" i="9"/>
  <c r="F10" i="9"/>
  <c r="F38" i="9"/>
  <c r="E38" i="9"/>
  <c r="I50" i="9"/>
  <c r="H50" i="9"/>
  <c r="F50" i="9"/>
  <c r="E50" i="9"/>
  <c r="G50" i="9" s="1"/>
  <c r="I42" i="9"/>
  <c r="H42" i="9"/>
  <c r="J42" i="9" s="1"/>
  <c r="F34" i="9"/>
  <c r="J34" i="9"/>
  <c r="I34" i="9"/>
  <c r="H34" i="9"/>
  <c r="H46" i="9"/>
  <c r="J46" i="9" s="1"/>
  <c r="F46" i="9"/>
  <c r="G46" i="9" s="1"/>
  <c r="I47" i="9"/>
  <c r="E35" i="9"/>
  <c r="F30" i="9"/>
  <c r="G30" i="9" s="1"/>
  <c r="H30" i="9"/>
  <c r="F18" i="9"/>
  <c r="I18" i="9"/>
  <c r="H18" i="9"/>
  <c r="J18" i="9" s="1"/>
  <c r="E23" i="9"/>
  <c r="J23" i="9"/>
  <c r="I23" i="9"/>
  <c r="H23" i="9"/>
  <c r="F23" i="9"/>
  <c r="E14" i="9"/>
  <c r="H14" i="9"/>
  <c r="F14" i="9"/>
  <c r="J14" i="9"/>
  <c r="F22" i="9"/>
  <c r="G22" i="9" s="1"/>
  <c r="J26" i="9"/>
  <c r="Q10" i="9"/>
  <c r="E8" i="9"/>
  <c r="G8" i="9" s="1"/>
  <c r="F6" i="9"/>
  <c r="I31" i="9"/>
  <c r="D28" i="9"/>
  <c r="I28" i="9" s="1"/>
  <c r="R9" i="9"/>
  <c r="C16" i="10" s="1"/>
  <c r="E16" i="10" s="1"/>
  <c r="E7" i="4"/>
  <c r="K20" i="4" s="1"/>
  <c r="E6" i="4"/>
  <c r="K19" i="4" s="1"/>
  <c r="I49" i="9"/>
  <c r="J49" i="9" s="1"/>
  <c r="F49" i="9"/>
  <c r="E49" i="9"/>
  <c r="H49" i="9"/>
  <c r="I44" i="9"/>
  <c r="H44" i="9"/>
  <c r="F44" i="9"/>
  <c r="E44" i="9"/>
  <c r="I17" i="9"/>
  <c r="F17" i="9"/>
  <c r="E17" i="9"/>
  <c r="H17" i="9"/>
  <c r="I24" i="9"/>
  <c r="H24" i="9"/>
  <c r="F24" i="9"/>
  <c r="E24" i="9"/>
  <c r="C13" i="4"/>
  <c r="R10" i="9"/>
  <c r="F25" i="9"/>
  <c r="J25" i="9"/>
  <c r="E25" i="9"/>
  <c r="I16" i="9"/>
  <c r="H16" i="9"/>
  <c r="F16" i="9"/>
  <c r="J16" i="9"/>
  <c r="E16" i="9"/>
  <c r="I45" i="9"/>
  <c r="H45" i="9"/>
  <c r="J45" i="9" s="1"/>
  <c r="F45" i="9"/>
  <c r="E45" i="9"/>
  <c r="K30" i="9"/>
  <c r="I12" i="9"/>
  <c r="H12" i="9"/>
  <c r="L15" i="9"/>
  <c r="K15" i="9"/>
  <c r="E12" i="9"/>
  <c r="L17" i="9"/>
  <c r="K17" i="9"/>
  <c r="Q8" i="9"/>
  <c r="Q7" i="9"/>
  <c r="Q6" i="9"/>
  <c r="Q5" i="9"/>
  <c r="R8" i="9"/>
  <c r="C15" i="10" s="1"/>
  <c r="E15" i="10" s="1"/>
  <c r="R5" i="9"/>
  <c r="E9" i="10"/>
  <c r="R6" i="9"/>
  <c r="D5" i="9"/>
  <c r="I29" i="9"/>
  <c r="H29" i="9"/>
  <c r="F29" i="9"/>
  <c r="E29" i="9"/>
  <c r="L34" i="9"/>
  <c r="K34" i="9"/>
  <c r="H15" i="9"/>
  <c r="J15" i="9" s="1"/>
  <c r="F15" i="9"/>
  <c r="E15" i="9"/>
  <c r="G15" i="9" s="1"/>
  <c r="I40" i="9"/>
  <c r="H40" i="9"/>
  <c r="J40" i="9" s="1"/>
  <c r="F40" i="9"/>
  <c r="E40" i="9"/>
  <c r="E20" i="9"/>
  <c r="G20" i="9" s="1"/>
  <c r="I20" i="9"/>
  <c r="H20" i="9"/>
  <c r="D15" i="4"/>
  <c r="C15" i="4"/>
  <c r="L41" i="9"/>
  <c r="K41" i="9"/>
  <c r="I7" i="9"/>
  <c r="H7" i="9"/>
  <c r="J7" i="9" s="1"/>
  <c r="F7" i="9"/>
  <c r="E7" i="9"/>
  <c r="G7" i="9" s="1"/>
  <c r="R7" i="9"/>
  <c r="H21" i="9"/>
  <c r="E21" i="9"/>
  <c r="F21" i="9"/>
  <c r="I21" i="9"/>
  <c r="E4" i="4"/>
  <c r="E8" i="4" s="1"/>
  <c r="E36" i="9"/>
  <c r="I36" i="9"/>
  <c r="J36" i="9" s="1"/>
  <c r="H36" i="9"/>
  <c r="F36" i="9"/>
  <c r="K46" i="9"/>
  <c r="F12" i="9"/>
  <c r="I19" i="9"/>
  <c r="H19" i="9"/>
  <c r="J19" i="9" s="1"/>
  <c r="F19" i="9"/>
  <c r="G19" i="9" s="1"/>
  <c r="L7" i="9"/>
  <c r="K7" i="9"/>
  <c r="J9" i="9"/>
  <c r="H9" i="9"/>
  <c r="I9" i="9"/>
  <c r="E39" i="9"/>
  <c r="F9" i="9"/>
  <c r="G9" i="9" s="1"/>
  <c r="J11" i="9"/>
  <c r="I11" i="9"/>
  <c r="H11" i="9"/>
  <c r="F11" i="9"/>
  <c r="E11" i="9"/>
  <c r="G11" i="9" s="1"/>
  <c r="Q9" i="9"/>
  <c r="E5" i="4"/>
  <c r="F41" i="9"/>
  <c r="I41" i="9"/>
  <c r="J41" i="9" s="1"/>
  <c r="E41" i="9"/>
  <c r="H8" i="10"/>
  <c r="I8" i="9"/>
  <c r="J8" i="9"/>
  <c r="H8" i="9"/>
  <c r="H41" i="9"/>
  <c r="L33" i="9"/>
  <c r="K33" i="9"/>
  <c r="M33" i="9" s="1"/>
  <c r="I13" i="9"/>
  <c r="H13" i="9"/>
  <c r="F13" i="9"/>
  <c r="E13" i="9"/>
  <c r="I32" i="9"/>
  <c r="F32" i="9"/>
  <c r="H32" i="9"/>
  <c r="J32" i="9"/>
  <c r="E32" i="9"/>
  <c r="L47" i="9"/>
  <c r="K47" i="9"/>
  <c r="J37" i="9"/>
  <c r="H37" i="9"/>
  <c r="E37" i="9"/>
  <c r="F37" i="9"/>
  <c r="I37" i="9"/>
  <c r="L11" i="9"/>
  <c r="K11" i="9"/>
  <c r="I6" i="9"/>
  <c r="J6" i="9"/>
  <c r="K29" i="9"/>
  <c r="F39" i="9"/>
  <c r="C12" i="4"/>
  <c r="D12" i="4"/>
  <c r="E6" i="9"/>
  <c r="J13" i="9"/>
  <c r="I15" i="9"/>
  <c r="I33" i="9"/>
  <c r="J33" i="9"/>
  <c r="E33" i="9"/>
  <c r="L9" i="9"/>
  <c r="M9" i="9" s="1"/>
  <c r="H22" i="9"/>
  <c r="J22" i="9" s="1"/>
  <c r="I22" i="9"/>
  <c r="F33" i="9"/>
  <c r="H38" i="9"/>
  <c r="I38" i="9"/>
  <c r="I27" i="9"/>
  <c r="J27" i="9" s="1"/>
  <c r="H27" i="9"/>
  <c r="F35" i="9"/>
  <c r="I43" i="9"/>
  <c r="J43" i="9" s="1"/>
  <c r="H43" i="9"/>
  <c r="H7" i="10"/>
  <c r="L5" i="9"/>
  <c r="K5" i="9"/>
  <c r="K39" i="9"/>
  <c r="L39" i="9"/>
  <c r="I14" i="9"/>
  <c r="E27" i="9"/>
  <c r="G27" i="9" s="1"/>
  <c r="I30" i="9"/>
  <c r="E43" i="9"/>
  <c r="G43" i="9" s="1"/>
  <c r="I46" i="9"/>
  <c r="H5" i="10"/>
  <c r="H9" i="10"/>
  <c r="I9" i="10" s="1"/>
  <c r="H47" i="9"/>
  <c r="J47" i="9" s="1"/>
  <c r="F47" i="9"/>
  <c r="E47" i="9"/>
  <c r="G47" i="9" s="1"/>
  <c r="H35" i="9"/>
  <c r="J35" i="9" s="1"/>
  <c r="I48" i="9"/>
  <c r="H48" i="9"/>
  <c r="J48" i="9" s="1"/>
  <c r="F48" i="9"/>
  <c r="K27" i="9"/>
  <c r="I35" i="9"/>
  <c r="K43" i="9"/>
  <c r="E48" i="9"/>
  <c r="G12" i="4"/>
  <c r="H31" i="9"/>
  <c r="J31" i="9" s="1"/>
  <c r="F31" i="9"/>
  <c r="E31" i="9"/>
  <c r="L6" i="9"/>
  <c r="K6" i="9"/>
  <c r="K23" i="9"/>
  <c r="L23" i="9"/>
  <c r="I10" i="9"/>
  <c r="H10" i="9"/>
  <c r="E18" i="9"/>
  <c r="E34" i="9"/>
  <c r="K35" i="9"/>
  <c r="J5" i="3"/>
  <c r="G11" i="4"/>
  <c r="E10" i="9"/>
  <c r="H6" i="10"/>
  <c r="K12" i="9"/>
  <c r="E26" i="9"/>
  <c r="K28" i="9"/>
  <c r="E42" i="9"/>
  <c r="K44" i="9"/>
  <c r="K8" i="9"/>
  <c r="F26" i="9"/>
  <c r="F42" i="9"/>
  <c r="K49" i="9"/>
  <c r="J29" i="9" l="1"/>
  <c r="J24" i="9"/>
  <c r="G24" i="9"/>
  <c r="J12" i="9"/>
  <c r="G48" i="9"/>
  <c r="G45" i="9"/>
  <c r="G13" i="9"/>
  <c r="J38" i="9"/>
  <c r="M55" i="6"/>
  <c r="J20" i="9"/>
  <c r="J21" i="9"/>
  <c r="I7" i="10"/>
  <c r="J7" i="10" s="1"/>
  <c r="L22" i="9"/>
  <c r="M22" i="9" s="1"/>
  <c r="M41" i="9"/>
  <c r="I6" i="10"/>
  <c r="J6" i="10" s="1"/>
  <c r="I4" i="10"/>
  <c r="M6" i="9"/>
  <c r="L30" i="9"/>
  <c r="L44" i="9"/>
  <c r="L28" i="9"/>
  <c r="L46" i="9"/>
  <c r="M46" i="9" s="1"/>
  <c r="L38" i="9"/>
  <c r="M38" i="9" s="1"/>
  <c r="M10" i="9"/>
  <c r="M40" i="9"/>
  <c r="M16" i="9"/>
  <c r="I5" i="10"/>
  <c r="J5" i="10" s="1"/>
  <c r="H4" i="10"/>
  <c r="M43" i="9"/>
  <c r="M27" i="9"/>
  <c r="M42" i="9"/>
  <c r="M18" i="9"/>
  <c r="M31" i="9"/>
  <c r="M34" i="9"/>
  <c r="M49" i="9"/>
  <c r="M11" i="9"/>
  <c r="M8" i="9"/>
  <c r="M13" i="9"/>
  <c r="M44" i="9"/>
  <c r="M28" i="9"/>
  <c r="M12" i="9"/>
  <c r="M36" i="9"/>
  <c r="M24" i="9"/>
  <c r="M50" i="9"/>
  <c r="M35" i="9"/>
  <c r="M29" i="9"/>
  <c r="M39" i="9"/>
  <c r="M7" i="9"/>
  <c r="J50" i="9"/>
  <c r="G26" i="9"/>
  <c r="J44" i="9"/>
  <c r="G34" i="9"/>
  <c r="G35" i="9"/>
  <c r="G40" i="9"/>
  <c r="G18" i="9"/>
  <c r="G14" i="9"/>
  <c r="G39" i="9"/>
  <c r="G25" i="9"/>
  <c r="G10" i="9"/>
  <c r="J10" i="9"/>
  <c r="J30" i="9"/>
  <c r="G6" i="9"/>
  <c r="G44" i="9"/>
  <c r="E28" i="9"/>
  <c r="F28" i="9"/>
  <c r="H28" i="9"/>
  <c r="J28" i="9" s="1"/>
  <c r="G31" i="9"/>
  <c r="J17" i="9"/>
  <c r="G36" i="9"/>
  <c r="G42" i="9"/>
  <c r="G49" i="9"/>
  <c r="G38" i="9"/>
  <c r="G23" i="9"/>
  <c r="S10" i="9"/>
  <c r="J17" i="10" s="1"/>
  <c r="M5" i="9"/>
  <c r="I5" i="9"/>
  <c r="H5" i="9"/>
  <c r="J5" i="9" s="1"/>
  <c r="E5" i="9"/>
  <c r="F5" i="9"/>
  <c r="S6" i="9"/>
  <c r="J13" i="10" s="1"/>
  <c r="H14" i="10"/>
  <c r="H12" i="10"/>
  <c r="K15" i="10"/>
  <c r="K17" i="10"/>
  <c r="I12" i="10"/>
  <c r="K14" i="10"/>
  <c r="C12" i="10"/>
  <c r="I17" i="10"/>
  <c r="H17" i="10"/>
  <c r="B12" i="10"/>
  <c r="I14" i="10"/>
  <c r="K16" i="10"/>
  <c r="K13" i="10"/>
  <c r="I16" i="10"/>
  <c r="H16" i="10"/>
  <c r="H13" i="10"/>
  <c r="I15" i="10"/>
  <c r="K12" i="10"/>
  <c r="H15" i="10"/>
  <c r="C13" i="10"/>
  <c r="E13" i="10" s="1"/>
  <c r="I13" i="10"/>
  <c r="B13" i="10"/>
  <c r="B14" i="10" s="1"/>
  <c r="G15" i="4"/>
  <c r="H15" i="4" s="1"/>
  <c r="G14" i="4"/>
  <c r="H14" i="4" s="1"/>
  <c r="G16" i="4"/>
  <c r="H16" i="4" s="1"/>
  <c r="G13" i="4"/>
  <c r="H13" i="4" s="1"/>
  <c r="B15" i="10"/>
  <c r="S8" i="9"/>
  <c r="D15" i="10" s="1"/>
  <c r="G16" i="9"/>
  <c r="M47" i="9"/>
  <c r="M17" i="9"/>
  <c r="G21" i="9"/>
  <c r="G12" i="9"/>
  <c r="G37" i="9"/>
  <c r="G32" i="9"/>
  <c r="G29" i="9"/>
  <c r="M15" i="9"/>
  <c r="M23" i="9"/>
  <c r="S5" i="9"/>
  <c r="J12" i="10" s="1"/>
  <c r="J8" i="10"/>
  <c r="G17" i="9"/>
  <c r="M30" i="9"/>
  <c r="B16" i="10"/>
  <c r="S9" i="9"/>
  <c r="D16" i="10" s="1"/>
  <c r="G33" i="9"/>
  <c r="S7" i="9"/>
  <c r="J14" i="10" s="1"/>
  <c r="G41" i="9"/>
  <c r="J4" i="10" l="1"/>
  <c r="G28" i="9"/>
  <c r="J16" i="10"/>
  <c r="C14" i="10"/>
  <c r="D14" i="10" s="1"/>
  <c r="J15" i="10"/>
  <c r="D13" i="10"/>
  <c r="D12" i="10"/>
  <c r="E12" i="10" s="1"/>
  <c r="G5" i="9"/>
  <c r="E14" i="10" l="1"/>
  <c r="A19" i="10"/>
</calcChain>
</file>

<file path=xl/sharedStrings.xml><?xml version="1.0" encoding="utf-8"?>
<sst xmlns="http://schemas.openxmlformats.org/spreadsheetml/2006/main" count="896" uniqueCount="418">
  <si>
    <t>FORMAT PENGOLAHAN DATA PRA-TINDAKAN PTK</t>
  </si>
  <si>
    <t>Peningkatan Kemampuan Berpikir Algoritmik melalui Problem Based Learning</t>
  </si>
  <si>
    <t>Satuan Pendidikan</t>
  </si>
  <si>
    <t>SMAN 15 Bandung</t>
  </si>
  <si>
    <t>Petunjuk Penggunaan</t>
  </si>
  <si>
    <t>Kelas / Fase</t>
  </si>
  <si>
    <t>X-5 / Fase E</t>
  </si>
  <si>
    <t>1.</t>
  </si>
  <si>
    <t>Masukkan skor 1–4 untuk enam indikator pada sheet Data Diagnostik.</t>
  </si>
  <si>
    <t>Jumlah Peserta Didik</t>
  </si>
  <si>
    <t>2.</t>
  </si>
  <si>
    <t>Nilai, total skor, dan ketuntasan akan dihitung otomatis.</t>
  </si>
  <si>
    <t>KKTP</t>
  </si>
  <si>
    <t>3.</t>
  </si>
  <si>
    <t>Masukkan skor observasi K1–K5 pada sheet Observasi Kemandirian.</t>
  </si>
  <si>
    <t>Alokasi Waktu</t>
  </si>
  <si>
    <t>2 JP (2 × 40 menit)</t>
  </si>
  <si>
    <t>4.</t>
  </si>
  <si>
    <t>Rekap kelas, capaian indikator, dan grafik tersedia otomatis pada sheet Rekap &amp; Dashboard.</t>
  </si>
  <si>
    <t>Materi</t>
  </si>
  <si>
    <t>Algoritma, Diagram Alir, dan Pseudocode</t>
  </si>
  <si>
    <t>5.</t>
  </si>
  <si>
    <t>Biarkan sel kosong apabila peserta didik belum dinilai; jangan isi angka 0.</t>
  </si>
  <si>
    <t>6.</t>
  </si>
  <si>
    <t>Gunakan hasil pra-tindakan sebagai dasar penyusunan tindakan Siklus I.</t>
  </si>
  <si>
    <t>Keterangan Indikator Kemampuan Berpikir Algoritmik</t>
  </si>
  <si>
    <t>Kode</t>
  </si>
  <si>
    <t>Indikator</t>
  </si>
  <si>
    <t>IPO</t>
  </si>
  <si>
    <t>Mengidentifikasi input, proses, dan output.</t>
  </si>
  <si>
    <t>ALG</t>
  </si>
  <si>
    <t>Menyusun langkah algoritma secara runtut dan logis.</t>
  </si>
  <si>
    <t>PER</t>
  </si>
  <si>
    <t>Menggunakan logika percabangan dengan tepat.</t>
  </si>
  <si>
    <t>FLW</t>
  </si>
  <si>
    <t>Merepresentasikan solusi dalam diagram alir (flowchart).</t>
  </si>
  <si>
    <t>PSD</t>
  </si>
  <si>
    <t>Merepresentasikan solusi dalam pseudocode.</t>
  </si>
  <si>
    <t>DBG</t>
  </si>
  <si>
    <t>Menguji, menemukan, dan memperbaiki kesalahan algoritma.</t>
  </si>
  <si>
    <t>DATA PRA-TINDAKAN — ASESMEN DIAGNOSTIK</t>
  </si>
  <si>
    <t>Masukkan skor 1–4 pada kolom indikator. Kolom Total, Nilai, dan Ketuntasan dihitung otomatis.</t>
  </si>
  <si>
    <t>No.</t>
  </si>
  <si>
    <t>Kode Peserta Didik</t>
  </si>
  <si>
    <t>Algoritma</t>
  </si>
  <si>
    <t>Percabangan</t>
  </si>
  <si>
    <t>Flowchart</t>
  </si>
  <si>
    <t>Pseudocode</t>
  </si>
  <si>
    <t>Debugging</t>
  </si>
  <si>
    <t>Total Skor</t>
  </si>
  <si>
    <t>Nilai</t>
  </si>
  <si>
    <t>Ketuntasan</t>
  </si>
  <si>
    <t>Catatan</t>
  </si>
  <si>
    <t>X5-01</t>
  </si>
  <si>
    <t>X5-02</t>
  </si>
  <si>
    <t>X5-03</t>
  </si>
  <si>
    <t>X5-04</t>
  </si>
  <si>
    <t>X5-05</t>
  </si>
  <si>
    <t>X5-06</t>
  </si>
  <si>
    <t>X5-07</t>
  </si>
  <si>
    <t>X5-08</t>
  </si>
  <si>
    <t>X5-09</t>
  </si>
  <si>
    <t>X5-10</t>
  </si>
  <si>
    <t>X5-11</t>
  </si>
  <si>
    <t>X5-12</t>
  </si>
  <si>
    <t>X5-13</t>
  </si>
  <si>
    <t>X5-14</t>
  </si>
  <si>
    <t>X5-15</t>
  </si>
  <si>
    <t>X5-16</t>
  </si>
  <si>
    <t>X5-17</t>
  </si>
  <si>
    <t>X5-18</t>
  </si>
  <si>
    <t>X5-19</t>
  </si>
  <si>
    <t>X5-20</t>
  </si>
  <si>
    <t>X5-21</t>
  </si>
  <si>
    <t>X5-22</t>
  </si>
  <si>
    <t>X5-23</t>
  </si>
  <si>
    <t>X5-24</t>
  </si>
  <si>
    <t>X5-25</t>
  </si>
  <si>
    <t>X5-26</t>
  </si>
  <si>
    <t>X5-27</t>
  </si>
  <si>
    <t>X5-28</t>
  </si>
  <si>
    <t>X5-29</t>
  </si>
  <si>
    <t>X5-30</t>
  </si>
  <si>
    <t>X5-31</t>
  </si>
  <si>
    <t>X5-32</t>
  </si>
  <si>
    <t>X5-33</t>
  </si>
  <si>
    <t>X5-34</t>
  </si>
  <si>
    <t>X5-35</t>
  </si>
  <si>
    <t>X5-36</t>
  </si>
  <si>
    <t>X5-37</t>
  </si>
  <si>
    <t>X5-38</t>
  </si>
  <si>
    <t>X5-39</t>
  </si>
  <si>
    <t>X5-40</t>
  </si>
  <si>
    <t>X5-41</t>
  </si>
  <si>
    <t>X5-42</t>
  </si>
  <si>
    <t>X5-43</t>
  </si>
  <si>
    <t>X5-44</t>
  </si>
  <si>
    <t>X5-45</t>
  </si>
  <si>
    <t>X5-46</t>
  </si>
  <si>
    <t>LEMBAR PENGOLAHAN OBSERVASI KEMANDIRIAN</t>
  </si>
  <si>
    <t>Skor: 4 = sangat mandiri, 3 = mandiri, 2 = kurang mandiri, 1 = belum mandiri.</t>
  </si>
  <si>
    <t>Indikator Kemandirian</t>
  </si>
  <si>
    <t>K1</t>
  </si>
  <si>
    <t>Memulai mengerjakan tanpa menunggu contoh guru.</t>
  </si>
  <si>
    <t>K2</t>
  </si>
  <si>
    <t>K3</t>
  </si>
  <si>
    <t>K4</t>
  </si>
  <si>
    <t>K5</t>
  </si>
  <si>
    <t>Total</t>
  </si>
  <si>
    <t>Rata-rata</t>
  </si>
  <si>
    <t>Kategori</t>
  </si>
  <si>
    <t>Catatan Observer</t>
  </si>
  <si>
    <t>Berusaha memahami masalah secara mandiri.</t>
  </si>
  <si>
    <t>Mencoba menyusun solusi sendiri sebelum meminta bantuan.</t>
  </si>
  <si>
    <t>Memeriksa kembali solusi yang dibuat.</t>
  </si>
  <si>
    <t>Memperbaiki solusi ketika menemukan kesalahan.</t>
  </si>
  <si>
    <t>21,25,32,42,46</t>
  </si>
  <si>
    <t>2,6,7,17,18,26,27,37,38,44</t>
  </si>
  <si>
    <t>REKAPITULASI &amp; DASHBOARD DATA PRA-TINDAKAN</t>
  </si>
  <si>
    <t>Parameter</t>
  </si>
  <si>
    <t>Ringkasan Diagnostik</t>
  </si>
  <si>
    <t>Hasil</t>
  </si>
  <si>
    <t>Peserta Didik Dinilai</t>
  </si>
  <si>
    <t>Fase / Kelas</t>
  </si>
  <si>
    <t>E / X-5</t>
  </si>
  <si>
    <t>Rata-rata Kelas</t>
  </si>
  <si>
    <t>Tuntas</t>
  </si>
  <si>
    <t>Skor Maksimum Diagnostik</t>
  </si>
  <si>
    <t>Belum Tuntas</t>
  </si>
  <si>
    <t>Persentase Ketuntasan</t>
  </si>
  <si>
    <t>Rata-rata Skor (1–4)</t>
  </si>
  <si>
    <t>Capaian (%)</t>
  </si>
  <si>
    <t>Interpretasi</t>
  </si>
  <si>
    <t>Ringkasan Kemandirian</t>
  </si>
  <si>
    <t>Keterangan</t>
  </si>
  <si>
    <t>Peserta Didik Diobservasi</t>
  </si>
  <si>
    <t>Jumlah data</t>
  </si>
  <si>
    <t>Rata-rata Kemandirian</t>
  </si>
  <si>
    <t>Skala 1–4</t>
  </si>
  <si>
    <t>Sangat Mandiri</t>
  </si>
  <si>
    <t>Mandiri</t>
  </si>
  <si>
    <t>Kurang Mandiri</t>
  </si>
  <si>
    <t>Belum Mandiri</t>
  </si>
  <si>
    <t>Status</t>
  </si>
  <si>
    <t>Jumlah</t>
  </si>
  <si>
    <t>Kerangka Narasi Analisis Pra-Tindakan</t>
  </si>
  <si>
    <t>Setelah data diisi, gunakan ringkasan pada dashboard untuk menyusun narasi: (1) jumlah peserta didik yang mengikuti asesmen; (2) nilai rata-rata kelas; (3) jumlah dan persentase ketuntasan berdasarkan KKTP 75; (4) indikator kemampuan berpikir algoritmik yang paling kuat dan paling lemah; (5) tingkat kemandirian peserta didik; serta (6) implikasi temuan tersebut terhadap rancangan tindakan Problem Based Learning pada Siklus I.</t>
  </si>
  <si>
    <t>PETUNJUK PENGOLAHAN DATA SIKLUS I &amp; PERBANDINGAN</t>
  </si>
  <si>
    <t>Parameter Analisis</t>
  </si>
  <si>
    <t>Langkah Penggunaan</t>
  </si>
  <si>
    <t>Jumlah peserta didik kelas</t>
  </si>
  <si>
    <t>1</t>
  </si>
  <si>
    <t>Isi kolom Kehadiran dan skor 1–4 pada sheet Data Siklus I.</t>
  </si>
  <si>
    <t>2</t>
  </si>
  <si>
    <t>Peserta yang sakit/izin/dispensasi/alpa tidak diberi nilai 0; biarkan skor kosong.</t>
  </si>
  <si>
    <t>Skor maksimum asesmen</t>
  </si>
  <si>
    <t>3</t>
  </si>
  <si>
    <t>Isi sheet Obs Kemandirian S1 menggunakan indikator K1–K5 yang sama dengan pra-tindakan.</t>
  </si>
  <si>
    <t>Target ketuntasan klasikal</t>
  </si>
  <si>
    <t>4</t>
  </si>
  <si>
    <t>Sheet Refleksi Siklus I bersifat pendukung; masukkan skor refleksi jika ingin dianalisis.</t>
  </si>
  <si>
    <t>Batas minimal kehadiran pelaksanaan</t>
  </si>
  <si>
    <t>5</t>
  </si>
  <si>
    <t>Perbandingan Pra-S1 hanya menganalisis peserta didik dengan data Siklus I lengkap.</t>
  </si>
  <si>
    <t>Target rata-rata Flowchart</t>
  </si>
  <si>
    <t>6</t>
  </si>
  <si>
    <t>Dashboard Siklus I menghitung hasil dan indikator keberhasilan secara otomatis.</t>
  </si>
  <si>
    <t>Target rata-rata Pseudocode</t>
  </si>
  <si>
    <t>7</t>
  </si>
  <si>
    <t>Jangan mengubah rumus pada kolom otomatis. Masukkan data hanya pada sel input.</t>
  </si>
  <si>
    <t>Skor maksimum tiap indikator</t>
  </si>
  <si>
    <t>Ambang Sangat Mandiri</t>
  </si>
  <si>
    <t>Ambang Mandiri</t>
  </si>
  <si>
    <t>Ambang Kurang Mandiri</t>
  </si>
  <si>
    <t>Skor maksimum kemandirian</t>
  </si>
  <si>
    <t>KRITERIA KEBERHASILAN</t>
  </si>
  <si>
    <t>Sekurang-kurangnya 70% peserta didik dengan data berpasangan mencapai nilai ≥ KKTP.</t>
  </si>
  <si>
    <t>Rata-rata kemampuan berpikir algoritmik Siklus I meningkat dibandingkan pra-tindakan pada peserta yang sama.</t>
  </si>
  <si>
    <t>Rata-rata Flowchart Siklus I mencapai minimal 2,50 dari skala 4.</t>
  </si>
  <si>
    <t>Rata-rata Pseudocode Siklus I mencapai minimal 2,50 dari skala 4.</t>
  </si>
  <si>
    <t>Pendukung</t>
  </si>
  <si>
    <t>Rata-rata kemandirian meningkat dan jumlah kategori Mandiri/Sangat Mandiri bertambah.</t>
  </si>
  <si>
    <t>Pelaksanaan diupayakan saat minimal 80% dari 46 peserta didik hadir (minimal 37 peserta didik).</t>
  </si>
  <si>
    <t>DATA SIKLUS I — ASESMEN INDIVIDU AKHIR</t>
  </si>
  <si>
    <t>Isi Kehadiran dan skor 1–4 pada enam indikator. Total, nilai, ketuntasan, dan status data dihitung otomatis.</t>
  </si>
  <si>
    <t>Kehadiran</t>
  </si>
  <si>
    <t>Status Data</t>
  </si>
  <si>
    <t>PENGOLAHAN OBSERVASI KEMANDIRIAN — SIKLUS I</t>
  </si>
  <si>
    <t>Gunakan indikator K1–K5 yang sama dengan pra-tindakan. Peserta tidak hadir tidak diberi skor 0.</t>
  </si>
  <si>
    <t>REKAP REFLEKSI PESERTA DIDIK — SIKLUS I (DATA PENDUKUNG)</t>
  </si>
  <si>
    <t>Masukkan skor 1–4 untuk delapan pernyataan refleksi. Kolom teks bersifat opsional untuk analisis kualitatif.</t>
  </si>
  <si>
    <t>R1</t>
  </si>
  <si>
    <t>R2</t>
  </si>
  <si>
    <t>R3</t>
  </si>
  <si>
    <t>R4</t>
  </si>
  <si>
    <t>R5</t>
  </si>
  <si>
    <t>R6</t>
  </si>
  <si>
    <t>R7</t>
  </si>
  <si>
    <t>R8</t>
  </si>
  <si>
    <t>Lebih Berani?</t>
  </si>
  <si>
    <t>Paling Dipahami</t>
  </si>
  <si>
    <t>Paling Sulit</t>
  </si>
  <si>
    <t>Sebelum Minta Bantuan</t>
  </si>
  <si>
    <t>Manfaat Kelompok</t>
  </si>
  <si>
    <t>Exit Ticket / Catatan</t>
  </si>
  <si>
    <t>PERBANDINGAN DATA PRA-TINDAKAN → SIKLUS I</t>
  </si>
  <si>
    <t>Analisis berpasangan: hanya peserta didik berstatus data 'Lengkap' pada Siklus I yang masuk dalam perbandingan.</t>
  </si>
  <si>
    <t>Kehadiran S1</t>
  </si>
  <si>
    <t>Nilai Pra</t>
  </si>
  <si>
    <t>Nilai S1</t>
  </si>
  <si>
    <t>Δ Nilai</t>
  </si>
  <si>
    <t>Ketuntasan Pra</t>
  </si>
  <si>
    <t>Ketuntasan S1</t>
  </si>
  <si>
    <t>Perubahan Ketuntasan</t>
  </si>
  <si>
    <t>Kemandirian Pra</t>
  </si>
  <si>
    <t>Kemandirian S1</t>
  </si>
  <si>
    <t>Δ Kemandirian</t>
  </si>
  <si>
    <t>Pra (Paired)</t>
  </si>
  <si>
    <t>Siklus I</t>
  </si>
  <si>
    <t>Δ</t>
  </si>
  <si>
    <t>Target S1</t>
  </si>
  <si>
    <t>—</t>
  </si>
  <si>
    <t>DASHBOARD HASIL SIKLUS I &amp; PERBANDINGAN PRA-TINDAKAN</t>
  </si>
  <si>
    <t>Kehadiran Siklus I</t>
  </si>
  <si>
    <t>Kemandirian</t>
  </si>
  <si>
    <t>Perubahan</t>
  </si>
  <si>
    <t>Jumlah Siswa Kelas</t>
  </si>
  <si>
    <t>Hadir</t>
  </si>
  <si>
    <t>Sakit</t>
  </si>
  <si>
    <t>Target Ketuntasan</t>
  </si>
  <si>
    <t>Izin</t>
  </si>
  <si>
    <t>Batas Kehadiran</t>
  </si>
  <si>
    <t>Dispensasi</t>
  </si>
  <si>
    <t>Target Flowchart/Pseudocode</t>
  </si>
  <si>
    <t>Alpa</t>
  </si>
  <si>
    <t>Data Akademik Lengkap</t>
  </si>
  <si>
    <t>Jumlah Data Lengkap</t>
  </si>
  <si>
    <t>Indikator Utama</t>
  </si>
  <si>
    <t>Pra</t>
  </si>
  <si>
    <t>Target</t>
  </si>
  <si>
    <t>Rata-rata Nilai</t>
  </si>
  <si>
    <t>Jumlah Tuntas</t>
  </si>
  <si>
    <t>Rata-rata Flowchart</t>
  </si>
  <si>
    <t>Rata-rata Pseudocode</t>
  </si>
  <si>
    <t>KESIMPULAN INDIKATOR UTAMA</t>
  </si>
  <si>
    <t>KERANGKA ANALISIS SETELAH DATA SIKLUS I DIISI</t>
  </si>
  <si>
    <t>Gunakan dashboard untuk menyusun narasi: (1) jumlah peserta didik hadir dan jumlah data berpasangan; (2) perubahan rata-rata nilai pra-tindakan ke Siklus I; (3) perubahan jumlah dan persentase ketuntasan; (4) peningkatan tiap indikator terutama Flowchart dan Pseudocode; (5) perubahan kemandirian; (6) catatan proses PBL dan refleksi peserta didik; serta (7) simpulan apakah indikator keberhasilan utama tercapai.</t>
  </si>
  <si>
    <t>Lengkap</t>
  </si>
  <si>
    <t>Belum Lengkap</t>
  </si>
  <si>
    <t>Tidak Dianalisis</t>
  </si>
  <si>
    <t>Belum</t>
  </si>
  <si>
    <t>Ya</t>
  </si>
  <si>
    <t>bagian algoritma narative</t>
  </si>
  <si>
    <t>flowchart dan pseudocode</t>
  </si>
  <si>
    <t xml:space="preserve">penyusunan algoritma </t>
  </si>
  <si>
    <t xml:space="preserve">pseudocede </t>
  </si>
  <si>
    <t>Algoritma naratif</t>
  </si>
  <si>
    <t>Pseudocode dan FlowChart</t>
  </si>
  <si>
    <t>Semua kecuali pseudocode</t>
  </si>
  <si>
    <t>Bagian pseudocode</t>
  </si>
  <si>
    <t xml:space="preserve">menyusun algoritma </t>
  </si>
  <si>
    <t>output</t>
  </si>
  <si>
    <t xml:space="preserve">Cara memecahkan tentang masalah </t>
  </si>
  <si>
    <t>Cara untuk menyelesaikanya/memecahkannya</t>
  </si>
  <si>
    <t>Input-proses</t>
  </si>
  <si>
    <t>Diagram air, flowchart,pseudocode</t>
  </si>
  <si>
    <t xml:space="preserve">Flowchart </t>
  </si>
  <si>
    <t>Flowchatr</t>
  </si>
  <si>
    <t>Menentukan input, proses, output dan membuat diagram alir, dan penyusun algoritma naratif</t>
  </si>
  <si>
    <t>pseudecode</t>
  </si>
  <si>
    <t xml:space="preserve">algoritma dan flowchart </t>
  </si>
  <si>
    <t>pseudocode</t>
  </si>
  <si>
    <t>menganalisis soal</t>
  </si>
  <si>
    <t xml:space="preserve">susunan algoritma yang paling tepat </t>
  </si>
  <si>
    <t>flowchart</t>
  </si>
  <si>
    <t>flowcard</t>
  </si>
  <si>
    <t xml:space="preserve">menghitung </t>
  </si>
  <si>
    <t xml:space="preserve">Cara identifikasi input - proses - output </t>
  </si>
  <si>
    <t xml:space="preserve">Pseucode dan flowchart </t>
  </si>
  <si>
    <t>algoritma</t>
  </si>
  <si>
    <t>pseudo kode</t>
  </si>
  <si>
    <t xml:space="preserve">flowcharc </t>
  </si>
  <si>
    <t>psudocode</t>
  </si>
  <si>
    <t>Membuat algoritma</t>
  </si>
  <si>
    <t>membuat pseudocode</t>
  </si>
  <si>
    <t>Algoritma Naratif</t>
  </si>
  <si>
    <t xml:space="preserve">Pseudocode </t>
  </si>
  <si>
    <t xml:space="preserve">semuaa cuman beberapa adaa yang jurang paham </t>
  </si>
  <si>
    <t xml:space="preserve">bagian pseucode </t>
  </si>
  <si>
    <t>input,proses,output dan pseudocode</t>
  </si>
  <si>
    <t>.</t>
  </si>
  <si>
    <t>Input, proses, output, dan algoritma naratif</t>
  </si>
  <si>
    <t>Algoritma dan flow chart</t>
  </si>
  <si>
    <t>Psudo code dan dll yang belum saya sebutkan kecuali yang di no 3</t>
  </si>
  <si>
    <t xml:space="preserve">Algoritma naratif </t>
  </si>
  <si>
    <t>semuanya, kecuali flowchart</t>
  </si>
  <si>
    <t>bagian dalam membuat pseudocode dan mencari IPO</t>
  </si>
  <si>
    <t>dalam menggambar flowchart</t>
  </si>
  <si>
    <t>flowchart dan algoritma</t>
  </si>
  <si>
    <t>menganalisis masalah dll</t>
  </si>
  <si>
    <t>penyusunan algoritma identitas input proses output gambar</t>
  </si>
  <si>
    <t xml:space="preserve">flowchart </t>
  </si>
  <si>
    <t>Algoritma naratif, Algoritma alir, Identifikasi Input</t>
  </si>
  <si>
    <t>Algoritma Pseudocode</t>
  </si>
  <si>
    <t>Flowchart dan algoritma naratif serta IPO</t>
  </si>
  <si>
    <t xml:space="preserve">Mengidentifikasi IPO, algoritma naratif, dan diagram mengalir </t>
  </si>
  <si>
    <t xml:space="preserve">Pseudocode, pengujian dan debugging </t>
  </si>
  <si>
    <t>algoritma naratif</t>
  </si>
  <si>
    <t>Saya paling memahami cara menentukan input, proses, dan output serta membuat algoritma untuk menyelesaikan masalah.</t>
  </si>
  <si>
    <t>Bagian yang masih sulit bagi saya adalah membuat flowchart dan menentukan percabangan yang tepat.</t>
  </si>
  <si>
    <t>algoritma naratif, flowchart</t>
  </si>
  <si>
    <t>pseudocode masih sedikit ragu</t>
  </si>
  <si>
    <t>memeriksa kembali apakah saya salah membaca atau tidak</t>
  </si>
  <si>
    <t xml:space="preserve">meminta bantuan kpd teman yg lbh mengerti </t>
  </si>
  <si>
    <t>mencoba sendiri dulu</t>
  </si>
  <si>
    <t>Mencari tahu sendiri lewat internet atau menanyakan kepada teman</t>
  </si>
  <si>
    <t xml:space="preserve">berusaha </t>
  </si>
  <si>
    <t>Prepare untuk nanya, atau nanya ke teman yang tahu</t>
  </si>
  <si>
    <t xml:space="preserve">Baca ulang soalnya terus menerus sampai tau </t>
  </si>
  <si>
    <t>Meminta bantu ke teman</t>
  </si>
  <si>
    <t>mencoba nya sendiri terlebih dahulu</t>
  </si>
  <si>
    <t xml:space="preserve">bentanya pada teman </t>
  </si>
  <si>
    <t xml:space="preserve">mencoba mengerjakan nya sendiri </t>
  </si>
  <si>
    <t xml:space="preserve">mencoba mengerjakan dulu sendiri. </t>
  </si>
  <si>
    <t xml:space="preserve">berusaha meminta bantuan </t>
  </si>
  <si>
    <t>Berusaha menyelesaikan sendiri dan membuka buku catatan</t>
  </si>
  <si>
    <t>bertanya kepada teman</t>
  </si>
  <si>
    <t xml:space="preserve">mencoba sendiri dan bertanya kepada detman </t>
  </si>
  <si>
    <t>membuat psudocode sendiri lalu jika saya bingung saya menanyakann pada guru</t>
  </si>
  <si>
    <t>mencoba memecahkan masalahnya terlebih dahulu</t>
  </si>
  <si>
    <t>Menjawab semampunya terlebih dahulu</t>
  </si>
  <si>
    <t>mencoba dahulu</t>
  </si>
  <si>
    <t xml:space="preserve">mencoba terlebih dahulu </t>
  </si>
  <si>
    <t>mencoba dulu</t>
  </si>
  <si>
    <t>Mencoba dulu sesuai kemampuan diri sendiri, coba bertanya kepada teman, lalu baru ke guru</t>
  </si>
  <si>
    <t xml:space="preserve">Saya bertanya kepada guru atau minta bantuan kepada teman dan berpikir kritis </t>
  </si>
  <si>
    <t xml:space="preserve">Bertanya kepada teman </t>
  </si>
  <si>
    <t>analisis kembali</t>
  </si>
  <si>
    <t>mencoba mengerjakan semampunya</t>
  </si>
  <si>
    <t>menanyakan pada teman</t>
  </si>
  <si>
    <t>mencoba membuat dulu dengan pengetahuan yang ada baru tanya guru ini bener apa salah</t>
  </si>
  <si>
    <t>Lakukan sendiri terlebih dahulu</t>
  </si>
  <si>
    <t>Mencoba dulu jika buntu baru tanyakan</t>
  </si>
  <si>
    <t>Mencoba melihat apa yang membuat saya kesulitan dan mencoba memecahkan sendiri lalu baru bertanya jika mmg sgt buntu</t>
  </si>
  <si>
    <t>mengerjakannya sebisa saya</t>
  </si>
  <si>
    <t>Saya mencoba memahami soal terlebih dahulu, mencari cara penyelesaiannya, dan berdiskusi dengan teman sebelum meminta bantuan guru.</t>
  </si>
  <si>
    <t>mencoba sendiri terlebih dahulu</t>
  </si>
  <si>
    <t>kami saling memberikan pendapat</t>
  </si>
  <si>
    <t>karna bisa saling memberi jawaban dan bekerja sama</t>
  </si>
  <si>
    <t>lebih mudah paham</t>
  </si>
  <si>
    <t>Bisa Berdiskusi bersama lalu memecahkan masalah bersama²</t>
  </si>
  <si>
    <t xml:space="preserve">iya karena banyak pendapat </t>
  </si>
  <si>
    <t>Lebih mudah untuk dikerjakan sesama dan bareng2</t>
  </si>
  <si>
    <t xml:space="preserve">Kamu bisa saling melengkapi informasi </t>
  </si>
  <si>
    <t>-</t>
  </si>
  <si>
    <t>iya karena kita jadi lebih memahami apa maksud dari masalah tersebut dan bisa menyelesaikan nya bersama sama</t>
  </si>
  <si>
    <t>karena bagian yang susah jadi nudah</t>
  </si>
  <si>
    <t>karena dapat menampung berbagai pendapat dan bisa mengajar kan teman yang belum mengerti, sama sama membantu</t>
  </si>
  <si>
    <t xml:space="preserve">dapat saling membantu. </t>
  </si>
  <si>
    <t xml:space="preserve">iya karna sangat memban </t>
  </si>
  <si>
    <t xml:space="preserve">Bisa mencari solusi bersama dan saling menyalurkan pendapat </t>
  </si>
  <si>
    <t>menjadi tau isii masalah</t>
  </si>
  <si>
    <t>karena saya selalu belajr dengan teman saya</t>
  </si>
  <si>
    <t xml:space="preserve">karena lebih banyak yang membantu dan tidak merasa sendiri </t>
  </si>
  <si>
    <t>karena bisa saling bertanya dan saling memberikan informasi dari satu sama lain</t>
  </si>
  <si>
    <t>Logika kita tersatukan dan saling melengkapi</t>
  </si>
  <si>
    <t>karena agar lebih mudah</t>
  </si>
  <si>
    <t>mudah di kerjakan dan diskusi</t>
  </si>
  <si>
    <t>lebih mudah untuk memahami</t>
  </si>
  <si>
    <t>Saya mengerjakan latihan soal untuk melatih dan mengetahui lebih banyak tentang algoritma</t>
  </si>
  <si>
    <t>Karena punya masalah bareng bareng jadi ga pusing sendirian (membantu saya dalam berpikir )</t>
  </si>
  <si>
    <t>Karena saling menyalurkan pendapat</t>
  </si>
  <si>
    <t>berkejasama</t>
  </si>
  <si>
    <t>saling membantu</t>
  </si>
  <si>
    <t>bisa lebih berdiskusi mengenai masalah yg menurut saya susah dipahami dan bisa mencari tau solusinya lebih cepat</t>
  </si>
  <si>
    <t>Ya karna bisa bebas bertanya ketika ada yang 
sulit dipahami</t>
  </si>
  <si>
    <t>saling berdisy</t>
  </si>
  <si>
    <t>Diskusi kaya 1 pikiran ke pikiran yg lain musyawarah gitu</t>
  </si>
  <si>
    <t>Dapat menerima pendapat dari sudut pandang lain</t>
  </si>
  <si>
    <t>Banyak otak dg pemahaman berbeda yg mendorong pengetahuan satu sm lain</t>
  </si>
  <si>
    <t>dapat bertanya ke teman jika memiliki masalah</t>
  </si>
  <si>
    <t>Saya bisa bertukar pendapat dengan teman dan lebih mudah memahami cara menyelesaikan masalah.</t>
  </si>
  <si>
    <t>dapat saling memperbaiki kesalahan</t>
  </si>
  <si>
    <t>lebih terampil</t>
  </si>
  <si>
    <t xml:space="preserve">lebih fokus dan tidak banyak bercanda atau ngobrol </t>
  </si>
  <si>
    <t>lebih fokus ketika guru menjelaskan</t>
  </si>
  <si>
    <t>Lebih berlatih mengerjakan dan memahami soal</t>
  </si>
  <si>
    <t xml:space="preserve">lebih mempelajari semuanya </t>
  </si>
  <si>
    <t>Semuanya saja ahahaha</t>
  </si>
  <si>
    <t>kalimat refleksi diri yang sering digunakan oleh pendidik (misalnya dalam Pengelolaan Kinerja PMM) atau siswa untuk mengevaluasi proses belajar.</t>
  </si>
  <si>
    <t>Lebih bauk lagi dan fokuss</t>
  </si>
  <si>
    <t>mempelajari  lagi materi psedecode</t>
  </si>
  <si>
    <t>bagaimana cara menyusun pseudocode</t>
  </si>
  <si>
    <t>lebih teliti lagi</t>
  </si>
  <si>
    <t xml:space="preserve">berlatih lagi pseudocode. </t>
  </si>
  <si>
    <t>lebih fokus lagi dan bisa lebih mengerti dan paham</t>
  </si>
  <si>
    <t>Akan belajar lebih baik dan memahami konsep dari seluruh materi</t>
  </si>
  <si>
    <t>bisa lebih fokus dalam belajar</t>
  </si>
  <si>
    <t>cara membuat garis di flowchart</t>
  </si>
  <si>
    <t>lebih bisa memahami psudocode</t>
  </si>
  <si>
    <t>menyusun pseudocode dan flowchart lebih baik dan berusaha sendiri</t>
  </si>
  <si>
    <t>Fokus saya dan logika saya</t>
  </si>
  <si>
    <t>lebih fokus</t>
  </si>
  <si>
    <t xml:space="preserve">lebih perbanyak belajar sendiri </t>
  </si>
  <si>
    <t>Lebih banyak bertanya</t>
  </si>
  <si>
    <t>Lebih fokus dan harus lebih pinter tentang sudo code</t>
  </si>
  <si>
    <t xml:space="preserve">Saya akan mencoba untuk berani bertanya, berpendapat </t>
  </si>
  <si>
    <t>lebih fokus saat penjelasan materj</t>
  </si>
  <si>
    <t>belajar</t>
  </si>
  <si>
    <t xml:space="preserve">Saya akan lebih teliti </t>
  </si>
  <si>
    <t>lebih fokus untuk mengerjakan</t>
  </si>
  <si>
    <t xml:space="preserve">saya akan lebih teliti </t>
  </si>
  <si>
    <t xml:space="preserve">Menjadi lebih baik dari pembelajaran sebelumnya </t>
  </si>
  <si>
    <t>Lebih memahami pseudocode dan pengujian</t>
  </si>
  <si>
    <t>Leb</t>
  </si>
  <si>
    <t>tentang membuat pseudocode</t>
  </si>
  <si>
    <t>Saya akan lebih teliti dalam menyusun langkah-langkah penyelesaian dan lebih berani mencoba sendiri.</t>
  </si>
  <si>
    <t>akan lebih teliti lagi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</si>
</sst>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6"/>
      <color rgb="FFFFFFFF"/>
      <name val="Carlito"/>
    </font>
    <font>
      <b/>
      <sz val="12"/>
      <color rgb="FF1F2937"/>
      <name val="Carlito"/>
    </font>
    <font>
      <b/>
      <sz val="11"/>
      <color rgb="FF1F2937"/>
      <name val="Carlito"/>
    </font>
    <font>
      <b/>
      <sz val="11"/>
      <color rgb="FF1F6F66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b/>
      <sz val="15"/>
      <color rgb="FFFFFFFF"/>
      <name val="Carlito"/>
    </font>
    <font>
      <b/>
      <sz val="10"/>
      <color rgb="FFFFFFFF"/>
      <name val="Arial"/>
    </font>
    <font>
      <sz val="10"/>
      <name val="Arial"/>
    </font>
    <font>
      <i/>
      <sz val="11"/>
      <name val="Carlito"/>
    </font>
    <font>
      <b/>
      <sz val="9.5"/>
      <color rgb="FFFFFFFF"/>
      <name val="Arial"/>
    </font>
    <font>
      <sz val="9.5"/>
      <name val="Arial"/>
    </font>
    <font>
      <b/>
      <sz val="9"/>
      <color rgb="FFFFFFFF"/>
      <name val="Arial"/>
    </font>
    <font>
      <sz val="9"/>
      <name val="Arial"/>
    </font>
    <font>
      <b/>
      <sz val="10"/>
      <name val="Arial"/>
    </font>
    <font>
      <sz val="10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F8F83"/>
      </patternFill>
    </fill>
    <fill>
      <patternFill patternType="solid">
        <fgColor rgb="FFDDEFEA"/>
      </patternFill>
    </fill>
    <fill>
      <patternFill patternType="solid">
        <fgColor rgb="FFF8E8BE"/>
      </patternFill>
    </fill>
    <fill>
      <patternFill patternType="solid">
        <fgColor rgb="FF1F6F66"/>
      </patternFill>
    </fill>
    <fill>
      <patternFill patternType="solid">
        <fgColor theme="0"/>
      </patternFill>
    </fill>
    <fill>
      <patternFill patternType="solid">
        <fgColor rgb="FF247B70"/>
      </patternFill>
    </fill>
    <fill>
      <patternFill patternType="solid">
        <fgColor rgb="FF1C625A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FFF4D6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3" fillId="3" borderId="1" xfId="0" applyFont="1" applyFill="1" applyBorder="1"/>
    <xf numFmtId="0" fontId="0" fillId="0" borderId="2" xfId="0" applyBorder="1"/>
    <xf numFmtId="0" fontId="3" fillId="3" borderId="3" xfId="0" applyFont="1" applyFill="1" applyBorder="1"/>
    <xf numFmtId="0" fontId="0" fillId="0" borderId="4" xfId="0" applyBorder="1"/>
    <xf numFmtId="0" fontId="3" fillId="3" borderId="5" xfId="0" applyFont="1" applyFill="1" applyBorder="1"/>
    <xf numFmtId="0" fontId="0" fillId="0" borderId="6" xfId="0" applyBorder="1"/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3" borderId="3" xfId="0" applyFont="1" applyFill="1" applyBorder="1"/>
    <xf numFmtId="0" fontId="5" fillId="3" borderId="5" xfId="0" applyFont="1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6" fillId="5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6" fillId="6" borderId="12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0" fillId="0" borderId="0" xfId="0" applyFont="1"/>
    <xf numFmtId="0" fontId="9" fillId="8" borderId="0" xfId="0" applyFont="1" applyFill="1" applyAlignment="1">
      <alignment horizontal="center" vertical="center" wrapText="1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4" xfId="0" applyFont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6" xfId="0" applyFont="1" applyBorder="1" applyAlignment="1">
      <alignment vertical="center" wrapText="1"/>
    </xf>
    <xf numFmtId="9" fontId="10" fillId="0" borderId="16" xfId="0" applyNumberFormat="1" applyFont="1" applyBorder="1" applyAlignment="1">
      <alignment vertical="center"/>
    </xf>
    <xf numFmtId="2" fontId="10" fillId="0" borderId="16" xfId="0" applyNumberFormat="1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 wrapText="1"/>
    </xf>
    <xf numFmtId="2" fontId="10" fillId="0" borderId="18" xfId="0" applyNumberFormat="1" applyFont="1" applyBorder="1" applyAlignment="1">
      <alignment vertical="center"/>
    </xf>
    <xf numFmtId="0" fontId="12" fillId="8" borderId="0" xfId="0" applyFont="1" applyFill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2" fontId="13" fillId="0" borderId="20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 wrapText="1"/>
    </xf>
    <xf numFmtId="0" fontId="15" fillId="0" borderId="13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0" xfId="0" applyFont="1"/>
    <xf numFmtId="2" fontId="15" fillId="0" borderId="19" xfId="0" applyNumberFormat="1" applyFont="1" applyBorder="1" applyAlignment="1">
      <alignment vertical="center"/>
    </xf>
    <xf numFmtId="2" fontId="15" fillId="0" borderId="14" xfId="0" applyNumberFormat="1" applyFont="1" applyBorder="1" applyAlignment="1">
      <alignment vertical="center"/>
    </xf>
    <xf numFmtId="2" fontId="15" fillId="0" borderId="0" xfId="0" applyNumberFormat="1" applyFont="1" applyAlignment="1">
      <alignment vertical="center"/>
    </xf>
    <xf numFmtId="2" fontId="15" fillId="0" borderId="16" xfId="0" applyNumberFormat="1" applyFont="1" applyBorder="1" applyAlignment="1">
      <alignment vertical="center"/>
    </xf>
    <xf numFmtId="2" fontId="15" fillId="0" borderId="20" xfId="0" applyNumberFormat="1" applyFont="1" applyBorder="1" applyAlignment="1">
      <alignment vertical="center"/>
    </xf>
    <xf numFmtId="2" fontId="15" fillId="0" borderId="18" xfId="0" applyNumberFormat="1" applyFont="1" applyBorder="1" applyAlignment="1">
      <alignment vertical="center"/>
    </xf>
    <xf numFmtId="2" fontId="15" fillId="0" borderId="19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2" fontId="10" fillId="0" borderId="19" xfId="0" applyNumberFormat="1" applyFont="1" applyBorder="1" applyAlignment="1">
      <alignment vertical="center"/>
    </xf>
    <xf numFmtId="2" fontId="10" fillId="0" borderId="14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2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2" fontId="10" fillId="0" borderId="20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0" fillId="0" borderId="0" xfId="0" applyFont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10" fillId="0" borderId="19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8" fillId="7" borderId="0" xfId="0" applyFont="1" applyFill="1" applyAlignment="1">
      <alignment horizontal="center" vertical="center"/>
    </xf>
    <xf numFmtId="0" fontId="11" fillId="9" borderId="0" xfId="0" applyFont="1" applyFill="1" applyAlignment="1">
      <alignment wrapText="1"/>
    </xf>
    <xf numFmtId="0" fontId="16" fillId="10" borderId="13" xfId="0" applyFont="1" applyFill="1" applyBorder="1" applyAlignment="1">
      <alignment horizontal="center" vertical="center" wrapText="1"/>
    </xf>
    <xf numFmtId="0" fontId="16" fillId="10" borderId="19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16" fillId="10" borderId="20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vertical="center" wrapText="1"/>
    </xf>
    <xf numFmtId="0" fontId="10" fillId="11" borderId="19" xfId="0" applyFont="1" applyFill="1" applyBorder="1" applyAlignment="1">
      <alignment vertical="center" wrapText="1"/>
    </xf>
    <xf numFmtId="0" fontId="10" fillId="11" borderId="14" xfId="0" applyFont="1" applyFill="1" applyBorder="1" applyAlignment="1">
      <alignment vertical="center" wrapText="1"/>
    </xf>
    <xf numFmtId="0" fontId="10" fillId="11" borderId="15" xfId="0" applyFont="1" applyFill="1" applyBorder="1" applyAlignment="1">
      <alignment vertical="center" wrapText="1"/>
    </xf>
    <xf numFmtId="0" fontId="10" fillId="11" borderId="0" xfId="0" applyFont="1" applyFill="1" applyAlignment="1">
      <alignment vertical="center" wrapText="1"/>
    </xf>
    <xf numFmtId="0" fontId="10" fillId="11" borderId="16" xfId="0" applyFont="1" applyFill="1" applyBorder="1" applyAlignment="1">
      <alignment vertical="center" wrapText="1"/>
    </xf>
    <xf numFmtId="0" fontId="10" fillId="11" borderId="17" xfId="0" applyFont="1" applyFill="1" applyBorder="1" applyAlignment="1">
      <alignment vertical="center" wrapText="1"/>
    </xf>
    <xf numFmtId="0" fontId="10" fillId="11" borderId="20" xfId="0" applyFont="1" applyFill="1" applyBorder="1" applyAlignment="1">
      <alignment vertical="center" wrapText="1"/>
    </xf>
    <xf numFmtId="0" fontId="10" fillId="11" borderId="18" xfId="0" applyFont="1" applyFill="1" applyBorder="1" applyAlignment="1">
      <alignment vertical="center" wrapText="1"/>
    </xf>
    <xf numFmtId="0" fontId="13" fillId="12" borderId="15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C6E0B4"/>
        </patternFill>
      </fill>
    </dxf>
    <dxf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0B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bgColor rgb="FFFFC7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Rata-rata Skor per Indikator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Rata-rata Skor (1–4)</c:v>
          </c:tx>
          <c:invertIfNegative val="1"/>
          <c:cat>
            <c:strRef>
              <c:f>'Rekap &amp; Dashboard'!$A$11:$A$16</c:f>
              <c:strCache>
                <c:ptCount val="6"/>
                <c:pt idx="0">
                  <c:v>IPO</c:v>
                </c:pt>
                <c:pt idx="1">
                  <c:v>Algoritma</c:v>
                </c:pt>
                <c:pt idx="2">
                  <c:v>Percabangan</c:v>
                </c:pt>
                <c:pt idx="3">
                  <c:v>Flowchart</c:v>
                </c:pt>
                <c:pt idx="4">
                  <c:v>Pseudocode</c:v>
                </c:pt>
                <c:pt idx="5">
                  <c:v>Debugging</c:v>
                </c:pt>
              </c:strCache>
            </c:strRef>
          </c:cat>
          <c:val>
            <c:numRef>
              <c:f>'Rekap &amp; Dashboard'!$B$11:$B$16</c:f>
              <c:numCache>
                <c:formatCode>General</c:formatCode>
                <c:ptCount val="6"/>
                <c:pt idx="0">
                  <c:v>1.85</c:v>
                </c:pt>
                <c:pt idx="1">
                  <c:v>2.15</c:v>
                </c:pt>
                <c:pt idx="2">
                  <c:v>1.63</c:v>
                </c:pt>
                <c:pt idx="3">
                  <c:v>1.1299999999999999</c:v>
                </c:pt>
                <c:pt idx="4">
                  <c:v>1.1100000000000001</c:v>
                </c:pt>
                <c:pt idx="5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7-47F1-9193-53F2CE3B3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Ketuntasan Pra-Tindakan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'Rekap &amp; Dashboard'!$J$22:$J$23</c:f>
              <c:strCache>
                <c:ptCount val="2"/>
                <c:pt idx="0">
                  <c:v>Tuntas</c:v>
                </c:pt>
                <c:pt idx="1">
                  <c:v>Belum Tuntas</c:v>
                </c:pt>
              </c:strCache>
            </c:strRef>
          </c:cat>
          <c:val>
            <c:numRef>
              <c:f>'Rekap &amp; Dashboard'!$K$19:$K$20</c:f>
              <c:numCache>
                <c:formatCode>General</c:formatCode>
                <c:ptCount val="2"/>
                <c:pt idx="0">
                  <c:v>5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D-4426-B32D-D27964029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id-ID"/>
              <a:t>Perbandingan Rata-rata Indikator: Pra vs Siklus 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Pra</c:v>
          </c:tx>
          <c:invertIfNegative val="1"/>
          <c:cat>
            <c:strRef>
              <c:f>'Dashboard Siklus I'!$G$12:$G$17</c:f>
              <c:strCache>
                <c:ptCount val="6"/>
                <c:pt idx="0">
                  <c:v>IPO</c:v>
                </c:pt>
                <c:pt idx="1">
                  <c:v>Algoritma</c:v>
                </c:pt>
                <c:pt idx="2">
                  <c:v>Percabangan</c:v>
                </c:pt>
                <c:pt idx="3">
                  <c:v>Flowchart</c:v>
                </c:pt>
                <c:pt idx="4">
                  <c:v>Pseudocode</c:v>
                </c:pt>
                <c:pt idx="5">
                  <c:v>Debugging</c:v>
                </c:pt>
              </c:strCache>
            </c:strRef>
          </c:cat>
          <c:val>
            <c:numRef>
              <c:f>'Dashboard Siklus I'!$H$12:$H$17</c:f>
              <c:numCache>
                <c:formatCode>0.00</c:formatCode>
                <c:ptCount val="6"/>
                <c:pt idx="0">
                  <c:v>1.85</c:v>
                </c:pt>
                <c:pt idx="1">
                  <c:v>2.17</c:v>
                </c:pt>
                <c:pt idx="2">
                  <c:v>1.61</c:v>
                </c:pt>
                <c:pt idx="3">
                  <c:v>1.1499999999999999</c:v>
                </c:pt>
                <c:pt idx="4">
                  <c:v>1.1200000000000001</c:v>
                </c:pt>
                <c:pt idx="5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A-44DF-B022-261D083BFF1C}"/>
            </c:ext>
          </c:extLst>
        </c:ser>
        <c:ser>
          <c:idx val="1"/>
          <c:order val="1"/>
          <c:tx>
            <c:v>Siklus I</c:v>
          </c:tx>
          <c:invertIfNegative val="1"/>
          <c:cat>
            <c:strRef>
              <c:f>'Dashboard Siklus I'!$G$12:$G$17</c:f>
              <c:strCache>
                <c:ptCount val="6"/>
                <c:pt idx="0">
                  <c:v>IPO</c:v>
                </c:pt>
                <c:pt idx="1">
                  <c:v>Algoritma</c:v>
                </c:pt>
                <c:pt idx="2">
                  <c:v>Percabangan</c:v>
                </c:pt>
                <c:pt idx="3">
                  <c:v>Flowchart</c:v>
                </c:pt>
                <c:pt idx="4">
                  <c:v>Pseudocode</c:v>
                </c:pt>
                <c:pt idx="5">
                  <c:v>Debugging</c:v>
                </c:pt>
              </c:strCache>
            </c:strRef>
          </c:cat>
          <c:val>
            <c:numRef>
              <c:f>'Dashboard Siklus I'!$I$12:$I$17</c:f>
              <c:numCache>
                <c:formatCode>0.00</c:formatCode>
                <c:ptCount val="6"/>
                <c:pt idx="0">
                  <c:v>3.63</c:v>
                </c:pt>
                <c:pt idx="1">
                  <c:v>3.46</c:v>
                </c:pt>
                <c:pt idx="2">
                  <c:v>3.61</c:v>
                </c:pt>
                <c:pt idx="3">
                  <c:v>2.63</c:v>
                </c:pt>
                <c:pt idx="4">
                  <c:v>2.9</c:v>
                </c:pt>
                <c:pt idx="5">
                  <c:v>2.5099999999999998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CA-44DF-B022-261D083BF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id-ID"/>
              <a:t>Perbandingan Kategori Kemandirian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'Dashboard Siklus I'!$G$5:$G$8</c:f>
              <c:strCache>
                <c:ptCount val="4"/>
                <c:pt idx="0">
                  <c:v>Sangat Mandiri</c:v>
                </c:pt>
                <c:pt idx="1">
                  <c:v>Mandiri</c:v>
                </c:pt>
                <c:pt idx="2">
                  <c:v>Kurang Mandiri</c:v>
                </c:pt>
                <c:pt idx="3">
                  <c:v>Belum Mandiri</c:v>
                </c:pt>
              </c:strCache>
            </c:strRef>
          </c:cat>
          <c:val>
            <c:numRef>
              <c:f>'Dashboard Siklus I'!$H$5:$H$8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37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A-471D-8ED7-4A58DF405BE5}"/>
            </c:ext>
          </c:extLst>
        </c:ser>
        <c:ser>
          <c:idx val="1"/>
          <c:order val="1"/>
          <c:invertIfNegative val="1"/>
          <c:cat>
            <c:strRef>
              <c:f>'Dashboard Siklus I'!$G$5:$G$8</c:f>
              <c:strCache>
                <c:ptCount val="4"/>
                <c:pt idx="0">
                  <c:v>Sangat Mandiri</c:v>
                </c:pt>
                <c:pt idx="1">
                  <c:v>Mandiri</c:v>
                </c:pt>
                <c:pt idx="2">
                  <c:v>Kurang Mandiri</c:v>
                </c:pt>
                <c:pt idx="3">
                  <c:v>Belum Mandiri</c:v>
                </c:pt>
              </c:strCache>
            </c:strRef>
          </c:cat>
          <c:val>
            <c:numRef>
              <c:f>'Dashboard Siklus I'!$I$5:$I$8</c:f>
              <c:numCache>
                <c:formatCode>General</c:formatCode>
                <c:ptCount val="4"/>
                <c:pt idx="0">
                  <c:v>11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A-471D-8ED7-4A58DF40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27</xdr:row>
      <xdr:rowOff>26277</xdr:rowOff>
    </xdr:from>
    <xdr:to>
      <xdr:col>5</xdr:col>
      <xdr:colOff>131378</xdr:colOff>
      <xdr:row>42</xdr:row>
      <xdr:rowOff>26276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630620</xdr:colOff>
      <xdr:row>28</xdr:row>
      <xdr:rowOff>13140</xdr:rowOff>
    </xdr:from>
    <xdr:to>
      <xdr:col>12</xdr:col>
      <xdr:colOff>893379</xdr:colOff>
      <xdr:row>43</xdr:row>
      <xdr:rowOff>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iklusITable" displayName="DataSiklusITable" ref="A4:N50" totalsRowShown="0">
  <tableColumns count="14">
    <tableColumn id="1" xr3:uid="{00000000-0010-0000-0000-000001000000}" name="No."/>
    <tableColumn id="2" xr3:uid="{00000000-0010-0000-0000-000002000000}" name="Kode Peserta Didik"/>
    <tableColumn id="3" xr3:uid="{00000000-0010-0000-0000-000003000000}" name="Kehadiran"/>
    <tableColumn id="4" xr3:uid="{00000000-0010-0000-0000-000004000000}" name="IPO"/>
    <tableColumn id="5" xr3:uid="{00000000-0010-0000-0000-000005000000}" name="Algoritma"/>
    <tableColumn id="6" xr3:uid="{00000000-0010-0000-0000-000006000000}" name="Percabangan"/>
    <tableColumn id="7" xr3:uid="{00000000-0010-0000-0000-000007000000}" name="Flowchart"/>
    <tableColumn id="8" xr3:uid="{00000000-0010-0000-0000-000008000000}" name="Pseudocode"/>
    <tableColumn id="9" xr3:uid="{00000000-0010-0000-0000-000009000000}" name="Debugging"/>
    <tableColumn id="10" xr3:uid="{00000000-0010-0000-0000-00000A000000}" name="Total Skor"/>
    <tableColumn id="11" xr3:uid="{00000000-0010-0000-0000-00000B000000}" name="Nilai"/>
    <tableColumn id="12" xr3:uid="{00000000-0010-0000-0000-00000C000000}" name="Ketuntasan"/>
    <tableColumn id="13" xr3:uid="{00000000-0010-0000-0000-00000D000000}" name="Status Data"/>
    <tableColumn id="14" xr3:uid="{00000000-0010-0000-0000-00000E000000}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bsKemandirianS1Table" displayName="ObsKemandirianS1Table" ref="A4:M50" totalsRowShown="0">
  <tableColumns count="13">
    <tableColumn id="1" xr3:uid="{00000000-0010-0000-0100-000001000000}" name="No."/>
    <tableColumn id="2" xr3:uid="{00000000-0010-0000-0100-000002000000}" name="Kode Peserta Didik"/>
    <tableColumn id="3" xr3:uid="{00000000-0010-0000-0100-000003000000}" name="Kehadiran" dataDxfId="26"/>
    <tableColumn id="4" xr3:uid="{00000000-0010-0000-0100-000004000000}" name="K1" dataDxfId="25"/>
    <tableColumn id="5" xr3:uid="{00000000-0010-0000-0100-000005000000}" name="K2" dataDxfId="24"/>
    <tableColumn id="6" xr3:uid="{00000000-0010-0000-0100-000006000000}" name="K3" dataDxfId="23"/>
    <tableColumn id="7" xr3:uid="{00000000-0010-0000-0100-000007000000}" name="K4" dataDxfId="22"/>
    <tableColumn id="8" xr3:uid="{00000000-0010-0000-0100-000008000000}" name="K5" dataDxfId="21"/>
    <tableColumn id="9" xr3:uid="{00000000-0010-0000-0100-000009000000}" name="Total"/>
    <tableColumn id="10" xr3:uid="{00000000-0010-0000-0100-00000A000000}" name="Rata-rata"/>
    <tableColumn id="11" xr3:uid="{00000000-0010-0000-0100-00000B000000}" name="Kategori"/>
    <tableColumn id="12" xr3:uid="{00000000-0010-0000-0100-00000C000000}" name="Status Data"/>
    <tableColumn id="13" xr3:uid="{00000000-0010-0000-0100-00000D000000}" name="Catatan Observ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leksiS1Table" displayName="RefleksiS1Table" ref="A4:R50" totalsRowShown="0">
  <tableColumns count="18">
    <tableColumn id="1" xr3:uid="{00000000-0010-0000-0200-000001000000}" name="No."/>
    <tableColumn id="2" xr3:uid="{00000000-0010-0000-0200-000002000000}" name="Kode"/>
    <tableColumn id="3" xr3:uid="{00000000-0010-0000-0200-000003000000}" name="Kehadiran" dataDxfId="20"/>
    <tableColumn id="4" xr3:uid="{00000000-0010-0000-0200-000004000000}" name="R1" dataDxfId="19"/>
    <tableColumn id="5" xr3:uid="{00000000-0010-0000-0200-000005000000}" name="R2" dataDxfId="18"/>
    <tableColumn id="6" xr3:uid="{00000000-0010-0000-0200-000006000000}" name="R3" dataDxfId="17"/>
    <tableColumn id="7" xr3:uid="{00000000-0010-0000-0200-000007000000}" name="R4" dataDxfId="16"/>
    <tableColumn id="8" xr3:uid="{00000000-0010-0000-0200-000008000000}" name="R5" dataDxfId="15"/>
    <tableColumn id="9" xr3:uid="{00000000-0010-0000-0200-000009000000}" name="R6" dataDxfId="14"/>
    <tableColumn id="10" xr3:uid="{00000000-0010-0000-0200-00000A000000}" name="R7" dataDxfId="13"/>
    <tableColumn id="11" xr3:uid="{00000000-0010-0000-0200-00000B000000}" name="R8" dataDxfId="12"/>
    <tableColumn id="12" xr3:uid="{00000000-0010-0000-0200-00000C000000}" name="Rata-rata"/>
    <tableColumn id="13" xr3:uid="{00000000-0010-0000-0200-00000D000000}" name="Lebih Berani?" dataDxfId="11"/>
    <tableColumn id="14" xr3:uid="{00000000-0010-0000-0200-00000E000000}" name="Paling Dipahami" dataDxfId="10"/>
    <tableColumn id="15" xr3:uid="{00000000-0010-0000-0200-00000F000000}" name="Paling Sulit" dataDxfId="9"/>
    <tableColumn id="16" xr3:uid="{00000000-0010-0000-0200-000010000000}" name="Sebelum Minta Bantuan" dataDxfId="8"/>
    <tableColumn id="17" xr3:uid="{00000000-0010-0000-0200-000011000000}" name="Manfaat Kelompok" dataDxfId="7"/>
    <tableColumn id="18" xr3:uid="{00000000-0010-0000-0200-000012000000}" name="Exit Ticket / Catatan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rbandinganPraS1Table" displayName="PerbandinganPraS1Table" ref="A4:N50" totalsRowShown="0">
  <tableColumns count="14">
    <tableColumn id="1" xr3:uid="{00000000-0010-0000-0300-000001000000}" name="No."/>
    <tableColumn id="2" xr3:uid="{00000000-0010-0000-0300-000002000000}" name="Kode"/>
    <tableColumn id="3" xr3:uid="{00000000-0010-0000-0300-000003000000}" name="Kehadiran S1"/>
    <tableColumn id="4" xr3:uid="{00000000-0010-0000-0300-000004000000}" name="Status Data"/>
    <tableColumn id="5" xr3:uid="{00000000-0010-0000-0300-000005000000}" name="Nilai Pra"/>
    <tableColumn id="6" xr3:uid="{00000000-0010-0000-0300-000006000000}" name="Nilai S1"/>
    <tableColumn id="7" xr3:uid="{00000000-0010-0000-0300-000007000000}" name="Δ Nilai"/>
    <tableColumn id="8" xr3:uid="{00000000-0010-0000-0300-000008000000}" name="Ketuntasan Pra"/>
    <tableColumn id="9" xr3:uid="{00000000-0010-0000-0300-000009000000}" name="Ketuntasan S1"/>
    <tableColumn id="10" xr3:uid="{00000000-0010-0000-0300-00000A000000}" name="Perubahan Ketuntasan"/>
    <tableColumn id="11" xr3:uid="{00000000-0010-0000-0300-00000B000000}" name="Kemandirian Pra"/>
    <tableColumn id="12" xr3:uid="{00000000-0010-0000-0300-00000C000000}" name="Kemandirian S1"/>
    <tableColumn id="13" xr3:uid="{00000000-0010-0000-0300-00000D000000}" name="Δ Kemandirian"/>
    <tableColumn id="14" xr3:uid="{00000000-0010-0000-0300-00000E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sqref="A1:H1"/>
    </sheetView>
  </sheetViews>
  <sheetFormatPr defaultRowHeight="13.8"/>
  <cols>
    <col min="1" max="1" width="20" customWidth="1"/>
    <col min="2" max="2" width="32" customWidth="1"/>
    <col min="3" max="3" width="4" customWidth="1"/>
    <col min="4" max="4" width="6" customWidth="1"/>
    <col min="5" max="8" width="18" customWidth="1"/>
  </cols>
  <sheetData>
    <row r="1" spans="1:8" ht="19.2" customHeight="1">
      <c r="A1" s="108" t="s">
        <v>0</v>
      </c>
      <c r="B1" s="108"/>
      <c r="C1" s="108"/>
      <c r="D1" s="108"/>
      <c r="E1" s="108"/>
      <c r="F1" s="108"/>
      <c r="G1" s="108"/>
      <c r="H1" s="108"/>
    </row>
    <row r="2" spans="1:8" ht="15.6">
      <c r="A2" s="109" t="s">
        <v>1</v>
      </c>
      <c r="B2" s="109"/>
      <c r="C2" s="109"/>
      <c r="D2" s="109"/>
      <c r="E2" s="109"/>
      <c r="F2" s="109"/>
      <c r="G2" s="109"/>
      <c r="H2" s="109"/>
    </row>
    <row r="4" spans="1:8">
      <c r="A4" s="1" t="s">
        <v>2</v>
      </c>
      <c r="B4" s="2" t="s">
        <v>3</v>
      </c>
      <c r="D4" s="110" t="s">
        <v>4</v>
      </c>
      <c r="E4" s="110"/>
      <c r="F4" s="110"/>
      <c r="G4" s="110"/>
      <c r="H4" s="110"/>
    </row>
    <row r="5" spans="1:8" ht="55.2">
      <c r="A5" s="3" t="s">
        <v>5</v>
      </c>
      <c r="B5" s="4" t="s">
        <v>6</v>
      </c>
      <c r="D5" s="8" t="s">
        <v>7</v>
      </c>
      <c r="E5" s="9" t="s">
        <v>8</v>
      </c>
      <c r="F5" s="9"/>
      <c r="G5" s="9"/>
      <c r="H5" s="10"/>
    </row>
    <row r="6" spans="1:8" ht="41.4">
      <c r="A6" s="3" t="s">
        <v>9</v>
      </c>
      <c r="B6" s="4">
        <v>46</v>
      </c>
      <c r="D6" s="11" t="s">
        <v>10</v>
      </c>
      <c r="E6" s="7" t="s">
        <v>11</v>
      </c>
      <c r="F6" s="7"/>
      <c r="G6" s="7"/>
      <c r="H6" s="12"/>
    </row>
    <row r="7" spans="1:8" ht="69">
      <c r="A7" s="3" t="s">
        <v>12</v>
      </c>
      <c r="B7" s="4">
        <v>75</v>
      </c>
      <c r="D7" s="11" t="s">
        <v>13</v>
      </c>
      <c r="E7" s="7" t="s">
        <v>14</v>
      </c>
      <c r="F7" s="7"/>
      <c r="G7" s="7"/>
      <c r="H7" s="12"/>
    </row>
    <row r="8" spans="1:8" ht="69">
      <c r="A8" s="3" t="s">
        <v>15</v>
      </c>
      <c r="B8" s="4" t="s">
        <v>16</v>
      </c>
      <c r="D8" s="11" t="s">
        <v>17</v>
      </c>
      <c r="E8" s="7" t="s">
        <v>18</v>
      </c>
      <c r="F8" s="7"/>
      <c r="G8" s="7"/>
      <c r="H8" s="12"/>
    </row>
    <row r="9" spans="1:8" ht="55.2">
      <c r="A9" s="5" t="s">
        <v>19</v>
      </c>
      <c r="B9" s="6" t="s">
        <v>20</v>
      </c>
      <c r="D9" s="11" t="s">
        <v>21</v>
      </c>
      <c r="E9" s="7" t="s">
        <v>22</v>
      </c>
      <c r="F9" s="7"/>
      <c r="G9" s="7"/>
      <c r="H9" s="12"/>
    </row>
    <row r="10" spans="1:8" ht="55.2">
      <c r="D10" s="13" t="s">
        <v>23</v>
      </c>
      <c r="E10" s="14" t="s">
        <v>24</v>
      </c>
      <c r="F10" s="14"/>
      <c r="G10" s="14"/>
      <c r="H10" s="15"/>
    </row>
    <row r="12" spans="1:8">
      <c r="A12" s="111" t="s">
        <v>25</v>
      </c>
      <c r="B12" s="111"/>
      <c r="C12" s="111"/>
      <c r="D12" s="111"/>
      <c r="E12" s="111"/>
      <c r="F12" s="111"/>
      <c r="G12" s="111"/>
      <c r="H12" s="111"/>
    </row>
    <row r="13" spans="1:8" ht="21.75" customHeight="1">
      <c r="A13" s="16" t="s">
        <v>26</v>
      </c>
      <c r="B13" s="112" t="s">
        <v>27</v>
      </c>
      <c r="C13" s="112"/>
      <c r="D13" s="112"/>
      <c r="E13" s="112"/>
      <c r="F13" s="112"/>
      <c r="G13" s="112"/>
      <c r="H13" s="113"/>
    </row>
    <row r="14" spans="1:8">
      <c r="A14" s="11" t="s">
        <v>28</v>
      </c>
      <c r="B14" s="106" t="s">
        <v>29</v>
      </c>
      <c r="C14" s="106"/>
      <c r="D14" s="106"/>
      <c r="E14" s="106"/>
      <c r="F14" s="106"/>
      <c r="G14" s="106"/>
      <c r="H14" s="107"/>
    </row>
    <row r="15" spans="1:8">
      <c r="A15" s="11" t="s">
        <v>30</v>
      </c>
      <c r="B15" s="106" t="s">
        <v>31</v>
      </c>
      <c r="C15" s="106"/>
      <c r="D15" s="106"/>
      <c r="E15" s="106"/>
      <c r="F15" s="106"/>
      <c r="G15" s="106"/>
      <c r="H15" s="107"/>
    </row>
    <row r="16" spans="1:8">
      <c r="A16" s="11" t="s">
        <v>32</v>
      </c>
      <c r="B16" s="106" t="s">
        <v>33</v>
      </c>
      <c r="C16" s="106"/>
      <c r="D16" s="106"/>
      <c r="E16" s="106"/>
      <c r="F16" s="106"/>
      <c r="G16" s="106"/>
      <c r="H16" s="107"/>
    </row>
    <row r="17" spans="1:8">
      <c r="A17" s="11" t="s">
        <v>34</v>
      </c>
      <c r="B17" s="106" t="s">
        <v>35</v>
      </c>
      <c r="C17" s="106"/>
      <c r="D17" s="106"/>
      <c r="E17" s="106"/>
      <c r="F17" s="106"/>
      <c r="G17" s="106"/>
      <c r="H17" s="107"/>
    </row>
    <row r="18" spans="1:8">
      <c r="A18" s="11" t="s">
        <v>36</v>
      </c>
      <c r="B18" s="106" t="s">
        <v>37</v>
      </c>
      <c r="C18" s="106"/>
      <c r="D18" s="106"/>
      <c r="E18" s="106"/>
      <c r="F18" s="106"/>
      <c r="G18" s="106"/>
      <c r="H18" s="107"/>
    </row>
    <row r="19" spans="1:8">
      <c r="A19" s="13" t="s">
        <v>38</v>
      </c>
      <c r="B19" s="104" t="s">
        <v>39</v>
      </c>
      <c r="C19" s="104"/>
      <c r="D19" s="104"/>
      <c r="E19" s="104"/>
      <c r="F19" s="104"/>
      <c r="G19" s="104"/>
      <c r="H19" s="105"/>
    </row>
  </sheetData>
  <mergeCells count="11">
    <mergeCell ref="A1:H1"/>
    <mergeCell ref="A2:H2"/>
    <mergeCell ref="D4:H4"/>
    <mergeCell ref="A12:H12"/>
    <mergeCell ref="B13:H13"/>
    <mergeCell ref="B19:H19"/>
    <mergeCell ref="B14:H14"/>
    <mergeCell ref="B15:H15"/>
    <mergeCell ref="B16:H16"/>
    <mergeCell ref="B17:H17"/>
    <mergeCell ref="B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workbookViewId="0">
      <pane xSplit="2" ySplit="4" topLeftCell="C17" activePane="bottomRight" state="frozen"/>
      <selection pane="topRight"/>
      <selection pane="bottomLeft"/>
      <selection pane="bottomRight" activeCell="C5" sqref="C5"/>
    </sheetView>
  </sheetViews>
  <sheetFormatPr defaultRowHeight="13.8"/>
  <cols>
    <col min="1" max="1" width="6" customWidth="1"/>
    <col min="2" max="2" width="18" customWidth="1"/>
    <col min="3" max="3" width="9" customWidth="1"/>
    <col min="4" max="4" width="12" customWidth="1"/>
    <col min="5" max="5" width="13" customWidth="1"/>
    <col min="6" max="6" width="12" customWidth="1"/>
    <col min="7" max="7" width="13" customWidth="1"/>
    <col min="8" max="8" width="12" customWidth="1"/>
    <col min="9" max="9" width="11" customWidth="1"/>
    <col min="10" max="10" width="10" customWidth="1"/>
    <col min="11" max="11" width="15" customWidth="1"/>
    <col min="12" max="12" width="28" customWidth="1"/>
  </cols>
  <sheetData>
    <row r="1" spans="1:12" ht="24" customHeight="1">
      <c r="A1" s="108" t="s">
        <v>40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14.4">
      <c r="A2" s="114" t="s">
        <v>41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</row>
    <row r="4" spans="1:12" ht="27.15" customHeight="1">
      <c r="A4" s="16" t="s">
        <v>42</v>
      </c>
      <c r="B4" s="17" t="s">
        <v>43</v>
      </c>
      <c r="C4" s="17" t="s">
        <v>28</v>
      </c>
      <c r="D4" s="17" t="s">
        <v>44</v>
      </c>
      <c r="E4" s="17" t="s">
        <v>45</v>
      </c>
      <c r="F4" s="17" t="s">
        <v>46</v>
      </c>
      <c r="G4" s="17" t="s">
        <v>47</v>
      </c>
      <c r="H4" s="17" t="s">
        <v>48</v>
      </c>
      <c r="I4" s="17" t="s">
        <v>49</v>
      </c>
      <c r="J4" s="17" t="s">
        <v>50</v>
      </c>
      <c r="K4" s="17" t="s">
        <v>51</v>
      </c>
      <c r="L4" s="18" t="s">
        <v>52</v>
      </c>
    </row>
    <row r="5" spans="1:12">
      <c r="A5" s="21">
        <v>1</v>
      </c>
      <c r="B5" s="22" t="s">
        <v>53</v>
      </c>
      <c r="C5" s="22">
        <v>1</v>
      </c>
      <c r="D5" s="22">
        <v>2</v>
      </c>
      <c r="E5" s="22">
        <v>1</v>
      </c>
      <c r="F5" s="22">
        <v>1</v>
      </c>
      <c r="G5" s="22">
        <v>1</v>
      </c>
      <c r="H5" s="22">
        <v>1</v>
      </c>
      <c r="I5" s="22">
        <f t="shared" ref="I5:I50" si="0">IF(COUNTA(C5:H5)=0,"",SUM(C5:H5))</f>
        <v>7</v>
      </c>
      <c r="J5" s="22">
        <f>IF(I5="","",ROUND(I5/'Rekap &amp; Dashboard'!$B$7*100,2))</f>
        <v>29.17</v>
      </c>
      <c r="K5" s="22" t="str">
        <f>IF(J5="","",IF(J5&gt;='Rekap &amp; Dashboard'!$B$6,"Tuntas","Belum Tuntas"))</f>
        <v>Belum Tuntas</v>
      </c>
      <c r="L5" s="10"/>
    </row>
    <row r="6" spans="1:12">
      <c r="A6" s="23">
        <v>2</v>
      </c>
      <c r="B6" s="24" t="s">
        <v>54</v>
      </c>
      <c r="C6" s="22">
        <v>1</v>
      </c>
      <c r="D6" s="22">
        <v>1</v>
      </c>
      <c r="E6" s="22">
        <v>1</v>
      </c>
      <c r="F6" s="22">
        <v>1</v>
      </c>
      <c r="G6" s="22">
        <v>1</v>
      </c>
      <c r="H6" s="22">
        <v>1</v>
      </c>
      <c r="I6" s="24">
        <f t="shared" si="0"/>
        <v>6</v>
      </c>
      <c r="J6" s="24">
        <f>IF(I6="","",ROUND(I6/'Rekap &amp; Dashboard'!$B$7*100,2))</f>
        <v>25</v>
      </c>
      <c r="K6" s="24" t="str">
        <f>IF(J6="","",IF(J6&gt;='Rekap &amp; Dashboard'!$B$6,"Tuntas","Belum Tuntas"))</f>
        <v>Belum Tuntas</v>
      </c>
      <c r="L6" s="12"/>
    </row>
    <row r="7" spans="1:12">
      <c r="A7" s="23">
        <v>3</v>
      </c>
      <c r="B7" s="24" t="s">
        <v>55</v>
      </c>
      <c r="C7" s="22">
        <v>2</v>
      </c>
      <c r="D7" s="22">
        <v>2</v>
      </c>
      <c r="E7" s="22">
        <v>2</v>
      </c>
      <c r="F7" s="22">
        <v>1</v>
      </c>
      <c r="G7" s="22">
        <v>1</v>
      </c>
      <c r="H7" s="22">
        <v>2</v>
      </c>
      <c r="I7" s="24">
        <f t="shared" si="0"/>
        <v>10</v>
      </c>
      <c r="J7" s="24">
        <f>IF(I7="","",ROUND(I7/'Rekap &amp; Dashboard'!$B$7*100,2))</f>
        <v>41.67</v>
      </c>
      <c r="K7" s="24" t="str">
        <f>IF(J7="","",IF(J7&gt;='Rekap &amp; Dashboard'!$B$6,"Tuntas","Belum Tuntas"))</f>
        <v>Belum Tuntas</v>
      </c>
      <c r="L7" s="12"/>
    </row>
    <row r="8" spans="1:12">
      <c r="A8" s="23">
        <v>4</v>
      </c>
      <c r="B8" s="24" t="s">
        <v>56</v>
      </c>
      <c r="C8" s="22">
        <v>2</v>
      </c>
      <c r="D8" s="22">
        <v>3</v>
      </c>
      <c r="E8" s="22">
        <v>2</v>
      </c>
      <c r="F8" s="22">
        <v>1</v>
      </c>
      <c r="G8" s="22">
        <v>1</v>
      </c>
      <c r="H8" s="22">
        <v>2</v>
      </c>
      <c r="I8" s="24">
        <f t="shared" si="0"/>
        <v>11</v>
      </c>
      <c r="J8" s="24">
        <f>IF(I8="","",ROUND(I8/'Rekap &amp; Dashboard'!$B$7*100,2))</f>
        <v>45.83</v>
      </c>
      <c r="K8" s="24" t="str">
        <f>IF(J8="","",IF(J8&gt;='Rekap &amp; Dashboard'!$B$6,"Tuntas","Belum Tuntas"))</f>
        <v>Belum Tuntas</v>
      </c>
      <c r="L8" s="12"/>
    </row>
    <row r="9" spans="1:12">
      <c r="A9" s="23">
        <v>5</v>
      </c>
      <c r="B9" s="24" t="s">
        <v>57</v>
      </c>
      <c r="C9" s="22">
        <v>2</v>
      </c>
      <c r="D9" s="22">
        <v>3</v>
      </c>
      <c r="E9" s="22">
        <v>2</v>
      </c>
      <c r="F9" s="22">
        <v>1</v>
      </c>
      <c r="G9" s="22">
        <v>1</v>
      </c>
      <c r="H9" s="22">
        <v>2</v>
      </c>
      <c r="I9" s="24">
        <f t="shared" si="0"/>
        <v>11</v>
      </c>
      <c r="J9" s="24">
        <f>IF(I9="","",ROUND(I9/'Rekap &amp; Dashboard'!$B$7*100,2))</f>
        <v>45.83</v>
      </c>
      <c r="K9" s="24" t="str">
        <f>IF(J9="","",IF(J9&gt;='Rekap &amp; Dashboard'!$B$6,"Tuntas","Belum Tuntas"))</f>
        <v>Belum Tuntas</v>
      </c>
      <c r="L9" s="12"/>
    </row>
    <row r="10" spans="1:12">
      <c r="A10" s="23">
        <v>6</v>
      </c>
      <c r="B10" s="24" t="s">
        <v>58</v>
      </c>
      <c r="C10" s="22">
        <v>1</v>
      </c>
      <c r="D10" s="22">
        <v>1</v>
      </c>
      <c r="E10" s="22">
        <v>1</v>
      </c>
      <c r="F10" s="22">
        <v>1</v>
      </c>
      <c r="G10" s="22">
        <v>1</v>
      </c>
      <c r="H10" s="22">
        <v>1</v>
      </c>
      <c r="I10" s="24">
        <f t="shared" si="0"/>
        <v>6</v>
      </c>
      <c r="J10" s="24">
        <f>IF(I10="","",ROUND(I10/'Rekap &amp; Dashboard'!$B$7*100,2))</f>
        <v>25</v>
      </c>
      <c r="K10" s="24" t="str">
        <f>IF(J10="","",IF(J10&gt;='Rekap &amp; Dashboard'!$B$6,"Tuntas","Belum Tuntas"))</f>
        <v>Belum Tuntas</v>
      </c>
      <c r="L10" s="12"/>
    </row>
    <row r="11" spans="1:12">
      <c r="A11" s="23">
        <v>7</v>
      </c>
      <c r="B11" s="24" t="s">
        <v>59</v>
      </c>
      <c r="C11" s="22">
        <v>1</v>
      </c>
      <c r="D11" s="22">
        <v>1</v>
      </c>
      <c r="E11" s="22">
        <v>1</v>
      </c>
      <c r="F11" s="22">
        <v>1</v>
      </c>
      <c r="G11" s="22">
        <v>1</v>
      </c>
      <c r="H11" s="22">
        <v>1</v>
      </c>
      <c r="I11" s="24">
        <f t="shared" si="0"/>
        <v>6</v>
      </c>
      <c r="J11" s="24">
        <f>IF(I11="","",ROUND(I11/'Rekap &amp; Dashboard'!$B$7*100,2))</f>
        <v>25</v>
      </c>
      <c r="K11" s="24" t="str">
        <f>IF(J11="","",IF(J11&gt;='Rekap &amp; Dashboard'!$B$6,"Tuntas","Belum Tuntas"))</f>
        <v>Belum Tuntas</v>
      </c>
      <c r="L11" s="12"/>
    </row>
    <row r="12" spans="1:12">
      <c r="A12" s="23">
        <v>8</v>
      </c>
      <c r="B12" s="24" t="s">
        <v>60</v>
      </c>
      <c r="C12" s="22">
        <v>2</v>
      </c>
      <c r="D12" s="22">
        <v>2</v>
      </c>
      <c r="E12" s="22">
        <v>2</v>
      </c>
      <c r="F12" s="22">
        <v>1</v>
      </c>
      <c r="G12" s="22">
        <v>1</v>
      </c>
      <c r="H12" s="22">
        <v>2</v>
      </c>
      <c r="I12" s="24">
        <f t="shared" si="0"/>
        <v>10</v>
      </c>
      <c r="J12" s="24">
        <f>IF(I12="","",ROUND(I12/'Rekap &amp; Dashboard'!$B$7*100,2))</f>
        <v>41.67</v>
      </c>
      <c r="K12" s="24" t="str">
        <f>IF(J12="","",IF(J12&gt;='Rekap &amp; Dashboard'!$B$6,"Tuntas","Belum Tuntas"))</f>
        <v>Belum Tuntas</v>
      </c>
      <c r="L12" s="12"/>
    </row>
    <row r="13" spans="1:12">
      <c r="A13" s="23">
        <v>9</v>
      </c>
      <c r="B13" s="24" t="s">
        <v>61</v>
      </c>
      <c r="C13" s="22">
        <v>2</v>
      </c>
      <c r="D13" s="22">
        <v>2</v>
      </c>
      <c r="E13" s="22">
        <v>2</v>
      </c>
      <c r="F13" s="22">
        <v>1</v>
      </c>
      <c r="G13" s="22">
        <v>1</v>
      </c>
      <c r="H13" s="22">
        <v>2</v>
      </c>
      <c r="I13" s="24">
        <f t="shared" si="0"/>
        <v>10</v>
      </c>
      <c r="J13" s="24">
        <f>IF(I13="","",ROUND(I13/'Rekap &amp; Dashboard'!$B$7*100,2))</f>
        <v>41.67</v>
      </c>
      <c r="K13" s="24" t="str">
        <f>IF(J13="","",IF(J13&gt;='Rekap &amp; Dashboard'!$B$6,"Tuntas","Belum Tuntas"))</f>
        <v>Belum Tuntas</v>
      </c>
      <c r="L13" s="12"/>
    </row>
    <row r="14" spans="1:12">
      <c r="A14" s="23">
        <v>10</v>
      </c>
      <c r="B14" s="24" t="s">
        <v>62</v>
      </c>
      <c r="C14" s="22">
        <v>2</v>
      </c>
      <c r="D14" s="22">
        <v>3</v>
      </c>
      <c r="E14" s="22">
        <v>2</v>
      </c>
      <c r="F14" s="22">
        <v>1</v>
      </c>
      <c r="G14" s="22">
        <v>1</v>
      </c>
      <c r="H14" s="22">
        <v>2</v>
      </c>
      <c r="I14" s="24">
        <f t="shared" si="0"/>
        <v>11</v>
      </c>
      <c r="J14" s="24">
        <f>IF(I14="","",ROUND(I14/'Rekap &amp; Dashboard'!$B$7*100,2))</f>
        <v>45.83</v>
      </c>
      <c r="K14" s="24" t="str">
        <f>IF(J14="","",IF(J14&gt;='Rekap &amp; Dashboard'!$B$6,"Tuntas","Belum Tuntas"))</f>
        <v>Belum Tuntas</v>
      </c>
      <c r="L14" s="12"/>
    </row>
    <row r="15" spans="1:12">
      <c r="A15" s="23">
        <v>11</v>
      </c>
      <c r="B15" s="24" t="s">
        <v>63</v>
      </c>
      <c r="C15" s="22">
        <v>2</v>
      </c>
      <c r="D15" s="22">
        <v>2</v>
      </c>
      <c r="E15" s="22">
        <v>1</v>
      </c>
      <c r="F15" s="22">
        <v>1</v>
      </c>
      <c r="G15" s="22">
        <v>1</v>
      </c>
      <c r="H15" s="22">
        <v>2</v>
      </c>
      <c r="I15" s="24">
        <f t="shared" si="0"/>
        <v>9</v>
      </c>
      <c r="J15" s="24">
        <f>IF(I15="","",ROUND(I15/'Rekap &amp; Dashboard'!$B$7*100,2))</f>
        <v>37.5</v>
      </c>
      <c r="K15" s="24" t="str">
        <f>IF(J15="","",IF(J15&gt;='Rekap &amp; Dashboard'!$B$6,"Tuntas","Belum Tuntas"))</f>
        <v>Belum Tuntas</v>
      </c>
      <c r="L15" s="12"/>
    </row>
    <row r="16" spans="1:12">
      <c r="A16" s="23">
        <v>12</v>
      </c>
      <c r="B16" s="24" t="s">
        <v>64</v>
      </c>
      <c r="C16" s="22">
        <v>2</v>
      </c>
      <c r="D16" s="22">
        <v>2</v>
      </c>
      <c r="E16" s="22">
        <v>1</v>
      </c>
      <c r="F16" s="22">
        <v>1</v>
      </c>
      <c r="G16" s="22">
        <v>1</v>
      </c>
      <c r="H16" s="22">
        <v>2</v>
      </c>
      <c r="I16" s="24">
        <f t="shared" si="0"/>
        <v>9</v>
      </c>
      <c r="J16" s="24">
        <f>IF(I16="","",ROUND(I16/'Rekap &amp; Dashboard'!$B$7*100,2))</f>
        <v>37.5</v>
      </c>
      <c r="K16" s="24" t="str">
        <f>IF(J16="","",IF(J16&gt;='Rekap &amp; Dashboard'!$B$6,"Tuntas","Belum Tuntas"))</f>
        <v>Belum Tuntas</v>
      </c>
      <c r="L16" s="12"/>
    </row>
    <row r="17" spans="1:12">
      <c r="A17" s="23">
        <v>13</v>
      </c>
      <c r="B17" s="24" t="s">
        <v>65</v>
      </c>
      <c r="C17" s="22">
        <v>2</v>
      </c>
      <c r="D17" s="22">
        <v>3</v>
      </c>
      <c r="E17" s="22">
        <v>2</v>
      </c>
      <c r="F17" s="22">
        <v>1</v>
      </c>
      <c r="G17" s="22">
        <v>1</v>
      </c>
      <c r="H17" s="22">
        <v>2</v>
      </c>
      <c r="I17" s="24">
        <f t="shared" si="0"/>
        <v>11</v>
      </c>
      <c r="J17" s="24">
        <f>IF(I17="","",ROUND(I17/'Rekap &amp; Dashboard'!$B$7*100,2))</f>
        <v>45.83</v>
      </c>
      <c r="K17" s="24" t="str">
        <f>IF(J17="","",IF(J17&gt;='Rekap &amp; Dashboard'!$B$6,"Tuntas","Belum Tuntas"))</f>
        <v>Belum Tuntas</v>
      </c>
      <c r="L17" s="12"/>
    </row>
    <row r="18" spans="1:12">
      <c r="A18" s="23">
        <v>14</v>
      </c>
      <c r="B18" s="24" t="s">
        <v>66</v>
      </c>
      <c r="C18" s="22">
        <v>2</v>
      </c>
      <c r="D18" s="22">
        <v>3</v>
      </c>
      <c r="E18" s="22">
        <v>2</v>
      </c>
      <c r="F18" s="22">
        <v>2</v>
      </c>
      <c r="G18" s="22">
        <v>1</v>
      </c>
      <c r="H18" s="22">
        <v>2</v>
      </c>
      <c r="I18" s="24">
        <f t="shared" si="0"/>
        <v>12</v>
      </c>
      <c r="J18" s="24">
        <f>IF(I18="","",ROUND(I18/'Rekap &amp; Dashboard'!$B$7*100,2))</f>
        <v>50</v>
      </c>
      <c r="K18" s="24" t="str">
        <f>IF(J18="","",IF(J18&gt;='Rekap &amp; Dashboard'!$B$6,"Tuntas","Belum Tuntas"))</f>
        <v>Belum Tuntas</v>
      </c>
      <c r="L18" s="12"/>
    </row>
    <row r="19" spans="1:12">
      <c r="A19" s="23">
        <v>15</v>
      </c>
      <c r="B19" s="24" t="s">
        <v>67</v>
      </c>
      <c r="C19" s="22">
        <v>2</v>
      </c>
      <c r="D19" s="22">
        <v>2</v>
      </c>
      <c r="E19" s="22">
        <v>2</v>
      </c>
      <c r="F19" s="22">
        <v>1</v>
      </c>
      <c r="G19" s="22">
        <v>1</v>
      </c>
      <c r="H19" s="22">
        <v>2</v>
      </c>
      <c r="I19" s="24">
        <f t="shared" si="0"/>
        <v>10</v>
      </c>
      <c r="J19" s="24">
        <f>IF(I19="","",ROUND(I19/'Rekap &amp; Dashboard'!$B$7*100,2))</f>
        <v>41.67</v>
      </c>
      <c r="K19" s="24" t="str">
        <f>IF(J19="","",IF(J19&gt;='Rekap &amp; Dashboard'!$B$6,"Tuntas","Belum Tuntas"))</f>
        <v>Belum Tuntas</v>
      </c>
      <c r="L19" s="12"/>
    </row>
    <row r="20" spans="1:12">
      <c r="A20" s="23">
        <v>16</v>
      </c>
      <c r="B20" s="24" t="s">
        <v>68</v>
      </c>
      <c r="C20" s="22">
        <v>1</v>
      </c>
      <c r="D20" s="22">
        <v>2</v>
      </c>
      <c r="E20" s="22">
        <v>1</v>
      </c>
      <c r="F20" s="22">
        <v>1</v>
      </c>
      <c r="G20" s="22">
        <v>1</v>
      </c>
      <c r="H20" s="22">
        <v>1</v>
      </c>
      <c r="I20" s="24">
        <f t="shared" si="0"/>
        <v>7</v>
      </c>
      <c r="J20" s="24">
        <f>IF(I20="","",ROUND(I20/'Rekap &amp; Dashboard'!$B$7*100,2))</f>
        <v>29.17</v>
      </c>
      <c r="K20" s="24" t="str">
        <f>IF(J20="","",IF(J20&gt;='Rekap &amp; Dashboard'!$B$6,"Tuntas","Belum Tuntas"))</f>
        <v>Belum Tuntas</v>
      </c>
      <c r="L20" s="12"/>
    </row>
    <row r="21" spans="1:12">
      <c r="A21" s="23">
        <v>17</v>
      </c>
      <c r="B21" s="24" t="s">
        <v>69</v>
      </c>
      <c r="C21" s="22">
        <v>1</v>
      </c>
      <c r="D21" s="22">
        <v>1</v>
      </c>
      <c r="E21" s="22">
        <v>1</v>
      </c>
      <c r="F21" s="22">
        <v>1</v>
      </c>
      <c r="G21" s="22">
        <v>1</v>
      </c>
      <c r="H21" s="22">
        <v>1</v>
      </c>
      <c r="I21" s="24">
        <f t="shared" si="0"/>
        <v>6</v>
      </c>
      <c r="J21" s="24">
        <f>IF(I21="","",ROUND(I21/'Rekap &amp; Dashboard'!$B$7*100,2))</f>
        <v>25</v>
      </c>
      <c r="K21" s="24" t="str">
        <f>IF(J21="","",IF(J21&gt;='Rekap &amp; Dashboard'!$B$6,"Tuntas","Belum Tuntas"))</f>
        <v>Belum Tuntas</v>
      </c>
      <c r="L21" s="12"/>
    </row>
    <row r="22" spans="1:12">
      <c r="A22" s="23">
        <v>18</v>
      </c>
      <c r="B22" s="24" t="s">
        <v>70</v>
      </c>
      <c r="C22" s="22">
        <v>1</v>
      </c>
      <c r="D22" s="22">
        <v>1</v>
      </c>
      <c r="E22" s="22">
        <v>1</v>
      </c>
      <c r="F22" s="22">
        <v>1</v>
      </c>
      <c r="G22" s="22">
        <v>1</v>
      </c>
      <c r="H22" s="22">
        <v>1</v>
      </c>
      <c r="I22" s="24">
        <f t="shared" si="0"/>
        <v>6</v>
      </c>
      <c r="J22" s="24">
        <f>IF(I22="","",ROUND(I22/'Rekap &amp; Dashboard'!$B$7*100,2))</f>
        <v>25</v>
      </c>
      <c r="K22" s="24" t="str">
        <f>IF(J22="","",IF(J22&gt;='Rekap &amp; Dashboard'!$B$6,"Tuntas","Belum Tuntas"))</f>
        <v>Belum Tuntas</v>
      </c>
      <c r="L22" s="12"/>
    </row>
    <row r="23" spans="1:12">
      <c r="A23" s="23">
        <v>19</v>
      </c>
      <c r="B23" s="24" t="s">
        <v>71</v>
      </c>
      <c r="C23" s="22">
        <v>2</v>
      </c>
      <c r="D23" s="22">
        <v>2</v>
      </c>
      <c r="E23" s="22">
        <v>2</v>
      </c>
      <c r="F23" s="22">
        <v>1</v>
      </c>
      <c r="G23" s="22">
        <v>1</v>
      </c>
      <c r="H23" s="22">
        <v>2</v>
      </c>
      <c r="I23" s="24">
        <f t="shared" si="0"/>
        <v>10</v>
      </c>
      <c r="J23" s="24">
        <f>IF(I23="","",ROUND(I23/'Rekap &amp; Dashboard'!$B$7*100,2))</f>
        <v>41.67</v>
      </c>
      <c r="K23" s="24" t="str">
        <f>IF(J23="","",IF(J23&gt;='Rekap &amp; Dashboard'!$B$6,"Tuntas","Belum Tuntas"))</f>
        <v>Belum Tuntas</v>
      </c>
      <c r="L23" s="12"/>
    </row>
    <row r="24" spans="1:12">
      <c r="A24" s="23">
        <v>20</v>
      </c>
      <c r="B24" s="24" t="s">
        <v>72</v>
      </c>
      <c r="C24" s="22">
        <v>2</v>
      </c>
      <c r="D24" s="22">
        <v>2</v>
      </c>
      <c r="E24" s="22">
        <v>2</v>
      </c>
      <c r="F24" s="22">
        <v>1</v>
      </c>
      <c r="G24" s="22">
        <v>1</v>
      </c>
      <c r="H24" s="22">
        <v>2</v>
      </c>
      <c r="I24" s="24">
        <f t="shared" si="0"/>
        <v>10</v>
      </c>
      <c r="J24" s="24">
        <f>IF(I24="","",ROUND(I24/'Rekap &amp; Dashboard'!$B$7*100,2))</f>
        <v>41.67</v>
      </c>
      <c r="K24" s="24" t="str">
        <f>IF(J24="","",IF(J24&gt;='Rekap &amp; Dashboard'!$B$6,"Tuntas","Belum Tuntas"))</f>
        <v>Belum Tuntas</v>
      </c>
      <c r="L24" s="12"/>
    </row>
    <row r="25" spans="1:12">
      <c r="A25" s="23">
        <v>21</v>
      </c>
      <c r="B25" s="24" t="s">
        <v>73</v>
      </c>
      <c r="C25" s="22">
        <v>3</v>
      </c>
      <c r="D25" s="22">
        <v>4</v>
      </c>
      <c r="E25" s="22">
        <v>4</v>
      </c>
      <c r="F25" s="22">
        <v>2</v>
      </c>
      <c r="G25" s="22">
        <v>2</v>
      </c>
      <c r="H25" s="22">
        <v>3</v>
      </c>
      <c r="I25" s="24">
        <f t="shared" si="0"/>
        <v>18</v>
      </c>
      <c r="J25" s="24">
        <f>IF(I25="","",ROUND(I25/'Rekap &amp; Dashboard'!$B$7*100,2))</f>
        <v>75</v>
      </c>
      <c r="K25" s="24" t="str">
        <f>IF(J25="","",IF(J25&gt;='Rekap &amp; Dashboard'!$B$6,"Tuntas","Belum Tuntas"))</f>
        <v>Tuntas</v>
      </c>
      <c r="L25" s="12"/>
    </row>
    <row r="26" spans="1:12">
      <c r="A26" s="23">
        <v>22</v>
      </c>
      <c r="B26" s="24" t="s">
        <v>74</v>
      </c>
      <c r="C26" s="22">
        <v>1</v>
      </c>
      <c r="D26" s="22">
        <v>2</v>
      </c>
      <c r="E26" s="22">
        <v>1</v>
      </c>
      <c r="F26" s="22">
        <v>1</v>
      </c>
      <c r="G26" s="22">
        <v>1</v>
      </c>
      <c r="H26" s="22">
        <v>1</v>
      </c>
      <c r="I26" s="24">
        <f t="shared" si="0"/>
        <v>7</v>
      </c>
      <c r="J26" s="24">
        <f>IF(I26="","",ROUND(I26/'Rekap &amp; Dashboard'!$B$7*100,2))</f>
        <v>29.17</v>
      </c>
      <c r="K26" s="24" t="str">
        <f>IF(J26="","",IF(J26&gt;='Rekap &amp; Dashboard'!$B$6,"Tuntas","Belum Tuntas"))</f>
        <v>Belum Tuntas</v>
      </c>
      <c r="L26" s="12"/>
    </row>
    <row r="27" spans="1:12">
      <c r="A27" s="23">
        <v>23</v>
      </c>
      <c r="B27" s="24" t="s">
        <v>75</v>
      </c>
      <c r="C27" s="22">
        <v>2</v>
      </c>
      <c r="D27" s="22">
        <v>2</v>
      </c>
      <c r="E27" s="22">
        <v>1</v>
      </c>
      <c r="F27" s="22">
        <v>1</v>
      </c>
      <c r="G27" s="22">
        <v>1</v>
      </c>
      <c r="H27" s="22">
        <v>2</v>
      </c>
      <c r="I27" s="24">
        <f t="shared" si="0"/>
        <v>9</v>
      </c>
      <c r="J27" s="24">
        <f>IF(I27="","",ROUND(I27/'Rekap &amp; Dashboard'!$B$7*100,2))</f>
        <v>37.5</v>
      </c>
      <c r="K27" s="24" t="str">
        <f>IF(J27="","",IF(J27&gt;='Rekap &amp; Dashboard'!$B$6,"Tuntas","Belum Tuntas"))</f>
        <v>Belum Tuntas</v>
      </c>
      <c r="L27" s="12"/>
    </row>
    <row r="28" spans="1:12">
      <c r="A28" s="23">
        <v>24</v>
      </c>
      <c r="B28" s="24" t="s">
        <v>76</v>
      </c>
      <c r="C28" s="22">
        <v>2</v>
      </c>
      <c r="D28" s="22">
        <v>2</v>
      </c>
      <c r="E28" s="22">
        <v>1</v>
      </c>
      <c r="F28" s="22">
        <v>1</v>
      </c>
      <c r="G28" s="22">
        <v>1</v>
      </c>
      <c r="H28" s="22">
        <v>2</v>
      </c>
      <c r="I28" s="24">
        <f t="shared" si="0"/>
        <v>9</v>
      </c>
      <c r="J28" s="24">
        <f>IF(I28="","",ROUND(I28/'Rekap &amp; Dashboard'!$B$7*100,2))</f>
        <v>37.5</v>
      </c>
      <c r="K28" s="24" t="str">
        <f>IF(J28="","",IF(J28&gt;='Rekap &amp; Dashboard'!$B$6,"Tuntas","Belum Tuntas"))</f>
        <v>Belum Tuntas</v>
      </c>
      <c r="L28" s="12"/>
    </row>
    <row r="29" spans="1:12">
      <c r="A29" s="23">
        <v>25</v>
      </c>
      <c r="B29" s="24" t="s">
        <v>77</v>
      </c>
      <c r="C29" s="22">
        <v>4</v>
      </c>
      <c r="D29" s="22">
        <v>4</v>
      </c>
      <c r="E29" s="22">
        <v>3</v>
      </c>
      <c r="F29" s="22">
        <v>2</v>
      </c>
      <c r="G29" s="22">
        <v>2</v>
      </c>
      <c r="H29" s="22">
        <v>3</v>
      </c>
      <c r="I29" s="24">
        <f t="shared" si="0"/>
        <v>18</v>
      </c>
      <c r="J29" s="24">
        <f>IF(I29="","",ROUND(I29/'Rekap &amp; Dashboard'!$B$7*100,2))</f>
        <v>75</v>
      </c>
      <c r="K29" s="24" t="str">
        <f>IF(J29="","",IF(J29&gt;='Rekap &amp; Dashboard'!$B$6,"Tuntas","Belum Tuntas"))</f>
        <v>Tuntas</v>
      </c>
      <c r="L29" s="12"/>
    </row>
    <row r="30" spans="1:12">
      <c r="A30" s="23">
        <v>26</v>
      </c>
      <c r="B30" s="24" t="s">
        <v>78</v>
      </c>
      <c r="C30" s="22">
        <v>1</v>
      </c>
      <c r="D30" s="22">
        <v>1</v>
      </c>
      <c r="E30" s="22">
        <v>1</v>
      </c>
      <c r="F30" s="22">
        <v>1</v>
      </c>
      <c r="G30" s="22">
        <v>1</v>
      </c>
      <c r="H30" s="22">
        <v>1</v>
      </c>
      <c r="I30" s="24">
        <f t="shared" si="0"/>
        <v>6</v>
      </c>
      <c r="J30" s="24">
        <f>IF(I30="","",ROUND(I30/'Rekap &amp; Dashboard'!$B$7*100,2))</f>
        <v>25</v>
      </c>
      <c r="K30" s="24" t="str">
        <f>IF(J30="","",IF(J30&gt;='Rekap &amp; Dashboard'!$B$6,"Tuntas","Belum Tuntas"))</f>
        <v>Belum Tuntas</v>
      </c>
      <c r="L30" s="12"/>
    </row>
    <row r="31" spans="1:12">
      <c r="A31" s="23">
        <v>27</v>
      </c>
      <c r="B31" s="24" t="s">
        <v>79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4">
        <f t="shared" si="0"/>
        <v>6</v>
      </c>
      <c r="J31" s="24">
        <f>IF(I31="","",ROUND(I31/'Rekap &amp; Dashboard'!$B$7*100,2))</f>
        <v>25</v>
      </c>
      <c r="K31" s="24" t="str">
        <f>IF(J31="","",IF(J31&gt;='Rekap &amp; Dashboard'!$B$6,"Tuntas","Belum Tuntas"))</f>
        <v>Belum Tuntas</v>
      </c>
      <c r="L31" s="12"/>
    </row>
    <row r="32" spans="1:12">
      <c r="A32" s="23">
        <v>28</v>
      </c>
      <c r="B32" s="24" t="s">
        <v>80</v>
      </c>
      <c r="C32" s="22">
        <v>2</v>
      </c>
      <c r="D32" s="22">
        <v>3</v>
      </c>
      <c r="E32" s="22">
        <v>2</v>
      </c>
      <c r="F32" s="22">
        <v>1</v>
      </c>
      <c r="G32" s="22">
        <v>1</v>
      </c>
      <c r="H32" s="22">
        <v>2</v>
      </c>
      <c r="I32" s="24">
        <f t="shared" si="0"/>
        <v>11</v>
      </c>
      <c r="J32" s="24">
        <f>IF(I32="","",ROUND(I32/'Rekap &amp; Dashboard'!$B$7*100,2))</f>
        <v>45.83</v>
      </c>
      <c r="K32" s="24" t="str">
        <f>IF(J32="","",IF(J32&gt;='Rekap &amp; Dashboard'!$B$6,"Tuntas","Belum Tuntas"))</f>
        <v>Belum Tuntas</v>
      </c>
      <c r="L32" s="12"/>
    </row>
    <row r="33" spans="1:12">
      <c r="A33" s="23">
        <v>29</v>
      </c>
      <c r="B33" s="24" t="s">
        <v>81</v>
      </c>
      <c r="C33" s="22">
        <v>2</v>
      </c>
      <c r="D33" s="22">
        <v>2</v>
      </c>
      <c r="E33" s="22">
        <v>2</v>
      </c>
      <c r="F33" s="22">
        <v>1</v>
      </c>
      <c r="G33" s="22">
        <v>1</v>
      </c>
      <c r="H33" s="22">
        <v>2</v>
      </c>
      <c r="I33" s="24">
        <f t="shared" si="0"/>
        <v>10</v>
      </c>
      <c r="J33" s="24">
        <f>IF(I33="","",ROUND(I33/'Rekap &amp; Dashboard'!$B$7*100,2))</f>
        <v>41.67</v>
      </c>
      <c r="K33" s="24" t="str">
        <f>IF(J33="","",IF(J33&gt;='Rekap &amp; Dashboard'!$B$6,"Tuntas","Belum Tuntas"))</f>
        <v>Belum Tuntas</v>
      </c>
      <c r="L33" s="12"/>
    </row>
    <row r="34" spans="1:12">
      <c r="A34" s="23">
        <v>30</v>
      </c>
      <c r="B34" s="24" t="s">
        <v>82</v>
      </c>
      <c r="C34" s="22">
        <v>2</v>
      </c>
      <c r="D34" s="22">
        <v>2</v>
      </c>
      <c r="E34" s="22">
        <v>2</v>
      </c>
      <c r="F34" s="22">
        <v>1</v>
      </c>
      <c r="G34" s="22">
        <v>1</v>
      </c>
      <c r="H34" s="22">
        <v>2</v>
      </c>
      <c r="I34" s="24">
        <f t="shared" si="0"/>
        <v>10</v>
      </c>
      <c r="J34" s="24">
        <f>IF(I34="","",ROUND(I34/'Rekap &amp; Dashboard'!$B$7*100,2))</f>
        <v>41.67</v>
      </c>
      <c r="K34" s="24" t="str">
        <f>IF(J34="","",IF(J34&gt;='Rekap &amp; Dashboard'!$B$6,"Tuntas","Belum Tuntas"))</f>
        <v>Belum Tuntas</v>
      </c>
      <c r="L34" s="12"/>
    </row>
    <row r="35" spans="1:12">
      <c r="A35" s="23">
        <v>31</v>
      </c>
      <c r="B35" s="24" t="s">
        <v>83</v>
      </c>
      <c r="C35" s="22">
        <v>2</v>
      </c>
      <c r="D35" s="22">
        <v>2</v>
      </c>
      <c r="E35" s="22">
        <v>1</v>
      </c>
      <c r="F35" s="22">
        <v>1</v>
      </c>
      <c r="G35" s="22">
        <v>1</v>
      </c>
      <c r="H35" s="22">
        <v>1</v>
      </c>
      <c r="I35" s="24">
        <f t="shared" si="0"/>
        <v>8</v>
      </c>
      <c r="J35" s="24">
        <f>IF(I35="","",ROUND(I35/'Rekap &amp; Dashboard'!$B$7*100,2))</f>
        <v>33.33</v>
      </c>
      <c r="K35" s="24" t="str">
        <f>IF(J35="","",IF(J35&gt;='Rekap &amp; Dashboard'!$B$6,"Tuntas","Belum Tuntas"))</f>
        <v>Belum Tuntas</v>
      </c>
      <c r="L35" s="12"/>
    </row>
    <row r="36" spans="1:12">
      <c r="A36" s="23">
        <v>32</v>
      </c>
      <c r="B36" s="24" t="s">
        <v>84</v>
      </c>
      <c r="C36" s="22">
        <v>4</v>
      </c>
      <c r="D36" s="22">
        <v>4</v>
      </c>
      <c r="E36" s="22">
        <v>3</v>
      </c>
      <c r="F36" s="22">
        <v>2</v>
      </c>
      <c r="G36" s="22">
        <v>2</v>
      </c>
      <c r="H36" s="22">
        <v>3</v>
      </c>
      <c r="I36" s="24">
        <f t="shared" si="0"/>
        <v>18</v>
      </c>
      <c r="J36" s="24">
        <f>IF(I36="","",ROUND(I36/'Rekap &amp; Dashboard'!$B$7*100,2))</f>
        <v>75</v>
      </c>
      <c r="K36" s="24" t="str">
        <f>IF(J36="","",IF(J36&gt;='Rekap &amp; Dashboard'!$B$6,"Tuntas","Belum Tuntas"))</f>
        <v>Tuntas</v>
      </c>
      <c r="L36" s="12"/>
    </row>
    <row r="37" spans="1:12">
      <c r="A37" s="23">
        <v>33</v>
      </c>
      <c r="B37" s="24" t="s">
        <v>85</v>
      </c>
      <c r="C37" s="22">
        <v>2</v>
      </c>
      <c r="D37" s="22">
        <v>2</v>
      </c>
      <c r="E37" s="22">
        <v>2</v>
      </c>
      <c r="F37" s="22">
        <v>1</v>
      </c>
      <c r="G37" s="22">
        <v>1</v>
      </c>
      <c r="H37" s="22">
        <v>2</v>
      </c>
      <c r="I37" s="24">
        <f t="shared" si="0"/>
        <v>10</v>
      </c>
      <c r="J37" s="24">
        <f>IF(I37="","",ROUND(I37/'Rekap &amp; Dashboard'!$B$7*100,2))</f>
        <v>41.67</v>
      </c>
      <c r="K37" s="24" t="str">
        <f>IF(J37="","",IF(J37&gt;='Rekap &amp; Dashboard'!$B$6,"Tuntas","Belum Tuntas"))</f>
        <v>Belum Tuntas</v>
      </c>
      <c r="L37" s="12"/>
    </row>
    <row r="38" spans="1:12">
      <c r="A38" s="23">
        <v>34</v>
      </c>
      <c r="B38" s="24" t="s">
        <v>86</v>
      </c>
      <c r="C38" s="22">
        <v>2</v>
      </c>
      <c r="D38" s="22">
        <v>3</v>
      </c>
      <c r="E38" s="22">
        <v>2</v>
      </c>
      <c r="F38" s="22">
        <v>1</v>
      </c>
      <c r="G38" s="22">
        <v>1</v>
      </c>
      <c r="H38" s="22">
        <v>2</v>
      </c>
      <c r="I38" s="24">
        <f t="shared" si="0"/>
        <v>11</v>
      </c>
      <c r="J38" s="24">
        <f>IF(I38="","",ROUND(I38/'Rekap &amp; Dashboard'!$B$7*100,2))</f>
        <v>45.83</v>
      </c>
      <c r="K38" s="24" t="str">
        <f>IF(J38="","",IF(J38&gt;='Rekap &amp; Dashboard'!$B$6,"Tuntas","Belum Tuntas"))</f>
        <v>Belum Tuntas</v>
      </c>
      <c r="L38" s="12"/>
    </row>
    <row r="39" spans="1:12">
      <c r="A39" s="23">
        <v>35</v>
      </c>
      <c r="B39" s="24" t="s">
        <v>87</v>
      </c>
      <c r="C39" s="22">
        <v>2</v>
      </c>
      <c r="D39" s="22">
        <v>2</v>
      </c>
      <c r="E39" s="22">
        <v>1</v>
      </c>
      <c r="F39" s="22">
        <v>1</v>
      </c>
      <c r="G39" s="22">
        <v>1</v>
      </c>
      <c r="H39" s="22">
        <v>1</v>
      </c>
      <c r="I39" s="24">
        <f t="shared" si="0"/>
        <v>8</v>
      </c>
      <c r="J39" s="24">
        <f>IF(I39="","",ROUND(I39/'Rekap &amp; Dashboard'!$B$7*100,2))</f>
        <v>33.33</v>
      </c>
      <c r="K39" s="24" t="str">
        <f>IF(J39="","",IF(J39&gt;='Rekap &amp; Dashboard'!$B$6,"Tuntas","Belum Tuntas"))</f>
        <v>Belum Tuntas</v>
      </c>
      <c r="L39" s="12"/>
    </row>
    <row r="40" spans="1:12">
      <c r="A40" s="23">
        <v>36</v>
      </c>
      <c r="B40" s="24" t="s">
        <v>88</v>
      </c>
      <c r="C40" s="22">
        <v>2</v>
      </c>
      <c r="D40" s="22">
        <v>2</v>
      </c>
      <c r="E40" s="22">
        <v>2</v>
      </c>
      <c r="F40" s="22">
        <v>1</v>
      </c>
      <c r="G40" s="22">
        <v>1</v>
      </c>
      <c r="H40" s="22">
        <v>1</v>
      </c>
      <c r="I40" s="24">
        <f t="shared" si="0"/>
        <v>9</v>
      </c>
      <c r="J40" s="24">
        <f>IF(I40="","",ROUND(I40/'Rekap &amp; Dashboard'!$B$7*100,2))</f>
        <v>37.5</v>
      </c>
      <c r="K40" s="24" t="str">
        <f>IF(J40="","",IF(J40&gt;='Rekap &amp; Dashboard'!$B$6,"Tuntas","Belum Tuntas"))</f>
        <v>Belum Tuntas</v>
      </c>
      <c r="L40" s="12"/>
    </row>
    <row r="41" spans="1:12">
      <c r="A41" s="23">
        <v>37</v>
      </c>
      <c r="B41" s="24" t="s">
        <v>89</v>
      </c>
      <c r="C41" s="22">
        <v>1</v>
      </c>
      <c r="D41" s="22">
        <v>1</v>
      </c>
      <c r="E41" s="22">
        <v>1</v>
      </c>
      <c r="F41" s="22">
        <v>1</v>
      </c>
      <c r="G41" s="22">
        <v>1</v>
      </c>
      <c r="H41" s="22">
        <v>1</v>
      </c>
      <c r="I41" s="24">
        <f t="shared" si="0"/>
        <v>6</v>
      </c>
      <c r="J41" s="24">
        <f>IF(I41="","",ROUND(I41/'Rekap &amp; Dashboard'!$B$7*100,2))</f>
        <v>25</v>
      </c>
      <c r="K41" s="24" t="str">
        <f>IF(J41="","",IF(J41&gt;='Rekap &amp; Dashboard'!$B$6,"Tuntas","Belum Tuntas"))</f>
        <v>Belum Tuntas</v>
      </c>
      <c r="L41" s="12"/>
    </row>
    <row r="42" spans="1:12">
      <c r="A42" s="23">
        <v>38</v>
      </c>
      <c r="B42" s="24" t="s">
        <v>90</v>
      </c>
      <c r="C42" s="22">
        <v>1</v>
      </c>
      <c r="D42" s="22">
        <v>1</v>
      </c>
      <c r="E42" s="22">
        <v>1</v>
      </c>
      <c r="F42" s="22">
        <v>1</v>
      </c>
      <c r="G42" s="22">
        <v>1</v>
      </c>
      <c r="H42" s="22">
        <v>1</v>
      </c>
      <c r="I42" s="24">
        <f t="shared" si="0"/>
        <v>6</v>
      </c>
      <c r="J42" s="24">
        <f>IF(I42="","",ROUND(I42/'Rekap &amp; Dashboard'!$B$7*100,2))</f>
        <v>25</v>
      </c>
      <c r="K42" s="24" t="str">
        <f>IF(J42="","",IF(J42&gt;='Rekap &amp; Dashboard'!$B$6,"Tuntas","Belum Tuntas"))</f>
        <v>Belum Tuntas</v>
      </c>
      <c r="L42" s="12"/>
    </row>
    <row r="43" spans="1:12">
      <c r="A43" s="23">
        <v>39</v>
      </c>
      <c r="B43" s="24" t="s">
        <v>91</v>
      </c>
      <c r="C43" s="22">
        <v>2</v>
      </c>
      <c r="D43" s="22">
        <v>2</v>
      </c>
      <c r="E43" s="22">
        <v>1</v>
      </c>
      <c r="F43" s="22">
        <v>1</v>
      </c>
      <c r="G43" s="22">
        <v>1</v>
      </c>
      <c r="H43" s="22">
        <v>1</v>
      </c>
      <c r="I43" s="24">
        <f t="shared" si="0"/>
        <v>8</v>
      </c>
      <c r="J43" s="24">
        <f>IF(I43="","",ROUND(I43/'Rekap &amp; Dashboard'!$B$7*100,2))</f>
        <v>33.33</v>
      </c>
      <c r="K43" s="24" t="str">
        <f>IF(J43="","",IF(J43&gt;='Rekap &amp; Dashboard'!$B$6,"Tuntas","Belum Tuntas"))</f>
        <v>Belum Tuntas</v>
      </c>
      <c r="L43" s="12"/>
    </row>
    <row r="44" spans="1:12">
      <c r="A44" s="23">
        <v>40</v>
      </c>
      <c r="B44" s="24" t="s">
        <v>92</v>
      </c>
      <c r="C44" s="22">
        <v>2</v>
      </c>
      <c r="D44" s="22">
        <v>2</v>
      </c>
      <c r="E44" s="22">
        <v>2</v>
      </c>
      <c r="F44" s="22">
        <v>1</v>
      </c>
      <c r="G44" s="22">
        <v>1</v>
      </c>
      <c r="H44" s="22">
        <v>1</v>
      </c>
      <c r="I44" s="24">
        <f t="shared" si="0"/>
        <v>9</v>
      </c>
      <c r="J44" s="24">
        <f>IF(I44="","",ROUND(I44/'Rekap &amp; Dashboard'!$B$7*100,2))</f>
        <v>37.5</v>
      </c>
      <c r="K44" s="24" t="str">
        <f>IF(J44="","",IF(J44&gt;='Rekap &amp; Dashboard'!$B$6,"Tuntas","Belum Tuntas"))</f>
        <v>Belum Tuntas</v>
      </c>
      <c r="L44" s="12"/>
    </row>
    <row r="45" spans="1:12">
      <c r="A45" s="23">
        <v>41</v>
      </c>
      <c r="B45" s="24" t="s">
        <v>93</v>
      </c>
      <c r="C45" s="22">
        <v>1</v>
      </c>
      <c r="D45" s="22">
        <v>2</v>
      </c>
      <c r="E45" s="22">
        <v>1</v>
      </c>
      <c r="F45" s="22">
        <v>1</v>
      </c>
      <c r="G45" s="22">
        <v>1</v>
      </c>
      <c r="H45" s="22">
        <v>2</v>
      </c>
      <c r="I45" s="24">
        <f t="shared" si="0"/>
        <v>8</v>
      </c>
      <c r="J45" s="24">
        <f>IF(I45="","",ROUND(I45/'Rekap &amp; Dashboard'!$B$7*100,2))</f>
        <v>33.33</v>
      </c>
      <c r="K45" s="24" t="str">
        <f>IF(J45="","",IF(J45&gt;='Rekap &amp; Dashboard'!$B$6,"Tuntas","Belum Tuntas"))</f>
        <v>Belum Tuntas</v>
      </c>
      <c r="L45" s="12"/>
    </row>
    <row r="46" spans="1:12">
      <c r="A46" s="23">
        <v>42</v>
      </c>
      <c r="B46" s="24" t="s">
        <v>94</v>
      </c>
      <c r="C46" s="22">
        <v>4</v>
      </c>
      <c r="D46" s="22">
        <v>4</v>
      </c>
      <c r="E46" s="22">
        <v>3</v>
      </c>
      <c r="F46" s="22">
        <v>2</v>
      </c>
      <c r="G46" s="22">
        <v>2</v>
      </c>
      <c r="H46" s="22">
        <v>3</v>
      </c>
      <c r="I46" s="24">
        <f t="shared" si="0"/>
        <v>18</v>
      </c>
      <c r="J46" s="24">
        <f>IF(I46="","",ROUND(I46/'Rekap &amp; Dashboard'!$B$7*100,2))</f>
        <v>75</v>
      </c>
      <c r="K46" s="24" t="str">
        <f>IF(J46="","",IF(J46&gt;='Rekap &amp; Dashboard'!$B$6,"Tuntas","Belum Tuntas"))</f>
        <v>Tuntas</v>
      </c>
      <c r="L46" s="12"/>
    </row>
    <row r="47" spans="1:12">
      <c r="A47" s="23">
        <v>43</v>
      </c>
      <c r="B47" s="24" t="s">
        <v>95</v>
      </c>
      <c r="C47" s="22">
        <v>1</v>
      </c>
      <c r="D47" s="22">
        <v>2</v>
      </c>
      <c r="E47" s="22">
        <v>1</v>
      </c>
      <c r="F47" s="22">
        <v>1</v>
      </c>
      <c r="G47" s="22">
        <v>1</v>
      </c>
      <c r="H47" s="22">
        <v>1</v>
      </c>
      <c r="I47" s="24">
        <f t="shared" si="0"/>
        <v>7</v>
      </c>
      <c r="J47" s="24">
        <f>IF(I47="","",ROUND(I47/'Rekap &amp; Dashboard'!$B$7*100,2))</f>
        <v>29.17</v>
      </c>
      <c r="K47" s="24" t="str">
        <f>IF(J47="","",IF(J47&gt;='Rekap &amp; Dashboard'!$B$6,"Tuntas","Belum Tuntas"))</f>
        <v>Belum Tuntas</v>
      </c>
      <c r="L47" s="12"/>
    </row>
    <row r="48" spans="1:12">
      <c r="A48" s="23">
        <v>44</v>
      </c>
      <c r="B48" s="24" t="s">
        <v>96</v>
      </c>
      <c r="C48" s="22">
        <v>1</v>
      </c>
      <c r="D48" s="22">
        <v>1</v>
      </c>
      <c r="E48" s="22">
        <v>1</v>
      </c>
      <c r="F48" s="22">
        <v>1</v>
      </c>
      <c r="G48" s="22">
        <v>1</v>
      </c>
      <c r="H48" s="22">
        <v>1</v>
      </c>
      <c r="I48" s="24">
        <f t="shared" si="0"/>
        <v>6</v>
      </c>
      <c r="J48" s="24">
        <f>IF(I48="","",ROUND(I48/'Rekap &amp; Dashboard'!$B$7*100,2))</f>
        <v>25</v>
      </c>
      <c r="K48" s="24" t="str">
        <f>IF(J48="","",IF(J48&gt;='Rekap &amp; Dashboard'!$B$6,"Tuntas","Belum Tuntas"))</f>
        <v>Belum Tuntas</v>
      </c>
      <c r="L48" s="12"/>
    </row>
    <row r="49" spans="1:12">
      <c r="A49" s="23">
        <v>45</v>
      </c>
      <c r="B49" s="24" t="s">
        <v>97</v>
      </c>
      <c r="C49" s="22">
        <v>1</v>
      </c>
      <c r="D49" s="22">
        <v>2</v>
      </c>
      <c r="E49" s="22">
        <v>1</v>
      </c>
      <c r="F49" s="22">
        <v>1</v>
      </c>
      <c r="G49" s="22">
        <v>1</v>
      </c>
      <c r="H49" s="22">
        <v>2</v>
      </c>
      <c r="I49" s="24">
        <f t="shared" si="0"/>
        <v>8</v>
      </c>
      <c r="J49" s="24">
        <f>IF(I49="","",ROUND(I49/'Rekap &amp; Dashboard'!$B$7*100,2))</f>
        <v>33.33</v>
      </c>
      <c r="K49" s="24" t="str">
        <f>IF(J49="","",IF(J49&gt;='Rekap &amp; Dashboard'!$B$6,"Tuntas","Belum Tuntas"))</f>
        <v>Belum Tuntas</v>
      </c>
      <c r="L49" s="12"/>
    </row>
    <row r="50" spans="1:12">
      <c r="A50" s="25">
        <v>46</v>
      </c>
      <c r="B50" s="26" t="s">
        <v>98</v>
      </c>
      <c r="C50" s="22">
        <v>4</v>
      </c>
      <c r="D50" s="22">
        <v>4</v>
      </c>
      <c r="E50" s="22">
        <v>3</v>
      </c>
      <c r="F50" s="22">
        <v>2</v>
      </c>
      <c r="G50" s="22">
        <v>2</v>
      </c>
      <c r="H50" s="22">
        <v>3</v>
      </c>
      <c r="I50" s="26">
        <f t="shared" si="0"/>
        <v>18</v>
      </c>
      <c r="J50" s="26">
        <f>IF(I50="","",ROUND(I50/'Rekap &amp; Dashboard'!$B$7*100,2))</f>
        <v>75</v>
      </c>
      <c r="K50" s="26" t="str">
        <f>IF(J50="","",IF(J50&gt;='Rekap &amp; Dashboard'!$B$6,"Tuntas","Belum Tuntas"))</f>
        <v>Tuntas</v>
      </c>
      <c r="L50" s="15"/>
    </row>
  </sheetData>
  <mergeCells count="2">
    <mergeCell ref="A1:L1"/>
    <mergeCell ref="A2:L2"/>
  </mergeCells>
  <conditionalFormatting sqref="C5:H5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5:K50">
    <cfRule type="expression" dxfId="35" priority="2">
      <formula>K5="Tuntas"</formula>
    </cfRule>
    <cfRule type="expression" dxfId="34" priority="3">
      <formula>K5="Belum Tuntas"</formula>
    </cfRule>
  </conditionalFormatting>
  <dataValidations count="1">
    <dataValidation type="list" sqref="C5:H50" xr:uid="{00000000-0002-0000-0100-000000000000}">
      <formula1>"1,2,3,4"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topLeftCell="A31" workbookViewId="0">
      <selection activeCell="C5" sqref="C5:G50"/>
    </sheetView>
  </sheetViews>
  <sheetFormatPr defaultRowHeight="13.8"/>
  <cols>
    <col min="1" max="1" width="6" customWidth="1"/>
    <col min="2" max="2" width="18" customWidth="1"/>
    <col min="3" max="7" width="7" customWidth="1"/>
    <col min="8" max="8" width="9" customWidth="1"/>
    <col min="9" max="9" width="11" customWidth="1"/>
    <col min="10" max="10" width="18" customWidth="1"/>
    <col min="11" max="11" width="28" customWidth="1"/>
    <col min="13" max="13" width="8" customWidth="1"/>
    <col min="14" max="14" width="42" customWidth="1"/>
  </cols>
  <sheetData>
    <row r="1" spans="1:14" ht="19.2" customHeight="1">
      <c r="A1" s="108" t="s">
        <v>99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4" ht="21.75" customHeight="1">
      <c r="A2" s="115" t="s">
        <v>100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M2" s="16" t="s">
        <v>26</v>
      </c>
      <c r="N2" s="18" t="s">
        <v>101</v>
      </c>
    </row>
    <row r="3" spans="1:14" ht="27.6">
      <c r="M3" s="11" t="s">
        <v>102</v>
      </c>
      <c r="N3" s="12" t="s">
        <v>103</v>
      </c>
    </row>
    <row r="4" spans="1:14" ht="21.75" customHeight="1">
      <c r="A4" s="16" t="s">
        <v>42</v>
      </c>
      <c r="B4" s="17" t="s">
        <v>43</v>
      </c>
      <c r="C4" s="17" t="s">
        <v>102</v>
      </c>
      <c r="D4" s="17" t="s">
        <v>104</v>
      </c>
      <c r="E4" s="17" t="s">
        <v>105</v>
      </c>
      <c r="F4" s="17" t="s">
        <v>106</v>
      </c>
      <c r="G4" s="17" t="s">
        <v>107</v>
      </c>
      <c r="H4" s="17" t="s">
        <v>108</v>
      </c>
      <c r="I4" s="17" t="s">
        <v>109</v>
      </c>
      <c r="J4" s="17" t="s">
        <v>110</v>
      </c>
      <c r="K4" s="18" t="s">
        <v>111</v>
      </c>
      <c r="M4" s="11" t="s">
        <v>104</v>
      </c>
      <c r="N4" s="12" t="s">
        <v>112</v>
      </c>
    </row>
    <row r="5" spans="1:14" ht="27.6">
      <c r="A5" s="21">
        <v>1</v>
      </c>
      <c r="B5" s="22" t="s">
        <v>53</v>
      </c>
      <c r="C5" s="22">
        <v>3</v>
      </c>
      <c r="D5" s="22">
        <v>2</v>
      </c>
      <c r="E5" s="22">
        <v>1</v>
      </c>
      <c r="F5" s="22">
        <v>2</v>
      </c>
      <c r="G5" s="22">
        <v>2</v>
      </c>
      <c r="H5" s="22">
        <f t="shared" ref="H5:H50" si="0">IF(COUNTA(C5:G5)=0,"",SUM(C5:G5))</f>
        <v>10</v>
      </c>
      <c r="I5" s="22">
        <f t="shared" ref="I5:I50" si="1">IF(H5="","",ROUND(H5/5,2))</f>
        <v>2</v>
      </c>
      <c r="J5" s="22" t="str">
        <f t="shared" ref="J5:J50" si="2">IF(I5="","",IF(I5&gt;=3.26,"Sangat Mandiri",IF(I5&gt;=2.51,"Mandiri",IF(I5&gt;=1.76,"Kurang Mandiri","Belum Mandiri"))))</f>
        <v>Kurang Mandiri</v>
      </c>
      <c r="K5" s="10"/>
      <c r="M5" s="11" t="s">
        <v>105</v>
      </c>
      <c r="N5" s="12" t="s">
        <v>113</v>
      </c>
    </row>
    <row r="6" spans="1:14">
      <c r="A6" s="23">
        <v>2</v>
      </c>
      <c r="B6" s="24" t="s">
        <v>54</v>
      </c>
      <c r="C6" s="22">
        <v>3</v>
      </c>
      <c r="D6" s="22">
        <v>1</v>
      </c>
      <c r="E6" s="22">
        <v>1</v>
      </c>
      <c r="F6" s="22">
        <v>2</v>
      </c>
      <c r="G6" s="22">
        <v>3</v>
      </c>
      <c r="H6" s="24">
        <f t="shared" si="0"/>
        <v>10</v>
      </c>
      <c r="I6" s="24">
        <f t="shared" si="1"/>
        <v>2</v>
      </c>
      <c r="J6" s="24" t="str">
        <f t="shared" si="2"/>
        <v>Kurang Mandiri</v>
      </c>
      <c r="K6" s="12"/>
      <c r="M6" s="11" t="s">
        <v>106</v>
      </c>
      <c r="N6" s="12" t="s">
        <v>114</v>
      </c>
    </row>
    <row r="7" spans="1:14">
      <c r="A7" s="23">
        <v>3</v>
      </c>
      <c r="B7" s="24" t="s">
        <v>55</v>
      </c>
      <c r="C7" s="22">
        <v>3</v>
      </c>
      <c r="D7" s="22">
        <v>2</v>
      </c>
      <c r="E7" s="22">
        <v>1</v>
      </c>
      <c r="F7" s="22">
        <v>2</v>
      </c>
      <c r="G7" s="22">
        <v>2</v>
      </c>
      <c r="H7" s="24">
        <f t="shared" si="0"/>
        <v>10</v>
      </c>
      <c r="I7" s="24">
        <f t="shared" si="1"/>
        <v>2</v>
      </c>
      <c r="J7" s="24" t="str">
        <f t="shared" si="2"/>
        <v>Kurang Mandiri</v>
      </c>
      <c r="K7" s="12"/>
      <c r="M7" s="13" t="s">
        <v>107</v>
      </c>
      <c r="N7" s="15" t="s">
        <v>115</v>
      </c>
    </row>
    <row r="8" spans="1:14">
      <c r="A8" s="23">
        <v>4</v>
      </c>
      <c r="B8" s="24" t="s">
        <v>56</v>
      </c>
      <c r="C8" s="22">
        <v>3</v>
      </c>
      <c r="D8" s="22">
        <v>2</v>
      </c>
      <c r="E8" s="22">
        <v>1</v>
      </c>
      <c r="F8" s="22">
        <v>3</v>
      </c>
      <c r="G8" s="22">
        <v>3</v>
      </c>
      <c r="H8" s="24">
        <f t="shared" si="0"/>
        <v>12</v>
      </c>
      <c r="I8" s="24">
        <f t="shared" si="1"/>
        <v>2.4</v>
      </c>
      <c r="J8" s="24" t="str">
        <f t="shared" si="2"/>
        <v>Kurang Mandiri</v>
      </c>
      <c r="K8" s="12"/>
    </row>
    <row r="9" spans="1:14">
      <c r="A9" s="23">
        <v>5</v>
      </c>
      <c r="B9" s="24" t="s">
        <v>57</v>
      </c>
      <c r="C9" s="22">
        <v>3</v>
      </c>
      <c r="D9" s="22">
        <v>2</v>
      </c>
      <c r="E9" s="22">
        <v>1</v>
      </c>
      <c r="F9" s="22">
        <v>2</v>
      </c>
      <c r="G9" s="22">
        <v>2</v>
      </c>
      <c r="H9" s="24">
        <f t="shared" si="0"/>
        <v>10</v>
      </c>
      <c r="I9" s="24">
        <f t="shared" si="1"/>
        <v>2</v>
      </c>
      <c r="J9" s="24" t="str">
        <f t="shared" si="2"/>
        <v>Kurang Mandiri</v>
      </c>
      <c r="K9" s="12"/>
    </row>
    <row r="10" spans="1:14">
      <c r="A10" s="23">
        <v>6</v>
      </c>
      <c r="B10" s="24" t="s">
        <v>58</v>
      </c>
      <c r="C10" s="22">
        <v>3</v>
      </c>
      <c r="D10" s="22">
        <v>1</v>
      </c>
      <c r="E10" s="22">
        <v>1</v>
      </c>
      <c r="F10" s="22">
        <v>2</v>
      </c>
      <c r="G10" s="22">
        <v>2</v>
      </c>
      <c r="H10" s="24">
        <f t="shared" si="0"/>
        <v>9</v>
      </c>
      <c r="I10" s="24">
        <f t="shared" si="1"/>
        <v>1.8</v>
      </c>
      <c r="J10" s="24" t="str">
        <f t="shared" si="2"/>
        <v>Kurang Mandiri</v>
      </c>
      <c r="K10" s="12"/>
    </row>
    <row r="11" spans="1:14">
      <c r="A11" s="23">
        <v>7</v>
      </c>
      <c r="B11" s="24" t="s">
        <v>59</v>
      </c>
      <c r="C11" s="22">
        <v>3</v>
      </c>
      <c r="D11" s="22">
        <v>1</v>
      </c>
      <c r="E11" s="22">
        <v>1</v>
      </c>
      <c r="F11" s="22">
        <v>3</v>
      </c>
      <c r="G11" s="22">
        <v>2</v>
      </c>
      <c r="H11" s="24">
        <f t="shared" si="0"/>
        <v>10</v>
      </c>
      <c r="I11" s="24">
        <f t="shared" si="1"/>
        <v>2</v>
      </c>
      <c r="J11" s="24" t="str">
        <f t="shared" si="2"/>
        <v>Kurang Mandiri</v>
      </c>
      <c r="K11" s="12"/>
      <c r="M11" t="s">
        <v>116</v>
      </c>
    </row>
    <row r="12" spans="1:14">
      <c r="A12" s="23">
        <v>8</v>
      </c>
      <c r="B12" s="24" t="s">
        <v>60</v>
      </c>
      <c r="C12" s="22">
        <v>3</v>
      </c>
      <c r="D12" s="22">
        <v>2</v>
      </c>
      <c r="E12" s="22">
        <v>1</v>
      </c>
      <c r="F12" s="22">
        <v>2</v>
      </c>
      <c r="G12" s="22">
        <v>3</v>
      </c>
      <c r="H12" s="24">
        <f t="shared" si="0"/>
        <v>11</v>
      </c>
      <c r="I12" s="24">
        <f t="shared" si="1"/>
        <v>2.2000000000000002</v>
      </c>
      <c r="J12" s="24" t="str">
        <f t="shared" si="2"/>
        <v>Kurang Mandiri</v>
      </c>
      <c r="K12" s="12"/>
    </row>
    <row r="13" spans="1:14">
      <c r="A13" s="23">
        <v>9</v>
      </c>
      <c r="B13" s="24" t="s">
        <v>61</v>
      </c>
      <c r="C13" s="22">
        <v>3</v>
      </c>
      <c r="D13" s="22">
        <v>2</v>
      </c>
      <c r="E13" s="22">
        <v>1</v>
      </c>
      <c r="F13" s="22">
        <v>2</v>
      </c>
      <c r="G13" s="22">
        <v>2</v>
      </c>
      <c r="H13" s="24">
        <f t="shared" si="0"/>
        <v>10</v>
      </c>
      <c r="I13" s="24">
        <f t="shared" si="1"/>
        <v>2</v>
      </c>
      <c r="J13" s="24" t="str">
        <f t="shared" si="2"/>
        <v>Kurang Mandiri</v>
      </c>
      <c r="K13" s="12"/>
      <c r="M13" t="s">
        <v>117</v>
      </c>
    </row>
    <row r="14" spans="1:14">
      <c r="A14" s="23">
        <v>10</v>
      </c>
      <c r="B14" s="24" t="s">
        <v>62</v>
      </c>
      <c r="C14" s="22">
        <v>3</v>
      </c>
      <c r="D14" s="22">
        <v>2</v>
      </c>
      <c r="E14" s="22">
        <v>1</v>
      </c>
      <c r="F14" s="22">
        <v>3</v>
      </c>
      <c r="G14" s="22">
        <v>2</v>
      </c>
      <c r="H14" s="24">
        <f t="shared" si="0"/>
        <v>11</v>
      </c>
      <c r="I14" s="24">
        <f t="shared" si="1"/>
        <v>2.2000000000000002</v>
      </c>
      <c r="J14" s="24" t="str">
        <f t="shared" si="2"/>
        <v>Kurang Mandiri</v>
      </c>
      <c r="K14" s="12"/>
    </row>
    <row r="15" spans="1:14">
      <c r="A15" s="23">
        <v>11</v>
      </c>
      <c r="B15" s="24" t="s">
        <v>63</v>
      </c>
      <c r="C15" s="22">
        <v>3</v>
      </c>
      <c r="D15" s="22">
        <v>2</v>
      </c>
      <c r="E15" s="22">
        <v>1</v>
      </c>
      <c r="F15" s="22">
        <v>2</v>
      </c>
      <c r="G15" s="22">
        <v>2</v>
      </c>
      <c r="H15" s="24">
        <f t="shared" si="0"/>
        <v>10</v>
      </c>
      <c r="I15" s="24">
        <f t="shared" si="1"/>
        <v>2</v>
      </c>
      <c r="J15" s="24" t="str">
        <f t="shared" si="2"/>
        <v>Kurang Mandiri</v>
      </c>
      <c r="K15" s="12"/>
    </row>
    <row r="16" spans="1:14">
      <c r="A16" s="23">
        <v>12</v>
      </c>
      <c r="B16" s="24" t="s">
        <v>64</v>
      </c>
      <c r="C16" s="22">
        <v>3</v>
      </c>
      <c r="D16" s="22">
        <v>2</v>
      </c>
      <c r="E16" s="22">
        <v>1</v>
      </c>
      <c r="F16" s="22">
        <v>2</v>
      </c>
      <c r="G16" s="22">
        <v>3</v>
      </c>
      <c r="H16" s="24">
        <f t="shared" si="0"/>
        <v>11</v>
      </c>
      <c r="I16" s="24">
        <f t="shared" si="1"/>
        <v>2.2000000000000002</v>
      </c>
      <c r="J16" s="24" t="str">
        <f t="shared" si="2"/>
        <v>Kurang Mandiri</v>
      </c>
      <c r="K16" s="12"/>
    </row>
    <row r="17" spans="1:11">
      <c r="A17" s="23">
        <v>13</v>
      </c>
      <c r="B17" s="24" t="s">
        <v>65</v>
      </c>
      <c r="C17" s="22">
        <v>3</v>
      </c>
      <c r="D17" s="22">
        <v>2</v>
      </c>
      <c r="E17" s="22">
        <v>1</v>
      </c>
      <c r="F17" s="22">
        <v>3</v>
      </c>
      <c r="G17" s="22">
        <v>3</v>
      </c>
      <c r="H17" s="24">
        <f t="shared" si="0"/>
        <v>12</v>
      </c>
      <c r="I17" s="24">
        <f t="shared" si="1"/>
        <v>2.4</v>
      </c>
      <c r="J17" s="24" t="str">
        <f t="shared" si="2"/>
        <v>Kurang Mandiri</v>
      </c>
      <c r="K17" s="12"/>
    </row>
    <row r="18" spans="1:11">
      <c r="A18" s="23">
        <v>14</v>
      </c>
      <c r="B18" s="24" t="s">
        <v>66</v>
      </c>
      <c r="C18" s="22">
        <v>3</v>
      </c>
      <c r="D18" s="22">
        <v>2</v>
      </c>
      <c r="E18" s="22">
        <v>1</v>
      </c>
      <c r="F18" s="22">
        <v>2</v>
      </c>
      <c r="G18" s="22">
        <v>2</v>
      </c>
      <c r="H18" s="24">
        <f t="shared" si="0"/>
        <v>10</v>
      </c>
      <c r="I18" s="24">
        <f t="shared" si="1"/>
        <v>2</v>
      </c>
      <c r="J18" s="24" t="str">
        <f t="shared" si="2"/>
        <v>Kurang Mandiri</v>
      </c>
      <c r="K18" s="12"/>
    </row>
    <row r="19" spans="1:11">
      <c r="A19" s="23">
        <v>15</v>
      </c>
      <c r="B19" s="24" t="s">
        <v>67</v>
      </c>
      <c r="C19" s="22">
        <v>3</v>
      </c>
      <c r="D19" s="22">
        <v>2</v>
      </c>
      <c r="E19" s="22">
        <v>1</v>
      </c>
      <c r="F19" s="22">
        <v>3</v>
      </c>
      <c r="G19" s="22">
        <v>3</v>
      </c>
      <c r="H19" s="24">
        <f t="shared" si="0"/>
        <v>12</v>
      </c>
      <c r="I19" s="24">
        <f t="shared" si="1"/>
        <v>2.4</v>
      </c>
      <c r="J19" s="24" t="str">
        <f t="shared" si="2"/>
        <v>Kurang Mandiri</v>
      </c>
      <c r="K19" s="12"/>
    </row>
    <row r="20" spans="1:11">
      <c r="A20" s="23">
        <v>16</v>
      </c>
      <c r="B20" s="24" t="s">
        <v>68</v>
      </c>
      <c r="C20" s="22">
        <v>3</v>
      </c>
      <c r="D20" s="22">
        <v>2</v>
      </c>
      <c r="E20" s="22">
        <v>1</v>
      </c>
      <c r="F20" s="22">
        <v>2</v>
      </c>
      <c r="G20" s="22">
        <v>2</v>
      </c>
      <c r="H20" s="24">
        <f t="shared" si="0"/>
        <v>10</v>
      </c>
      <c r="I20" s="24">
        <f t="shared" si="1"/>
        <v>2</v>
      </c>
      <c r="J20" s="24" t="str">
        <f t="shared" si="2"/>
        <v>Kurang Mandiri</v>
      </c>
      <c r="K20" s="12"/>
    </row>
    <row r="21" spans="1:11">
      <c r="A21" s="23">
        <v>17</v>
      </c>
      <c r="B21" s="24" t="s">
        <v>69</v>
      </c>
      <c r="C21" s="22">
        <v>3</v>
      </c>
      <c r="D21" s="22">
        <v>1</v>
      </c>
      <c r="E21" s="22">
        <v>1</v>
      </c>
      <c r="F21" s="22">
        <v>2</v>
      </c>
      <c r="G21" s="22">
        <v>2</v>
      </c>
      <c r="H21" s="24">
        <f t="shared" si="0"/>
        <v>9</v>
      </c>
      <c r="I21" s="24">
        <f t="shared" si="1"/>
        <v>1.8</v>
      </c>
      <c r="J21" s="24" t="str">
        <f t="shared" si="2"/>
        <v>Kurang Mandiri</v>
      </c>
      <c r="K21" s="12"/>
    </row>
    <row r="22" spans="1:11">
      <c r="A22" s="23">
        <v>18</v>
      </c>
      <c r="B22" s="24" t="s">
        <v>70</v>
      </c>
      <c r="C22" s="22">
        <v>3</v>
      </c>
      <c r="D22" s="22">
        <v>1</v>
      </c>
      <c r="E22" s="22">
        <v>1</v>
      </c>
      <c r="F22" s="22">
        <v>2</v>
      </c>
      <c r="G22" s="22">
        <v>2</v>
      </c>
      <c r="H22" s="24">
        <f t="shared" si="0"/>
        <v>9</v>
      </c>
      <c r="I22" s="24">
        <f t="shared" si="1"/>
        <v>1.8</v>
      </c>
      <c r="J22" s="24" t="str">
        <f t="shared" si="2"/>
        <v>Kurang Mandiri</v>
      </c>
      <c r="K22" s="12"/>
    </row>
    <row r="23" spans="1:11">
      <c r="A23" s="23">
        <v>19</v>
      </c>
      <c r="B23" s="24" t="s">
        <v>71</v>
      </c>
      <c r="C23" s="22">
        <v>3</v>
      </c>
      <c r="D23" s="22">
        <v>2</v>
      </c>
      <c r="E23" s="22">
        <v>1</v>
      </c>
      <c r="F23" s="22">
        <v>2</v>
      </c>
      <c r="G23" s="22">
        <v>2</v>
      </c>
      <c r="H23" s="24">
        <f t="shared" si="0"/>
        <v>10</v>
      </c>
      <c r="I23" s="24">
        <f t="shared" si="1"/>
        <v>2</v>
      </c>
      <c r="J23" s="24" t="str">
        <f t="shared" si="2"/>
        <v>Kurang Mandiri</v>
      </c>
      <c r="K23" s="12"/>
    </row>
    <row r="24" spans="1:11">
      <c r="A24" s="23">
        <v>20</v>
      </c>
      <c r="B24" s="24" t="s">
        <v>72</v>
      </c>
      <c r="C24" s="22">
        <v>3</v>
      </c>
      <c r="D24" s="22">
        <v>2</v>
      </c>
      <c r="E24" s="22">
        <v>1</v>
      </c>
      <c r="F24" s="22">
        <v>2</v>
      </c>
      <c r="G24" s="22">
        <v>2</v>
      </c>
      <c r="H24" s="24">
        <f t="shared" si="0"/>
        <v>10</v>
      </c>
      <c r="I24" s="24">
        <f t="shared" si="1"/>
        <v>2</v>
      </c>
      <c r="J24" s="24" t="str">
        <f t="shared" si="2"/>
        <v>Kurang Mandiri</v>
      </c>
      <c r="K24" s="12"/>
    </row>
    <row r="25" spans="1:11">
      <c r="A25" s="23">
        <v>21</v>
      </c>
      <c r="B25" s="24" t="s">
        <v>73</v>
      </c>
      <c r="C25" s="22">
        <v>3</v>
      </c>
      <c r="D25" s="22">
        <v>3</v>
      </c>
      <c r="E25" s="22">
        <v>3</v>
      </c>
      <c r="F25" s="22">
        <v>3</v>
      </c>
      <c r="G25" s="22">
        <v>3</v>
      </c>
      <c r="H25" s="24">
        <f t="shared" si="0"/>
        <v>15</v>
      </c>
      <c r="I25" s="24">
        <f t="shared" si="1"/>
        <v>3</v>
      </c>
      <c r="J25" s="24" t="str">
        <f t="shared" si="2"/>
        <v>Mandiri</v>
      </c>
      <c r="K25" s="12"/>
    </row>
    <row r="26" spans="1:11">
      <c r="A26" s="23">
        <v>22</v>
      </c>
      <c r="B26" s="24" t="s">
        <v>74</v>
      </c>
      <c r="C26" s="22">
        <v>3</v>
      </c>
      <c r="D26" s="22">
        <v>2</v>
      </c>
      <c r="E26" s="22">
        <v>1</v>
      </c>
      <c r="F26" s="22">
        <v>2</v>
      </c>
      <c r="G26" s="22">
        <v>2</v>
      </c>
      <c r="H26" s="24">
        <f t="shared" si="0"/>
        <v>10</v>
      </c>
      <c r="I26" s="24">
        <f t="shared" si="1"/>
        <v>2</v>
      </c>
      <c r="J26" s="24" t="str">
        <f t="shared" si="2"/>
        <v>Kurang Mandiri</v>
      </c>
      <c r="K26" s="12"/>
    </row>
    <row r="27" spans="1:11">
      <c r="A27" s="23">
        <v>23</v>
      </c>
      <c r="B27" s="24" t="s">
        <v>75</v>
      </c>
      <c r="C27" s="22">
        <v>3</v>
      </c>
      <c r="D27" s="22">
        <v>2</v>
      </c>
      <c r="E27" s="22">
        <v>1</v>
      </c>
      <c r="F27" s="22">
        <v>2</v>
      </c>
      <c r="G27" s="22">
        <v>2</v>
      </c>
      <c r="H27" s="24">
        <f t="shared" si="0"/>
        <v>10</v>
      </c>
      <c r="I27" s="24">
        <f t="shared" si="1"/>
        <v>2</v>
      </c>
      <c r="J27" s="24" t="str">
        <f t="shared" si="2"/>
        <v>Kurang Mandiri</v>
      </c>
      <c r="K27" s="12"/>
    </row>
    <row r="28" spans="1:11">
      <c r="A28" s="23">
        <v>24</v>
      </c>
      <c r="B28" s="24" t="s">
        <v>76</v>
      </c>
      <c r="C28" s="22">
        <v>3</v>
      </c>
      <c r="D28" s="22">
        <v>2</v>
      </c>
      <c r="E28" s="22">
        <v>1</v>
      </c>
      <c r="F28" s="22">
        <v>2</v>
      </c>
      <c r="G28" s="22">
        <v>2</v>
      </c>
      <c r="H28" s="24">
        <f t="shared" si="0"/>
        <v>10</v>
      </c>
      <c r="I28" s="24">
        <f t="shared" si="1"/>
        <v>2</v>
      </c>
      <c r="J28" s="24" t="str">
        <f t="shared" si="2"/>
        <v>Kurang Mandiri</v>
      </c>
      <c r="K28" s="12"/>
    </row>
    <row r="29" spans="1:11">
      <c r="A29" s="23">
        <v>25</v>
      </c>
      <c r="B29" s="24" t="s">
        <v>77</v>
      </c>
      <c r="C29" s="22">
        <v>3</v>
      </c>
      <c r="D29" s="22">
        <v>3</v>
      </c>
      <c r="E29" s="22">
        <v>3</v>
      </c>
      <c r="F29" s="22">
        <v>3</v>
      </c>
      <c r="G29" s="22">
        <v>3</v>
      </c>
      <c r="H29" s="24">
        <f t="shared" si="0"/>
        <v>15</v>
      </c>
      <c r="I29" s="24">
        <f t="shared" si="1"/>
        <v>3</v>
      </c>
      <c r="J29" s="24" t="str">
        <f t="shared" si="2"/>
        <v>Mandiri</v>
      </c>
      <c r="K29" s="12"/>
    </row>
    <row r="30" spans="1:11">
      <c r="A30" s="23">
        <v>26</v>
      </c>
      <c r="B30" s="24" t="s">
        <v>78</v>
      </c>
      <c r="C30" s="22">
        <v>3</v>
      </c>
      <c r="D30" s="22">
        <v>1</v>
      </c>
      <c r="E30" s="22">
        <v>1</v>
      </c>
      <c r="F30" s="22">
        <v>2</v>
      </c>
      <c r="G30" s="22">
        <v>2</v>
      </c>
      <c r="H30" s="24">
        <f t="shared" si="0"/>
        <v>9</v>
      </c>
      <c r="I30" s="24">
        <f t="shared" si="1"/>
        <v>1.8</v>
      </c>
      <c r="J30" s="24" t="str">
        <f t="shared" si="2"/>
        <v>Kurang Mandiri</v>
      </c>
      <c r="K30" s="12"/>
    </row>
    <row r="31" spans="1:11">
      <c r="A31" s="23">
        <v>27</v>
      </c>
      <c r="B31" s="24" t="s">
        <v>79</v>
      </c>
      <c r="C31" s="22">
        <v>3</v>
      </c>
      <c r="D31" s="22">
        <v>1</v>
      </c>
      <c r="E31" s="22">
        <v>1</v>
      </c>
      <c r="F31" s="22">
        <v>2</v>
      </c>
      <c r="G31" s="22">
        <v>2</v>
      </c>
      <c r="H31" s="24">
        <f t="shared" si="0"/>
        <v>9</v>
      </c>
      <c r="I31" s="24">
        <f t="shared" si="1"/>
        <v>1.8</v>
      </c>
      <c r="J31" s="24" t="str">
        <f t="shared" si="2"/>
        <v>Kurang Mandiri</v>
      </c>
      <c r="K31" s="12"/>
    </row>
    <row r="32" spans="1:11">
      <c r="A32" s="23">
        <v>28</v>
      </c>
      <c r="B32" s="24" t="s">
        <v>80</v>
      </c>
      <c r="C32" s="22">
        <v>3</v>
      </c>
      <c r="D32" s="22">
        <v>2</v>
      </c>
      <c r="E32" s="22">
        <v>1</v>
      </c>
      <c r="F32" s="22">
        <v>2</v>
      </c>
      <c r="G32" s="22">
        <v>2</v>
      </c>
      <c r="H32" s="24">
        <f t="shared" si="0"/>
        <v>10</v>
      </c>
      <c r="I32" s="24">
        <f t="shared" si="1"/>
        <v>2</v>
      </c>
      <c r="J32" s="24" t="str">
        <f t="shared" si="2"/>
        <v>Kurang Mandiri</v>
      </c>
      <c r="K32" s="12"/>
    </row>
    <row r="33" spans="1:11">
      <c r="A33" s="23">
        <v>29</v>
      </c>
      <c r="B33" s="24" t="s">
        <v>81</v>
      </c>
      <c r="C33" s="22">
        <v>3</v>
      </c>
      <c r="D33" s="22">
        <v>2</v>
      </c>
      <c r="E33" s="22">
        <v>1</v>
      </c>
      <c r="F33" s="22">
        <v>3</v>
      </c>
      <c r="G33" s="22">
        <v>2</v>
      </c>
      <c r="H33" s="24">
        <f t="shared" si="0"/>
        <v>11</v>
      </c>
      <c r="I33" s="24">
        <f t="shared" si="1"/>
        <v>2.2000000000000002</v>
      </c>
      <c r="J33" s="24" t="str">
        <f t="shared" si="2"/>
        <v>Kurang Mandiri</v>
      </c>
      <c r="K33" s="12"/>
    </row>
    <row r="34" spans="1:11">
      <c r="A34" s="23">
        <v>30</v>
      </c>
      <c r="B34" s="24" t="s">
        <v>82</v>
      </c>
      <c r="C34" s="22">
        <v>3</v>
      </c>
      <c r="D34" s="22">
        <v>2</v>
      </c>
      <c r="E34" s="22">
        <v>1</v>
      </c>
      <c r="F34" s="22">
        <v>3</v>
      </c>
      <c r="G34" s="22">
        <v>2</v>
      </c>
      <c r="H34" s="24">
        <f t="shared" si="0"/>
        <v>11</v>
      </c>
      <c r="I34" s="24">
        <f t="shared" si="1"/>
        <v>2.2000000000000002</v>
      </c>
      <c r="J34" s="24" t="str">
        <f t="shared" si="2"/>
        <v>Kurang Mandiri</v>
      </c>
      <c r="K34" s="12"/>
    </row>
    <row r="35" spans="1:11">
      <c r="A35" s="23">
        <v>31</v>
      </c>
      <c r="B35" s="24" t="s">
        <v>83</v>
      </c>
      <c r="C35" s="22">
        <v>3</v>
      </c>
      <c r="D35" s="22">
        <v>2</v>
      </c>
      <c r="E35" s="22">
        <v>1</v>
      </c>
      <c r="F35" s="22">
        <v>2</v>
      </c>
      <c r="G35" s="22">
        <v>2</v>
      </c>
      <c r="H35" s="24">
        <f t="shared" si="0"/>
        <v>10</v>
      </c>
      <c r="I35" s="24">
        <f t="shared" si="1"/>
        <v>2</v>
      </c>
      <c r="J35" s="24" t="str">
        <f t="shared" si="2"/>
        <v>Kurang Mandiri</v>
      </c>
      <c r="K35" s="12"/>
    </row>
    <row r="36" spans="1:11">
      <c r="A36" s="23">
        <v>32</v>
      </c>
      <c r="B36" s="24" t="s">
        <v>84</v>
      </c>
      <c r="C36" s="22">
        <v>3</v>
      </c>
      <c r="D36" s="22">
        <v>3</v>
      </c>
      <c r="E36" s="22">
        <v>3</v>
      </c>
      <c r="F36" s="22">
        <v>3</v>
      </c>
      <c r="G36" s="22">
        <v>3</v>
      </c>
      <c r="H36" s="24">
        <f t="shared" si="0"/>
        <v>15</v>
      </c>
      <c r="I36" s="24">
        <f t="shared" si="1"/>
        <v>3</v>
      </c>
      <c r="J36" s="24" t="str">
        <f t="shared" si="2"/>
        <v>Mandiri</v>
      </c>
      <c r="K36" s="12"/>
    </row>
    <row r="37" spans="1:11">
      <c r="A37" s="23">
        <v>33</v>
      </c>
      <c r="B37" s="24" t="s">
        <v>85</v>
      </c>
      <c r="C37" s="22">
        <v>3</v>
      </c>
      <c r="D37" s="22">
        <v>2</v>
      </c>
      <c r="E37" s="22">
        <v>1</v>
      </c>
      <c r="F37" s="22">
        <v>2</v>
      </c>
      <c r="G37" s="22">
        <v>3</v>
      </c>
      <c r="H37" s="24">
        <f t="shared" si="0"/>
        <v>11</v>
      </c>
      <c r="I37" s="24">
        <f t="shared" si="1"/>
        <v>2.2000000000000002</v>
      </c>
      <c r="J37" s="24" t="str">
        <f t="shared" si="2"/>
        <v>Kurang Mandiri</v>
      </c>
      <c r="K37" s="12"/>
    </row>
    <row r="38" spans="1:11">
      <c r="A38" s="23">
        <v>34</v>
      </c>
      <c r="B38" s="24" t="s">
        <v>86</v>
      </c>
      <c r="C38" s="22">
        <v>3</v>
      </c>
      <c r="D38" s="22">
        <v>2</v>
      </c>
      <c r="E38" s="22">
        <v>1</v>
      </c>
      <c r="F38" s="22">
        <v>3</v>
      </c>
      <c r="G38" s="22">
        <v>2</v>
      </c>
      <c r="H38" s="24">
        <f t="shared" si="0"/>
        <v>11</v>
      </c>
      <c r="I38" s="24">
        <f t="shared" si="1"/>
        <v>2.2000000000000002</v>
      </c>
      <c r="J38" s="24" t="str">
        <f t="shared" si="2"/>
        <v>Kurang Mandiri</v>
      </c>
      <c r="K38" s="12"/>
    </row>
    <row r="39" spans="1:11">
      <c r="A39" s="23">
        <v>35</v>
      </c>
      <c r="B39" s="24" t="s">
        <v>87</v>
      </c>
      <c r="C39" s="22">
        <v>3</v>
      </c>
      <c r="D39" s="22">
        <v>2</v>
      </c>
      <c r="E39" s="22">
        <v>1</v>
      </c>
      <c r="F39" s="22">
        <v>2</v>
      </c>
      <c r="G39" s="22">
        <v>3</v>
      </c>
      <c r="H39" s="24">
        <f t="shared" si="0"/>
        <v>11</v>
      </c>
      <c r="I39" s="24">
        <f t="shared" si="1"/>
        <v>2.2000000000000002</v>
      </c>
      <c r="J39" s="24" t="str">
        <f t="shared" si="2"/>
        <v>Kurang Mandiri</v>
      </c>
      <c r="K39" s="12"/>
    </row>
    <row r="40" spans="1:11">
      <c r="A40" s="23">
        <v>36</v>
      </c>
      <c r="B40" s="24" t="s">
        <v>88</v>
      </c>
      <c r="C40" s="22">
        <v>3</v>
      </c>
      <c r="D40" s="22">
        <v>2</v>
      </c>
      <c r="E40" s="22">
        <v>1</v>
      </c>
      <c r="F40" s="22">
        <v>2</v>
      </c>
      <c r="G40" s="22">
        <v>3</v>
      </c>
      <c r="H40" s="24">
        <f t="shared" si="0"/>
        <v>11</v>
      </c>
      <c r="I40" s="24">
        <f t="shared" si="1"/>
        <v>2.2000000000000002</v>
      </c>
      <c r="J40" s="24" t="str">
        <f t="shared" si="2"/>
        <v>Kurang Mandiri</v>
      </c>
      <c r="K40" s="12"/>
    </row>
    <row r="41" spans="1:11">
      <c r="A41" s="23">
        <v>37</v>
      </c>
      <c r="B41" s="24" t="s">
        <v>89</v>
      </c>
      <c r="C41" s="22">
        <v>3</v>
      </c>
      <c r="D41" s="22">
        <v>1</v>
      </c>
      <c r="E41" s="22">
        <v>1</v>
      </c>
      <c r="F41" s="22">
        <v>2</v>
      </c>
      <c r="G41" s="22">
        <v>2</v>
      </c>
      <c r="H41" s="24">
        <f t="shared" si="0"/>
        <v>9</v>
      </c>
      <c r="I41" s="24">
        <f t="shared" si="1"/>
        <v>1.8</v>
      </c>
      <c r="J41" s="24" t="str">
        <f t="shared" si="2"/>
        <v>Kurang Mandiri</v>
      </c>
      <c r="K41" s="12"/>
    </row>
    <row r="42" spans="1:11">
      <c r="A42" s="23">
        <v>38</v>
      </c>
      <c r="B42" s="24" t="s">
        <v>90</v>
      </c>
      <c r="C42" s="22">
        <v>3</v>
      </c>
      <c r="D42" s="22">
        <v>1</v>
      </c>
      <c r="E42" s="22">
        <v>1</v>
      </c>
      <c r="F42" s="22">
        <v>2</v>
      </c>
      <c r="G42" s="22">
        <v>2</v>
      </c>
      <c r="H42" s="24">
        <f t="shared" si="0"/>
        <v>9</v>
      </c>
      <c r="I42" s="24">
        <f t="shared" si="1"/>
        <v>1.8</v>
      </c>
      <c r="J42" s="24" t="str">
        <f t="shared" si="2"/>
        <v>Kurang Mandiri</v>
      </c>
      <c r="K42" s="12"/>
    </row>
    <row r="43" spans="1:11">
      <c r="A43" s="23">
        <v>39</v>
      </c>
      <c r="B43" s="24" t="s">
        <v>91</v>
      </c>
      <c r="C43" s="22">
        <v>3</v>
      </c>
      <c r="D43" s="22">
        <v>2</v>
      </c>
      <c r="E43" s="22">
        <v>1</v>
      </c>
      <c r="F43" s="22">
        <v>2</v>
      </c>
      <c r="G43" s="22">
        <v>3</v>
      </c>
      <c r="H43" s="24">
        <f t="shared" si="0"/>
        <v>11</v>
      </c>
      <c r="I43" s="24">
        <f t="shared" si="1"/>
        <v>2.2000000000000002</v>
      </c>
      <c r="J43" s="24" t="str">
        <f t="shared" si="2"/>
        <v>Kurang Mandiri</v>
      </c>
      <c r="K43" s="12"/>
    </row>
    <row r="44" spans="1:11">
      <c r="A44" s="23">
        <v>40</v>
      </c>
      <c r="B44" s="24" t="s">
        <v>92</v>
      </c>
      <c r="C44" s="22">
        <v>3</v>
      </c>
      <c r="D44" s="22">
        <v>2</v>
      </c>
      <c r="E44" s="22">
        <v>1</v>
      </c>
      <c r="F44" s="22">
        <v>3</v>
      </c>
      <c r="G44" s="22">
        <v>2</v>
      </c>
      <c r="H44" s="24">
        <f t="shared" si="0"/>
        <v>11</v>
      </c>
      <c r="I44" s="24">
        <f t="shared" si="1"/>
        <v>2.2000000000000002</v>
      </c>
      <c r="J44" s="24" t="str">
        <f t="shared" si="2"/>
        <v>Kurang Mandiri</v>
      </c>
      <c r="K44" s="12"/>
    </row>
    <row r="45" spans="1:11">
      <c r="A45" s="23">
        <v>41</v>
      </c>
      <c r="B45" s="24" t="s">
        <v>93</v>
      </c>
      <c r="C45" s="22">
        <v>3</v>
      </c>
      <c r="D45" s="22">
        <v>2</v>
      </c>
      <c r="E45" s="22">
        <v>1</v>
      </c>
      <c r="F45" s="22">
        <v>2</v>
      </c>
      <c r="G45" s="22">
        <v>3</v>
      </c>
      <c r="H45" s="24">
        <f t="shared" si="0"/>
        <v>11</v>
      </c>
      <c r="I45" s="24">
        <f t="shared" si="1"/>
        <v>2.2000000000000002</v>
      </c>
      <c r="J45" s="24" t="str">
        <f t="shared" si="2"/>
        <v>Kurang Mandiri</v>
      </c>
      <c r="K45" s="12"/>
    </row>
    <row r="46" spans="1:11">
      <c r="A46" s="23">
        <v>42</v>
      </c>
      <c r="B46" s="24" t="s">
        <v>94</v>
      </c>
      <c r="C46" s="22">
        <v>3</v>
      </c>
      <c r="D46" s="22">
        <v>2</v>
      </c>
      <c r="E46" s="22">
        <v>3</v>
      </c>
      <c r="F46" s="22">
        <v>2</v>
      </c>
      <c r="G46" s="22">
        <v>2</v>
      </c>
      <c r="H46" s="24">
        <f t="shared" si="0"/>
        <v>12</v>
      </c>
      <c r="I46" s="24">
        <f t="shared" si="1"/>
        <v>2.4</v>
      </c>
      <c r="J46" s="24" t="str">
        <f t="shared" si="2"/>
        <v>Kurang Mandiri</v>
      </c>
      <c r="K46" s="12"/>
    </row>
    <row r="47" spans="1:11">
      <c r="A47" s="23">
        <v>43</v>
      </c>
      <c r="B47" s="24" t="s">
        <v>95</v>
      </c>
      <c r="C47" s="22">
        <v>3</v>
      </c>
      <c r="D47" s="22">
        <v>2</v>
      </c>
      <c r="E47" s="22">
        <v>1</v>
      </c>
      <c r="F47" s="22">
        <v>3</v>
      </c>
      <c r="G47" s="22">
        <v>2</v>
      </c>
      <c r="H47" s="24">
        <f t="shared" si="0"/>
        <v>11</v>
      </c>
      <c r="I47" s="24">
        <f t="shared" si="1"/>
        <v>2.2000000000000002</v>
      </c>
      <c r="J47" s="24" t="str">
        <f t="shared" si="2"/>
        <v>Kurang Mandiri</v>
      </c>
      <c r="K47" s="12"/>
    </row>
    <row r="48" spans="1:11">
      <c r="A48" s="23">
        <v>44</v>
      </c>
      <c r="B48" s="24" t="s">
        <v>96</v>
      </c>
      <c r="C48" s="22">
        <v>3</v>
      </c>
      <c r="D48" s="22">
        <v>1</v>
      </c>
      <c r="E48" s="22">
        <v>1</v>
      </c>
      <c r="F48" s="22">
        <v>2</v>
      </c>
      <c r="G48" s="22">
        <v>2</v>
      </c>
      <c r="H48" s="24">
        <f t="shared" si="0"/>
        <v>9</v>
      </c>
      <c r="I48" s="24">
        <f t="shared" si="1"/>
        <v>1.8</v>
      </c>
      <c r="J48" s="24" t="str">
        <f t="shared" si="2"/>
        <v>Kurang Mandiri</v>
      </c>
      <c r="K48" s="12"/>
    </row>
    <row r="49" spans="1:11">
      <c r="A49" s="23">
        <v>45</v>
      </c>
      <c r="B49" s="24" t="s">
        <v>97</v>
      </c>
      <c r="C49" s="22">
        <v>3</v>
      </c>
      <c r="D49" s="22">
        <v>2</v>
      </c>
      <c r="E49" s="22">
        <v>1</v>
      </c>
      <c r="F49" s="22">
        <v>2</v>
      </c>
      <c r="G49" s="22">
        <v>2</v>
      </c>
      <c r="H49" s="24">
        <f t="shared" si="0"/>
        <v>10</v>
      </c>
      <c r="I49" s="24">
        <f t="shared" si="1"/>
        <v>2</v>
      </c>
      <c r="J49" s="24" t="str">
        <f t="shared" si="2"/>
        <v>Kurang Mandiri</v>
      </c>
      <c r="K49" s="12"/>
    </row>
    <row r="50" spans="1:11">
      <c r="A50" s="25">
        <v>46</v>
      </c>
      <c r="B50" s="26" t="s">
        <v>98</v>
      </c>
      <c r="C50" s="22">
        <v>3</v>
      </c>
      <c r="D50" s="22">
        <v>3</v>
      </c>
      <c r="E50" s="22">
        <v>3</v>
      </c>
      <c r="F50" s="22">
        <v>3</v>
      </c>
      <c r="G50" s="22">
        <v>3</v>
      </c>
      <c r="H50" s="26">
        <f t="shared" si="0"/>
        <v>15</v>
      </c>
      <c r="I50" s="26">
        <f t="shared" si="1"/>
        <v>3</v>
      </c>
      <c r="J50" s="26" t="str">
        <f t="shared" si="2"/>
        <v>Mandiri</v>
      </c>
      <c r="K50" s="15"/>
    </row>
  </sheetData>
  <mergeCells count="2">
    <mergeCell ref="A1:K1"/>
    <mergeCell ref="A2:K2"/>
  </mergeCells>
  <conditionalFormatting sqref="C5:G5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5:G50" xr:uid="{00000000-0002-0000-0200-000000000000}">
      <formula1>"1,2,3,4"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workbookViewId="0">
      <selection sqref="A1:J1"/>
    </sheetView>
  </sheetViews>
  <sheetFormatPr defaultRowHeight="13.8"/>
  <cols>
    <col min="1" max="1" width="24" customWidth="1"/>
    <col min="2" max="2" width="18" customWidth="1"/>
    <col min="3" max="3" width="15" customWidth="1"/>
    <col min="4" max="4" width="23" customWidth="1"/>
    <col min="5" max="5" width="16" customWidth="1"/>
    <col min="6" max="6" width="24" customWidth="1"/>
    <col min="7" max="7" width="14" customWidth="1"/>
    <col min="8" max="8" width="16" customWidth="1"/>
    <col min="9" max="9" width="3" customWidth="1"/>
    <col min="10" max="17" width="12" customWidth="1"/>
  </cols>
  <sheetData>
    <row r="1" spans="1:10" ht="19.2" customHeight="1">
      <c r="A1" s="108" t="s">
        <v>118</v>
      </c>
      <c r="B1" s="108"/>
      <c r="C1" s="108"/>
      <c r="D1" s="108"/>
      <c r="E1" s="108"/>
      <c r="F1" s="108"/>
      <c r="G1" s="108"/>
      <c r="H1" s="108"/>
      <c r="I1" s="108"/>
      <c r="J1" s="108"/>
    </row>
    <row r="3" spans="1:10" ht="21.75" customHeight="1">
      <c r="A3" s="16" t="s">
        <v>119</v>
      </c>
      <c r="B3" s="18" t="s">
        <v>50</v>
      </c>
      <c r="D3" s="16" t="s">
        <v>120</v>
      </c>
      <c r="E3" s="18" t="s">
        <v>121</v>
      </c>
    </row>
    <row r="4" spans="1:10">
      <c r="A4" s="27" t="s">
        <v>9</v>
      </c>
      <c r="B4" s="29">
        <v>46</v>
      </c>
      <c r="D4" s="27" t="s">
        <v>122</v>
      </c>
      <c r="E4" s="29">
        <f>COUNT('Data Diagnostik'!J5:J50)</f>
        <v>46</v>
      </c>
    </row>
    <row r="5" spans="1:10">
      <c r="A5" s="27" t="s">
        <v>123</v>
      </c>
      <c r="B5" s="29" t="s">
        <v>124</v>
      </c>
      <c r="D5" s="27" t="s">
        <v>125</v>
      </c>
      <c r="E5" s="29">
        <f>IFERROR(ROUND(AVERAGE('Data Diagnostik'!J5:J50),2),"")</f>
        <v>39.86</v>
      </c>
    </row>
    <row r="6" spans="1:10">
      <c r="A6" s="27" t="s">
        <v>12</v>
      </c>
      <c r="B6" s="29">
        <v>75</v>
      </c>
      <c r="D6" s="27" t="s">
        <v>126</v>
      </c>
      <c r="E6" s="29">
        <f>COUNTIF('Data Diagnostik'!K5:K50,"Tuntas")</f>
        <v>5</v>
      </c>
    </row>
    <row r="7" spans="1:10">
      <c r="A7" s="28" t="s">
        <v>127</v>
      </c>
      <c r="B7" s="30">
        <v>24</v>
      </c>
      <c r="D7" s="27" t="s">
        <v>128</v>
      </c>
      <c r="E7" s="29">
        <f>COUNTIF('Data Diagnostik'!K5:K50,"Belum Tuntas")</f>
        <v>41</v>
      </c>
    </row>
    <row r="8" spans="1:10">
      <c r="D8" s="28" t="s">
        <v>129</v>
      </c>
      <c r="E8" s="31">
        <f>IF(E4=0,"",E6/E4)</f>
        <v>0.10869565217391304</v>
      </c>
    </row>
    <row r="10" spans="1:10" ht="21.75" customHeight="1">
      <c r="A10" s="16" t="s">
        <v>27</v>
      </c>
      <c r="B10" s="17" t="s">
        <v>130</v>
      </c>
      <c r="C10" s="17" t="s">
        <v>131</v>
      </c>
      <c r="D10" s="18" t="s">
        <v>132</v>
      </c>
      <c r="F10" s="16" t="s">
        <v>133</v>
      </c>
      <c r="G10" s="17" t="s">
        <v>50</v>
      </c>
      <c r="H10" s="18" t="s">
        <v>134</v>
      </c>
    </row>
    <row r="11" spans="1:10">
      <c r="A11" s="19" t="s">
        <v>28</v>
      </c>
      <c r="B11" s="24">
        <f>IFERROR(ROUND(AVERAGE('Data Diagnostik'!C5:C50),2),"")</f>
        <v>1.85</v>
      </c>
      <c r="C11" s="32">
        <f t="shared" ref="C11:C16" si="0">IF(B11="","",B11/4)</f>
        <v>0.46250000000000002</v>
      </c>
      <c r="D11" s="29" t="str">
        <f t="shared" ref="D11:D16" si="1">IF(B11="","",IF(B11&gt;=3.26,"Sangat Baik",IF(B11&gt;=2.51,"Baik",IF(B11&gt;=1.76,"Cukup","Perlu Bimbingan"))))</f>
        <v>Cukup</v>
      </c>
      <c r="F11" s="27" t="s">
        <v>135</v>
      </c>
      <c r="G11" s="24">
        <f>COUNT('Observasi Kemandirian'!I5:I50)</f>
        <v>46</v>
      </c>
      <c r="H11" s="29" t="s">
        <v>136</v>
      </c>
    </row>
    <row r="12" spans="1:10">
      <c r="A12" s="19" t="s">
        <v>44</v>
      </c>
      <c r="B12" s="24">
        <f>IFERROR(ROUND(AVERAGE('Data Diagnostik'!D5:D50),2),"")</f>
        <v>2.15</v>
      </c>
      <c r="C12" s="32">
        <f t="shared" si="0"/>
        <v>0.53749999999999998</v>
      </c>
      <c r="D12" s="29" t="str">
        <f t="shared" si="1"/>
        <v>Cukup</v>
      </c>
      <c r="F12" s="27" t="s">
        <v>137</v>
      </c>
      <c r="G12" s="24">
        <f>IFERROR(ROUND(AVERAGE('Observasi Kemandirian'!I5:I50),2),"")</f>
        <v>2.14</v>
      </c>
      <c r="H12" s="29" t="s">
        <v>138</v>
      </c>
    </row>
    <row r="13" spans="1:10">
      <c r="A13" s="19" t="s">
        <v>45</v>
      </c>
      <c r="B13" s="24">
        <f>IFERROR(ROUND(AVERAGE('Data Diagnostik'!E5:E50),2),"")</f>
        <v>1.63</v>
      </c>
      <c r="C13" s="32">
        <f t="shared" si="0"/>
        <v>0.40749999999999997</v>
      </c>
      <c r="D13" s="29" t="str">
        <f t="shared" si="1"/>
        <v>Perlu Bimbingan</v>
      </c>
      <c r="F13" s="27" t="s">
        <v>139</v>
      </c>
      <c r="G13" s="24">
        <f>COUNTIF('Observasi Kemandirian'!J5:J50,"Sangat Mandiri")</f>
        <v>0</v>
      </c>
      <c r="H13" s="34">
        <f>IF(G11=0,"",G13/G11)</f>
        <v>0</v>
      </c>
    </row>
    <row r="14" spans="1:10">
      <c r="A14" s="19" t="s">
        <v>46</v>
      </c>
      <c r="B14" s="24">
        <f>IFERROR(ROUND(AVERAGE('Data Diagnostik'!F5:F50),2),"")</f>
        <v>1.1299999999999999</v>
      </c>
      <c r="C14" s="32">
        <f t="shared" si="0"/>
        <v>0.28249999999999997</v>
      </c>
      <c r="D14" s="29" t="str">
        <f t="shared" si="1"/>
        <v>Perlu Bimbingan</v>
      </c>
      <c r="F14" s="27" t="s">
        <v>140</v>
      </c>
      <c r="G14" s="24">
        <f>COUNTIF('Observasi Kemandirian'!J5:J50,"Mandiri")</f>
        <v>4</v>
      </c>
      <c r="H14" s="34">
        <f>IF(G11=0,"",G14/G11)</f>
        <v>8.6956521739130432E-2</v>
      </c>
    </row>
    <row r="15" spans="1:10">
      <c r="A15" s="19" t="s">
        <v>47</v>
      </c>
      <c r="B15" s="24">
        <f>IFERROR(ROUND(AVERAGE('Data Diagnostik'!G5:G50),2),"")</f>
        <v>1.1100000000000001</v>
      </c>
      <c r="C15" s="32">
        <f t="shared" si="0"/>
        <v>0.27750000000000002</v>
      </c>
      <c r="D15" s="29" t="str">
        <f t="shared" si="1"/>
        <v>Perlu Bimbingan</v>
      </c>
      <c r="F15" s="27" t="s">
        <v>141</v>
      </c>
      <c r="G15" s="24">
        <f>COUNTIF('Observasi Kemandirian'!J5:J50,"Kurang Mandiri")</f>
        <v>42</v>
      </c>
      <c r="H15" s="34">
        <f>IF(G11=0,"",G15/G11)</f>
        <v>0.91304347826086951</v>
      </c>
    </row>
    <row r="16" spans="1:10">
      <c r="A16" s="20" t="s">
        <v>48</v>
      </c>
      <c r="B16" s="26">
        <f>IFERROR(ROUND(AVERAGE('Data Diagnostik'!H5:H50),2),"")</f>
        <v>1.7</v>
      </c>
      <c r="C16" s="33">
        <f t="shared" si="0"/>
        <v>0.42499999999999999</v>
      </c>
      <c r="D16" s="30" t="str">
        <f t="shared" si="1"/>
        <v>Perlu Bimbingan</v>
      </c>
      <c r="F16" s="28" t="s">
        <v>142</v>
      </c>
      <c r="G16" s="26">
        <f>COUNTIF('Observasi Kemandirian'!J5:J50,"Belum Mandiri")</f>
        <v>0</v>
      </c>
      <c r="H16" s="31">
        <f>IF(G11=0,"",G16/G11)</f>
        <v>0</v>
      </c>
    </row>
    <row r="18" spans="1:11" ht="21.75" customHeight="1">
      <c r="J18" s="16" t="s">
        <v>143</v>
      </c>
      <c r="K18" s="18" t="s">
        <v>144</v>
      </c>
    </row>
    <row r="19" spans="1:11" ht="21.75" customHeight="1">
      <c r="J19" s="35" t="s">
        <v>126</v>
      </c>
      <c r="K19" s="4">
        <f>E6</f>
        <v>5</v>
      </c>
    </row>
    <row r="20" spans="1:11" ht="21.75" customHeight="1">
      <c r="J20" s="35" t="s">
        <v>128</v>
      </c>
      <c r="K20" s="6">
        <f>E7</f>
        <v>41</v>
      </c>
    </row>
    <row r="21" spans="1:11" ht="21.75" customHeight="1">
      <c r="J21" s="37"/>
      <c r="K21" s="36"/>
    </row>
    <row r="22" spans="1:11">
      <c r="A22" s="110" t="s">
        <v>145</v>
      </c>
      <c r="B22" s="110"/>
      <c r="C22" s="110"/>
      <c r="D22" s="110"/>
      <c r="E22" s="110"/>
      <c r="F22" s="110"/>
      <c r="G22" s="110"/>
      <c r="H22" s="110"/>
      <c r="I22" s="110"/>
      <c r="J22" s="116" t="s">
        <v>126</v>
      </c>
    </row>
    <row r="23" spans="1:11">
      <c r="A23" s="117" t="s">
        <v>146</v>
      </c>
      <c r="B23" s="118"/>
      <c r="C23" s="118"/>
      <c r="D23" s="118"/>
      <c r="E23" s="118"/>
      <c r="F23" s="118"/>
      <c r="G23" s="118"/>
      <c r="H23" s="118"/>
      <c r="I23" s="118"/>
      <c r="J23" s="119" t="s">
        <v>128</v>
      </c>
    </row>
    <row r="24" spans="1:11">
      <c r="A24" s="120"/>
      <c r="B24" s="121"/>
      <c r="C24" s="121"/>
      <c r="D24" s="121"/>
      <c r="E24" s="121"/>
      <c r="F24" s="121"/>
      <c r="G24" s="121"/>
      <c r="H24" s="121"/>
      <c r="I24" s="121"/>
      <c r="J24" s="122"/>
    </row>
    <row r="25" spans="1:11">
      <c r="A25" s="120"/>
      <c r="B25" s="121"/>
      <c r="C25" s="121"/>
      <c r="D25" s="121"/>
      <c r="E25" s="121"/>
      <c r="F25" s="121"/>
      <c r="G25" s="121"/>
      <c r="H25" s="121"/>
      <c r="I25" s="121"/>
      <c r="J25" s="122"/>
    </row>
    <row r="26" spans="1:11">
      <c r="A26" s="120"/>
      <c r="B26" s="121"/>
      <c r="C26" s="121"/>
      <c r="D26" s="121"/>
      <c r="E26" s="121"/>
      <c r="F26" s="121"/>
      <c r="G26" s="121"/>
      <c r="H26" s="121"/>
      <c r="I26" s="121"/>
      <c r="J26" s="122"/>
    </row>
    <row r="27" spans="1:11">
      <c r="A27" s="123"/>
      <c r="B27" s="124"/>
      <c r="C27" s="124"/>
      <c r="D27" s="124"/>
      <c r="E27" s="124"/>
      <c r="F27" s="124"/>
      <c r="G27" s="124"/>
      <c r="H27" s="124"/>
      <c r="I27" s="124"/>
      <c r="J27" s="125"/>
    </row>
  </sheetData>
  <mergeCells count="3">
    <mergeCell ref="A1:J1"/>
    <mergeCell ref="A22:J22"/>
    <mergeCell ref="A23:J27"/>
  </mergeCells>
  <conditionalFormatting sqref="B11:C1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pane ySplit="3" topLeftCell="A7" activePane="bottomLeft" state="frozen"/>
      <selection pane="bottomLeft" sqref="A1:E1"/>
    </sheetView>
  </sheetViews>
  <sheetFormatPr defaultRowHeight="13.8"/>
  <cols>
    <col min="1" max="1" width="23" customWidth="1"/>
    <col min="2" max="2" width="16" customWidth="1"/>
    <col min="3" max="3" width="4" customWidth="1"/>
    <col min="4" max="4" width="17" customWidth="1"/>
    <col min="5" max="5" width="50" customWidth="1"/>
  </cols>
  <sheetData>
    <row r="1" spans="1:5" ht="28.05" customHeight="1">
      <c r="A1" s="130" t="s">
        <v>147</v>
      </c>
      <c r="B1" s="130"/>
      <c r="C1" s="130"/>
      <c r="D1" s="130"/>
      <c r="E1" s="130"/>
    </row>
    <row r="2" spans="1:5">
      <c r="A2" s="45"/>
      <c r="B2" s="45"/>
      <c r="C2" s="45"/>
      <c r="D2" s="45"/>
      <c r="E2" s="45"/>
    </row>
    <row r="3" spans="1:5" ht="30" customHeight="1">
      <c r="A3" s="46" t="s">
        <v>148</v>
      </c>
      <c r="B3" s="46" t="s">
        <v>50</v>
      </c>
      <c r="C3" s="45"/>
      <c r="D3" s="46" t="s">
        <v>149</v>
      </c>
      <c r="E3" s="46" t="s">
        <v>134</v>
      </c>
    </row>
    <row r="4" spans="1:5">
      <c r="A4" s="47" t="s">
        <v>150</v>
      </c>
      <c r="B4" s="48">
        <v>46</v>
      </c>
      <c r="C4" s="45"/>
      <c r="D4" s="47" t="s">
        <v>151</v>
      </c>
      <c r="E4" s="49" t="s">
        <v>152</v>
      </c>
    </row>
    <row r="5" spans="1:5" ht="26.4">
      <c r="A5" s="50" t="s">
        <v>12</v>
      </c>
      <c r="B5" s="51">
        <v>75</v>
      </c>
      <c r="C5" s="45"/>
      <c r="D5" s="50" t="s">
        <v>153</v>
      </c>
      <c r="E5" s="52" t="s">
        <v>154</v>
      </c>
    </row>
    <row r="6" spans="1:5" ht="26.4">
      <c r="A6" s="50" t="s">
        <v>155</v>
      </c>
      <c r="B6" s="51">
        <v>24</v>
      </c>
      <c r="C6" s="45"/>
      <c r="D6" s="50" t="s">
        <v>156</v>
      </c>
      <c r="E6" s="52" t="s">
        <v>157</v>
      </c>
    </row>
    <row r="7" spans="1:5" ht="26.4">
      <c r="A7" s="50" t="s">
        <v>158</v>
      </c>
      <c r="B7" s="53">
        <v>0.7</v>
      </c>
      <c r="C7" s="45"/>
      <c r="D7" s="50" t="s">
        <v>159</v>
      </c>
      <c r="E7" s="52" t="s">
        <v>160</v>
      </c>
    </row>
    <row r="8" spans="1:5" ht="26.4">
      <c r="A8" s="50" t="s">
        <v>161</v>
      </c>
      <c r="B8" s="53">
        <v>0.8</v>
      </c>
      <c r="C8" s="45"/>
      <c r="D8" s="50" t="s">
        <v>162</v>
      </c>
      <c r="E8" s="52" t="s">
        <v>163</v>
      </c>
    </row>
    <row r="9" spans="1:5" ht="26.4">
      <c r="A9" s="50" t="s">
        <v>164</v>
      </c>
      <c r="B9" s="54">
        <v>2.5</v>
      </c>
      <c r="C9" s="45"/>
      <c r="D9" s="50" t="s">
        <v>165</v>
      </c>
      <c r="E9" s="52" t="s">
        <v>166</v>
      </c>
    </row>
    <row r="10" spans="1:5" ht="26.4">
      <c r="A10" s="50" t="s">
        <v>167</v>
      </c>
      <c r="B10" s="54">
        <v>2.5</v>
      </c>
      <c r="C10" s="45"/>
      <c r="D10" s="55" t="s">
        <v>168</v>
      </c>
      <c r="E10" s="56" t="s">
        <v>169</v>
      </c>
    </row>
    <row r="11" spans="1:5">
      <c r="A11" s="50" t="s">
        <v>170</v>
      </c>
      <c r="B11" s="54">
        <v>4</v>
      </c>
      <c r="C11" s="45"/>
      <c r="D11" s="45"/>
      <c r="E11" s="45"/>
    </row>
    <row r="12" spans="1:5">
      <c r="A12" s="50" t="s">
        <v>171</v>
      </c>
      <c r="B12" s="54">
        <v>3.5</v>
      </c>
      <c r="C12" s="45"/>
      <c r="D12" s="45"/>
      <c r="E12" s="45"/>
    </row>
    <row r="13" spans="1:5">
      <c r="A13" s="50" t="s">
        <v>172</v>
      </c>
      <c r="B13" s="54">
        <v>2.5</v>
      </c>
      <c r="C13" s="45"/>
      <c r="D13" s="45"/>
      <c r="E13" s="45"/>
    </row>
    <row r="14" spans="1:5">
      <c r="A14" s="50" t="s">
        <v>173</v>
      </c>
      <c r="B14" s="54">
        <v>1.5</v>
      </c>
      <c r="C14" s="45"/>
      <c r="D14" s="45"/>
      <c r="E14" s="45"/>
    </row>
    <row r="15" spans="1:5">
      <c r="A15" s="55" t="s">
        <v>174</v>
      </c>
      <c r="B15" s="57">
        <v>4</v>
      </c>
      <c r="C15" s="45"/>
      <c r="D15" s="45"/>
      <c r="E15" s="45"/>
    </row>
    <row r="16" spans="1:5">
      <c r="A16" s="45"/>
      <c r="B16" s="45"/>
      <c r="C16" s="45"/>
      <c r="D16" s="45"/>
      <c r="E16" s="45"/>
    </row>
    <row r="17" spans="1:5" ht="30" customHeight="1">
      <c r="A17" s="131" t="s">
        <v>175</v>
      </c>
      <c r="B17" s="131"/>
      <c r="C17" s="131"/>
      <c r="D17" s="131"/>
      <c r="E17" s="131"/>
    </row>
    <row r="18" spans="1:5">
      <c r="A18" s="47" t="s">
        <v>7</v>
      </c>
      <c r="B18" s="132" t="s">
        <v>176</v>
      </c>
      <c r="C18" s="132"/>
      <c r="D18" s="132"/>
      <c r="E18" s="133"/>
    </row>
    <row r="19" spans="1:5">
      <c r="A19" s="50" t="s">
        <v>10</v>
      </c>
      <c r="B19" s="126" t="s">
        <v>177</v>
      </c>
      <c r="C19" s="126"/>
      <c r="D19" s="126"/>
      <c r="E19" s="127"/>
    </row>
    <row r="20" spans="1:5">
      <c r="A20" s="50" t="s">
        <v>13</v>
      </c>
      <c r="B20" s="126" t="s">
        <v>178</v>
      </c>
      <c r="C20" s="126"/>
      <c r="D20" s="126"/>
      <c r="E20" s="127"/>
    </row>
    <row r="21" spans="1:5">
      <c r="A21" s="50" t="s">
        <v>17</v>
      </c>
      <c r="B21" s="126" t="s">
        <v>179</v>
      </c>
      <c r="C21" s="126"/>
      <c r="D21" s="126"/>
      <c r="E21" s="127"/>
    </row>
    <row r="22" spans="1:5">
      <c r="A22" s="50" t="s">
        <v>180</v>
      </c>
      <c r="B22" s="126" t="s">
        <v>181</v>
      </c>
      <c r="C22" s="126"/>
      <c r="D22" s="126"/>
      <c r="E22" s="127"/>
    </row>
    <row r="23" spans="1:5">
      <c r="A23" s="55" t="s">
        <v>52</v>
      </c>
      <c r="B23" s="128" t="s">
        <v>182</v>
      </c>
      <c r="C23" s="128"/>
      <c r="D23" s="128"/>
      <c r="E23" s="129"/>
    </row>
  </sheetData>
  <mergeCells count="8">
    <mergeCell ref="B21:E21"/>
    <mergeCell ref="B22:E22"/>
    <mergeCell ref="B23:E23"/>
    <mergeCell ref="A1:E1"/>
    <mergeCell ref="A17:E17"/>
    <mergeCell ref="B18:E18"/>
    <mergeCell ref="B19:E19"/>
    <mergeCell ref="B20:E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zoomScale="9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9" sqref="A29"/>
    </sheetView>
  </sheetViews>
  <sheetFormatPr defaultRowHeight="13.8"/>
  <cols>
    <col min="1" max="1" width="6" customWidth="1"/>
    <col min="2" max="2" width="16" customWidth="1"/>
    <col min="3" max="3" width="15" customWidth="1"/>
    <col min="4" max="10" width="12" customWidth="1"/>
    <col min="11" max="11" width="11" customWidth="1"/>
    <col min="12" max="12" width="16" customWidth="1"/>
    <col min="13" max="13" width="17" customWidth="1"/>
    <col min="14" max="14" width="26" customWidth="1"/>
  </cols>
  <sheetData>
    <row r="1" spans="1:14" ht="28.05" customHeight="1">
      <c r="A1" s="134" t="s">
        <v>183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14" ht="14.4">
      <c r="A2" s="135" t="s">
        <v>184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</row>
    <row r="4" spans="1:14" ht="30" customHeight="1">
      <c r="A4" s="58" t="s">
        <v>42</v>
      </c>
      <c r="B4" s="58" t="s">
        <v>43</v>
      </c>
      <c r="C4" s="58" t="s">
        <v>185</v>
      </c>
      <c r="D4" s="58" t="s">
        <v>28</v>
      </c>
      <c r="E4" s="58" t="s">
        <v>44</v>
      </c>
      <c r="F4" s="58" t="s">
        <v>45</v>
      </c>
      <c r="G4" s="58" t="s">
        <v>46</v>
      </c>
      <c r="H4" s="58" t="s">
        <v>47</v>
      </c>
      <c r="I4" s="58" t="s">
        <v>48</v>
      </c>
      <c r="J4" s="58" t="s">
        <v>49</v>
      </c>
      <c r="K4" s="58" t="s">
        <v>50</v>
      </c>
      <c r="L4" s="58" t="s">
        <v>51</v>
      </c>
      <c r="M4" s="58" t="s">
        <v>186</v>
      </c>
      <c r="N4" s="58" t="s">
        <v>52</v>
      </c>
    </row>
    <row r="5" spans="1:14">
      <c r="A5" s="152">
        <v>1</v>
      </c>
      <c r="B5" s="60" t="s">
        <v>53</v>
      </c>
      <c r="C5" s="60" t="s">
        <v>227</v>
      </c>
      <c r="D5" s="60">
        <v>3</v>
      </c>
      <c r="E5" s="60">
        <v>3</v>
      </c>
      <c r="F5" s="60">
        <v>3</v>
      </c>
      <c r="G5" s="60">
        <v>3</v>
      </c>
      <c r="H5" s="60">
        <v>3</v>
      </c>
      <c r="I5" s="60">
        <v>3</v>
      </c>
      <c r="J5" s="60">
        <f t="shared" ref="J5:J50" si="0">IF(AND(C5="Hadir",COUNT(D5:I5)=6),SUM(D5:I5),"")</f>
        <v>18</v>
      </c>
      <c r="K5" s="61">
        <f>IF(J5="","",ROUND(J5/'Petunjuk Siklus I'!$B$6*100,2))</f>
        <v>75</v>
      </c>
      <c r="L5" s="60" t="str">
        <f>IF(K5="","",IF(K5&gt;='Petunjuk Siklus I'!$B$5,"Tuntas","Belum Tuntas"))</f>
        <v>Tuntas</v>
      </c>
      <c r="M5" s="60" t="str">
        <f t="shared" ref="M5:M50" si="1">IF(C5="","",IF(C5="Hadir",IF(COUNT(D5:I5)=6,"Lengkap","Belum Lengkap"),"Tidak Dianalisis"))</f>
        <v>Lengkap</v>
      </c>
      <c r="N5" s="68"/>
    </row>
    <row r="6" spans="1:14">
      <c r="A6" s="62">
        <v>2</v>
      </c>
      <c r="B6" s="63" t="s">
        <v>54</v>
      </c>
      <c r="C6" s="60" t="s">
        <v>227</v>
      </c>
      <c r="D6" s="63">
        <v>4</v>
      </c>
      <c r="E6" s="63">
        <v>3</v>
      </c>
      <c r="F6" s="63">
        <v>4</v>
      </c>
      <c r="G6" s="63">
        <v>1</v>
      </c>
      <c r="H6" s="63">
        <v>4</v>
      </c>
      <c r="I6" s="63">
        <v>4</v>
      </c>
      <c r="J6" s="63">
        <f t="shared" si="0"/>
        <v>20</v>
      </c>
      <c r="K6" s="64">
        <f>IF(J6="","",ROUND(J6/'Petunjuk Siklus I'!$B$6*100,2))</f>
        <v>83.33</v>
      </c>
      <c r="L6" s="63" t="str">
        <f>IF(K6="","",IF(K6&gt;='Petunjuk Siklus I'!$B$5,"Tuntas","Belum Tuntas"))</f>
        <v>Tuntas</v>
      </c>
      <c r="M6" s="63" t="str">
        <f t="shared" si="1"/>
        <v>Lengkap</v>
      </c>
      <c r="N6" s="69"/>
    </row>
    <row r="7" spans="1:14">
      <c r="A7" s="62">
        <v>3</v>
      </c>
      <c r="B7" s="63" t="s">
        <v>55</v>
      </c>
      <c r="C7" s="60" t="s">
        <v>227</v>
      </c>
      <c r="D7" s="63">
        <v>4</v>
      </c>
      <c r="E7" s="63">
        <v>3</v>
      </c>
      <c r="F7" s="63">
        <v>3</v>
      </c>
      <c r="G7" s="63">
        <v>3</v>
      </c>
      <c r="H7" s="63">
        <v>2</v>
      </c>
      <c r="I7" s="63">
        <v>0</v>
      </c>
      <c r="J7" s="63">
        <f t="shared" si="0"/>
        <v>15</v>
      </c>
      <c r="K7" s="64">
        <f>IF(J7="","",ROUND(J7/'Petunjuk Siklus I'!$B$6*100,2))</f>
        <v>62.5</v>
      </c>
      <c r="L7" s="63" t="str">
        <f>IF(K7="","",IF(K7&gt;='Petunjuk Siklus I'!$B$5,"Tuntas","Belum Tuntas"))</f>
        <v>Belum Tuntas</v>
      </c>
      <c r="M7" s="63" t="str">
        <f t="shared" si="1"/>
        <v>Lengkap</v>
      </c>
      <c r="N7" s="69"/>
    </row>
    <row r="8" spans="1:14">
      <c r="A8" s="151">
        <v>4</v>
      </c>
      <c r="B8" s="63" t="s">
        <v>56</v>
      </c>
      <c r="C8" s="60" t="s">
        <v>227</v>
      </c>
      <c r="D8" s="63">
        <v>3</v>
      </c>
      <c r="E8" s="63">
        <v>3</v>
      </c>
      <c r="F8" s="63">
        <v>3</v>
      </c>
      <c r="G8" s="63">
        <v>3</v>
      </c>
      <c r="H8" s="63">
        <v>3</v>
      </c>
      <c r="I8" s="63">
        <v>3</v>
      </c>
      <c r="J8" s="63">
        <f t="shared" si="0"/>
        <v>18</v>
      </c>
      <c r="K8" s="64">
        <f>IF(J8="","",ROUND(J8/'Petunjuk Siklus I'!$B$6*100,2))</f>
        <v>75</v>
      </c>
      <c r="L8" s="63" t="str">
        <f>IF(K8="","",IF(K8&gt;='Petunjuk Siklus I'!$B$5,"Tuntas","Belum Tuntas"))</f>
        <v>Tuntas</v>
      </c>
      <c r="M8" s="63" t="str">
        <f t="shared" si="1"/>
        <v>Lengkap</v>
      </c>
      <c r="N8" s="69"/>
    </row>
    <row r="9" spans="1:14">
      <c r="A9" s="62">
        <v>5</v>
      </c>
      <c r="B9" s="63" t="s">
        <v>57</v>
      </c>
      <c r="C9" s="60" t="s">
        <v>227</v>
      </c>
      <c r="D9" s="63">
        <v>4</v>
      </c>
      <c r="E9" s="63">
        <v>4</v>
      </c>
      <c r="F9" s="63">
        <v>4</v>
      </c>
      <c r="G9" s="63">
        <v>4</v>
      </c>
      <c r="H9" s="63">
        <v>4</v>
      </c>
      <c r="I9" s="63">
        <v>4</v>
      </c>
      <c r="J9" s="63">
        <f t="shared" si="0"/>
        <v>24</v>
      </c>
      <c r="K9" s="64">
        <f>IF(J9="","",ROUND(J9/'Petunjuk Siklus I'!$B$6*100,2))</f>
        <v>100</v>
      </c>
      <c r="L9" s="63" t="str">
        <f>IF(K9="","",IF(K9&gt;='Petunjuk Siklus I'!$B$5,"Tuntas","Belum Tuntas"))</f>
        <v>Tuntas</v>
      </c>
      <c r="M9" s="63" t="str">
        <f t="shared" si="1"/>
        <v>Lengkap</v>
      </c>
      <c r="N9" s="69"/>
    </row>
    <row r="10" spans="1:14">
      <c r="A10" s="62">
        <v>6</v>
      </c>
      <c r="B10" s="63" t="s">
        <v>58</v>
      </c>
      <c r="C10" s="60" t="s">
        <v>227</v>
      </c>
      <c r="D10" s="63">
        <v>4</v>
      </c>
      <c r="E10" s="63">
        <v>3</v>
      </c>
      <c r="F10" s="63">
        <v>3</v>
      </c>
      <c r="G10" s="63">
        <v>1</v>
      </c>
      <c r="H10" s="63">
        <v>3</v>
      </c>
      <c r="I10" s="63">
        <v>4</v>
      </c>
      <c r="J10" s="63">
        <f t="shared" si="0"/>
        <v>18</v>
      </c>
      <c r="K10" s="64">
        <f>IF(J10="","",ROUND(J10/'Petunjuk Siklus I'!$B$6*100,2))</f>
        <v>75</v>
      </c>
      <c r="L10" s="63" t="str">
        <f>IF(K10="","",IF(K10&gt;='Petunjuk Siklus I'!$B$5,"Tuntas","Belum Tuntas"))</f>
        <v>Tuntas</v>
      </c>
      <c r="M10" s="63" t="str">
        <f t="shared" si="1"/>
        <v>Lengkap</v>
      </c>
      <c r="N10" s="69"/>
    </row>
    <row r="11" spans="1:14">
      <c r="A11" s="151">
        <v>7</v>
      </c>
      <c r="B11" s="63" t="s">
        <v>59</v>
      </c>
      <c r="C11" s="60" t="s">
        <v>227</v>
      </c>
      <c r="D11" s="63">
        <v>3</v>
      </c>
      <c r="E11" s="63">
        <v>3</v>
      </c>
      <c r="F11" s="63">
        <v>3</v>
      </c>
      <c r="G11" s="63">
        <v>3</v>
      </c>
      <c r="H11" s="63">
        <v>3</v>
      </c>
      <c r="I11" s="63">
        <v>3</v>
      </c>
      <c r="J11" s="63">
        <f t="shared" si="0"/>
        <v>18</v>
      </c>
      <c r="K11" s="64">
        <f>IF(J11="","",ROUND(J11/'Petunjuk Siklus I'!$B$6*100,2))</f>
        <v>75</v>
      </c>
      <c r="L11" s="63" t="str">
        <f>IF(K11="","",IF(K11&gt;='Petunjuk Siklus I'!$B$5,"Tuntas","Belum Tuntas"))</f>
        <v>Tuntas</v>
      </c>
      <c r="M11" s="63" t="str">
        <f t="shared" si="1"/>
        <v>Lengkap</v>
      </c>
      <c r="N11" s="69"/>
    </row>
    <row r="12" spans="1:14">
      <c r="A12" s="62">
        <v>8</v>
      </c>
      <c r="B12" s="63" t="s">
        <v>60</v>
      </c>
      <c r="C12" s="60" t="s">
        <v>227</v>
      </c>
      <c r="D12" s="63">
        <v>4</v>
      </c>
      <c r="E12" s="63">
        <v>4</v>
      </c>
      <c r="F12" s="63">
        <v>1</v>
      </c>
      <c r="G12" s="63">
        <v>1</v>
      </c>
      <c r="H12" s="63">
        <v>0</v>
      </c>
      <c r="I12" s="63">
        <v>4</v>
      </c>
      <c r="J12" s="63">
        <f t="shared" si="0"/>
        <v>14</v>
      </c>
      <c r="K12" s="64">
        <f>IF(J12="","",ROUND(J12/'Petunjuk Siklus I'!$B$6*100,2))</f>
        <v>58.33</v>
      </c>
      <c r="L12" s="63" t="str">
        <f>IF(K12="","",IF(K12&gt;='Petunjuk Siklus I'!$B$5,"Tuntas","Belum Tuntas"))</f>
        <v>Belum Tuntas</v>
      </c>
      <c r="M12" s="63" t="str">
        <f t="shared" si="1"/>
        <v>Lengkap</v>
      </c>
      <c r="N12" s="69"/>
    </row>
    <row r="13" spans="1:14">
      <c r="A13" s="62">
        <v>9</v>
      </c>
      <c r="B13" s="63" t="s">
        <v>61</v>
      </c>
      <c r="C13" s="60" t="s">
        <v>227</v>
      </c>
      <c r="D13" s="63">
        <v>4</v>
      </c>
      <c r="E13" s="63">
        <v>4</v>
      </c>
      <c r="F13" s="63">
        <v>4</v>
      </c>
      <c r="G13" s="63">
        <v>3</v>
      </c>
      <c r="H13" s="63">
        <v>4</v>
      </c>
      <c r="I13" s="63">
        <v>4</v>
      </c>
      <c r="J13" s="63">
        <f t="shared" si="0"/>
        <v>23</v>
      </c>
      <c r="K13" s="64">
        <f>IF(J13="","",ROUND(J13/'Petunjuk Siklus I'!$B$6*100,2))</f>
        <v>95.83</v>
      </c>
      <c r="L13" s="63" t="str">
        <f>IF(K13="","",IF(K13&gt;='Petunjuk Siklus I'!$B$5,"Tuntas","Belum Tuntas"))</f>
        <v>Tuntas</v>
      </c>
      <c r="M13" s="63" t="str">
        <f t="shared" si="1"/>
        <v>Lengkap</v>
      </c>
      <c r="N13" s="69"/>
    </row>
    <row r="14" spans="1:14">
      <c r="A14" s="62">
        <v>10</v>
      </c>
      <c r="B14" s="63" t="s">
        <v>62</v>
      </c>
      <c r="C14" s="60" t="s">
        <v>227</v>
      </c>
      <c r="D14" s="63">
        <v>4</v>
      </c>
      <c r="E14" s="63">
        <v>4</v>
      </c>
      <c r="F14" s="63">
        <v>3</v>
      </c>
      <c r="G14" s="63">
        <v>3</v>
      </c>
      <c r="H14" s="63">
        <v>0</v>
      </c>
      <c r="I14" s="63">
        <v>0</v>
      </c>
      <c r="J14" s="63">
        <f t="shared" si="0"/>
        <v>14</v>
      </c>
      <c r="K14" s="64">
        <f>IF(J14="","",ROUND(J14/'Petunjuk Siklus I'!$B$6*100,2))</f>
        <v>58.33</v>
      </c>
      <c r="L14" s="63" t="str">
        <f>IF(K14="","",IF(K14&gt;='Petunjuk Siklus I'!$B$5,"Tuntas","Belum Tuntas"))</f>
        <v>Belum Tuntas</v>
      </c>
      <c r="M14" s="63" t="str">
        <f t="shared" si="1"/>
        <v>Lengkap</v>
      </c>
      <c r="N14" s="69"/>
    </row>
    <row r="15" spans="1:14">
      <c r="A15" s="62">
        <v>11</v>
      </c>
      <c r="B15" s="63" t="s">
        <v>63</v>
      </c>
      <c r="C15" s="60" t="s">
        <v>227</v>
      </c>
      <c r="D15" s="63">
        <v>4</v>
      </c>
      <c r="E15" s="63">
        <v>2</v>
      </c>
      <c r="F15" s="63">
        <v>4</v>
      </c>
      <c r="G15" s="63">
        <v>4</v>
      </c>
      <c r="H15" s="63">
        <v>0</v>
      </c>
      <c r="I15" s="63">
        <v>0</v>
      </c>
      <c r="J15" s="63">
        <f t="shared" si="0"/>
        <v>14</v>
      </c>
      <c r="K15" s="64">
        <f>IF(J15="","",ROUND(J15/'Petunjuk Siklus I'!$B$6*100,2))</f>
        <v>58.33</v>
      </c>
      <c r="L15" s="63" t="str">
        <f>IF(K15="","",IF(K15&gt;='Petunjuk Siklus I'!$B$5,"Tuntas","Belum Tuntas"))</f>
        <v>Belum Tuntas</v>
      </c>
      <c r="M15" s="63" t="str">
        <f t="shared" si="1"/>
        <v>Lengkap</v>
      </c>
      <c r="N15" s="69"/>
    </row>
    <row r="16" spans="1:14">
      <c r="A16" s="62">
        <v>12</v>
      </c>
      <c r="B16" s="63" t="s">
        <v>64</v>
      </c>
      <c r="C16" s="60" t="s">
        <v>227</v>
      </c>
      <c r="D16" s="63">
        <v>4</v>
      </c>
      <c r="E16" s="63">
        <v>4</v>
      </c>
      <c r="F16" s="63">
        <v>4</v>
      </c>
      <c r="G16" s="63">
        <v>3</v>
      </c>
      <c r="H16" s="63">
        <v>4</v>
      </c>
      <c r="I16" s="63">
        <v>0</v>
      </c>
      <c r="J16" s="63">
        <f t="shared" si="0"/>
        <v>19</v>
      </c>
      <c r="K16" s="64">
        <f>IF(J16="","",ROUND(J16/'Petunjuk Siklus I'!$B$6*100,2))</f>
        <v>79.17</v>
      </c>
      <c r="L16" s="63" t="str">
        <f>IF(K16="","",IF(K16&gt;='Petunjuk Siklus I'!$B$5,"Tuntas","Belum Tuntas"))</f>
        <v>Tuntas</v>
      </c>
      <c r="M16" s="63" t="str">
        <f t="shared" si="1"/>
        <v>Lengkap</v>
      </c>
      <c r="N16" s="69"/>
    </row>
    <row r="17" spans="1:14">
      <c r="A17" s="62">
        <v>13</v>
      </c>
      <c r="B17" s="63" t="s">
        <v>65</v>
      </c>
      <c r="C17" s="60" t="s">
        <v>227</v>
      </c>
      <c r="D17" s="63">
        <v>4</v>
      </c>
      <c r="E17" s="63">
        <v>3</v>
      </c>
      <c r="F17" s="63">
        <v>4</v>
      </c>
      <c r="G17" s="63">
        <v>4</v>
      </c>
      <c r="H17" s="63">
        <v>4</v>
      </c>
      <c r="I17" s="63">
        <v>0</v>
      </c>
      <c r="J17" s="63">
        <f t="shared" si="0"/>
        <v>19</v>
      </c>
      <c r="K17" s="64">
        <f>IF(J17="","",ROUND(J17/'Petunjuk Siklus I'!$B$6*100,2))</f>
        <v>79.17</v>
      </c>
      <c r="L17" s="63" t="str">
        <f>IF(K17="","",IF(K17&gt;='Petunjuk Siklus I'!$B$5,"Tuntas","Belum Tuntas"))</f>
        <v>Tuntas</v>
      </c>
      <c r="M17" s="63" t="str">
        <f t="shared" si="1"/>
        <v>Lengkap</v>
      </c>
      <c r="N17" s="69"/>
    </row>
    <row r="18" spans="1:14">
      <c r="A18" s="62">
        <v>14</v>
      </c>
      <c r="B18" s="63" t="s">
        <v>66</v>
      </c>
      <c r="C18" s="60" t="s">
        <v>227</v>
      </c>
      <c r="D18" s="63">
        <v>3</v>
      </c>
      <c r="E18" s="63">
        <v>3</v>
      </c>
      <c r="F18" s="63">
        <v>4</v>
      </c>
      <c r="G18" s="63">
        <v>3</v>
      </c>
      <c r="H18" s="63">
        <v>0</v>
      </c>
      <c r="I18" s="63">
        <v>0</v>
      </c>
      <c r="J18" s="63">
        <f t="shared" si="0"/>
        <v>13</v>
      </c>
      <c r="K18" s="64">
        <f>IF(J18="","",ROUND(J18/'Petunjuk Siklus I'!$B$6*100,2))</f>
        <v>54.17</v>
      </c>
      <c r="L18" s="63" t="str">
        <f>IF(K18="","",IF(K18&gt;='Petunjuk Siklus I'!$B$5,"Tuntas","Belum Tuntas"))</f>
        <v>Belum Tuntas</v>
      </c>
      <c r="M18" s="63" t="str">
        <f t="shared" si="1"/>
        <v>Lengkap</v>
      </c>
      <c r="N18" s="69"/>
    </row>
    <row r="19" spans="1:14">
      <c r="A19" s="62">
        <v>15</v>
      </c>
      <c r="B19" s="63" t="s">
        <v>67</v>
      </c>
      <c r="C19" s="60" t="s">
        <v>227</v>
      </c>
      <c r="D19" s="63">
        <v>4</v>
      </c>
      <c r="E19" s="63">
        <v>4</v>
      </c>
      <c r="F19" s="63">
        <v>4</v>
      </c>
      <c r="G19" s="63">
        <v>3</v>
      </c>
      <c r="H19" s="63">
        <v>4</v>
      </c>
      <c r="I19" s="63">
        <v>4</v>
      </c>
      <c r="J19" s="63">
        <f t="shared" si="0"/>
        <v>23</v>
      </c>
      <c r="K19" s="64">
        <f>IF(J19="","",ROUND(J19/'Petunjuk Siklus I'!$B$6*100,2))</f>
        <v>95.83</v>
      </c>
      <c r="L19" s="63" t="str">
        <f>IF(K19="","",IF(K19&gt;='Petunjuk Siklus I'!$B$5,"Tuntas","Belum Tuntas"))</f>
        <v>Tuntas</v>
      </c>
      <c r="M19" s="63" t="str">
        <f t="shared" si="1"/>
        <v>Lengkap</v>
      </c>
      <c r="N19" s="69"/>
    </row>
    <row r="20" spans="1:14">
      <c r="A20" s="62">
        <v>16</v>
      </c>
      <c r="B20" s="63" t="s">
        <v>68</v>
      </c>
      <c r="C20" s="60" t="s">
        <v>227</v>
      </c>
      <c r="D20" s="63">
        <v>3</v>
      </c>
      <c r="E20" s="63">
        <v>2</v>
      </c>
      <c r="F20" s="63">
        <v>4</v>
      </c>
      <c r="G20" s="63">
        <v>1</v>
      </c>
      <c r="H20" s="63">
        <v>3</v>
      </c>
      <c r="I20" s="63">
        <v>4</v>
      </c>
      <c r="J20" s="63">
        <f t="shared" si="0"/>
        <v>17</v>
      </c>
      <c r="K20" s="64">
        <f>IF(J20="","",ROUND(J20/'Petunjuk Siklus I'!$B$6*100,2))</f>
        <v>70.83</v>
      </c>
      <c r="L20" s="63" t="str">
        <f>IF(K20="","",IF(K20&gt;='Petunjuk Siklus I'!$B$5,"Tuntas","Belum Tuntas"))</f>
        <v>Belum Tuntas</v>
      </c>
      <c r="M20" s="63" t="str">
        <f t="shared" si="1"/>
        <v>Lengkap</v>
      </c>
      <c r="N20" s="69"/>
    </row>
    <row r="21" spans="1:14">
      <c r="A21" s="62">
        <v>17</v>
      </c>
      <c r="B21" s="63" t="s">
        <v>69</v>
      </c>
      <c r="C21" s="60" t="s">
        <v>227</v>
      </c>
      <c r="D21" s="63">
        <v>4</v>
      </c>
      <c r="E21" s="63">
        <v>4</v>
      </c>
      <c r="F21" s="63">
        <v>4</v>
      </c>
      <c r="G21" s="63">
        <v>2</v>
      </c>
      <c r="H21" s="63">
        <v>1</v>
      </c>
      <c r="I21" s="63">
        <v>1</v>
      </c>
      <c r="J21" s="63">
        <f t="shared" si="0"/>
        <v>16</v>
      </c>
      <c r="K21" s="64">
        <f>IF(J21="","",ROUND(J21/'Petunjuk Siklus I'!$B$6*100,2))</f>
        <v>66.67</v>
      </c>
      <c r="L21" s="63" t="str">
        <f>IF(K21="","",IF(K21&gt;='Petunjuk Siklus I'!$B$5,"Tuntas","Belum Tuntas"))</f>
        <v>Belum Tuntas</v>
      </c>
      <c r="M21" s="63" t="str">
        <f t="shared" si="1"/>
        <v>Lengkap</v>
      </c>
      <c r="N21" s="69"/>
    </row>
    <row r="22" spans="1:14">
      <c r="A22" s="62">
        <v>18</v>
      </c>
      <c r="B22" s="63" t="s">
        <v>70</v>
      </c>
      <c r="C22" s="60" t="s">
        <v>227</v>
      </c>
      <c r="D22" s="63">
        <v>4</v>
      </c>
      <c r="E22" s="63">
        <v>4</v>
      </c>
      <c r="F22" s="63">
        <v>4</v>
      </c>
      <c r="G22" s="63">
        <v>2</v>
      </c>
      <c r="H22" s="63">
        <v>4</v>
      </c>
      <c r="I22" s="63">
        <v>0</v>
      </c>
      <c r="J22" s="63">
        <f t="shared" si="0"/>
        <v>18</v>
      </c>
      <c r="K22" s="64">
        <f>IF(J22="","",ROUND(J22/'Petunjuk Siklus I'!$B$6*100,2))</f>
        <v>75</v>
      </c>
      <c r="L22" s="63" t="str">
        <f>IF(K22="","",IF(K22&gt;='Petunjuk Siklus I'!$B$5,"Tuntas","Belum Tuntas"))</f>
        <v>Tuntas</v>
      </c>
      <c r="M22" s="63" t="str">
        <f t="shared" si="1"/>
        <v>Lengkap</v>
      </c>
      <c r="N22" s="69"/>
    </row>
    <row r="23" spans="1:14">
      <c r="A23" s="62">
        <v>19</v>
      </c>
      <c r="B23" s="63" t="s">
        <v>71</v>
      </c>
      <c r="C23" s="60" t="s">
        <v>232</v>
      </c>
      <c r="D23" s="63">
        <v>3</v>
      </c>
      <c r="E23" s="63">
        <v>3</v>
      </c>
      <c r="F23" s="63">
        <v>3</v>
      </c>
      <c r="G23" s="63">
        <v>3</v>
      </c>
      <c r="H23" s="63">
        <v>3</v>
      </c>
      <c r="I23" s="63">
        <v>3</v>
      </c>
      <c r="J23" s="63" t="str">
        <f t="shared" si="0"/>
        <v/>
      </c>
      <c r="K23" s="64" t="str">
        <f>IF(J23="","",ROUND(J23/'Petunjuk Siklus I'!$B$6*100,2))</f>
        <v/>
      </c>
      <c r="L23" s="63" t="str">
        <f>IF(K23="","",IF(K23&gt;='Petunjuk Siklus I'!$B$5,"Tuntas","Belum Tuntas"))</f>
        <v/>
      </c>
      <c r="M23" s="63" t="str">
        <f t="shared" si="1"/>
        <v>Tidak Dianalisis</v>
      </c>
      <c r="N23" s="69"/>
    </row>
    <row r="24" spans="1:14">
      <c r="A24" s="62">
        <v>20</v>
      </c>
      <c r="B24" s="63" t="s">
        <v>72</v>
      </c>
      <c r="C24" s="60" t="s">
        <v>227</v>
      </c>
      <c r="D24" s="63">
        <v>1</v>
      </c>
      <c r="E24" s="63">
        <v>1</v>
      </c>
      <c r="F24" s="63">
        <v>2</v>
      </c>
      <c r="G24" s="63">
        <v>1</v>
      </c>
      <c r="H24" s="63">
        <v>2</v>
      </c>
      <c r="I24" s="63">
        <v>2</v>
      </c>
      <c r="J24" s="63">
        <f t="shared" si="0"/>
        <v>9</v>
      </c>
      <c r="K24" s="64">
        <f>IF(J24="","",ROUND(J24/'Petunjuk Siklus I'!$B$6*100,2))</f>
        <v>37.5</v>
      </c>
      <c r="L24" s="63" t="str">
        <f>IF(K24="","",IF(K24&gt;='Petunjuk Siklus I'!$B$5,"Tuntas","Belum Tuntas"))</f>
        <v>Belum Tuntas</v>
      </c>
      <c r="M24" s="63" t="str">
        <f t="shared" si="1"/>
        <v>Lengkap</v>
      </c>
      <c r="N24" s="69"/>
    </row>
    <row r="25" spans="1:14">
      <c r="A25" s="62">
        <v>21</v>
      </c>
      <c r="B25" s="63" t="s">
        <v>73</v>
      </c>
      <c r="C25" s="60" t="s">
        <v>227</v>
      </c>
      <c r="D25" s="63">
        <v>4</v>
      </c>
      <c r="E25" s="63">
        <v>4</v>
      </c>
      <c r="F25" s="63">
        <v>4</v>
      </c>
      <c r="G25" s="63">
        <v>3</v>
      </c>
      <c r="H25" s="63">
        <v>4</v>
      </c>
      <c r="I25" s="63">
        <v>4</v>
      </c>
      <c r="J25" s="63">
        <f t="shared" si="0"/>
        <v>23</v>
      </c>
      <c r="K25" s="64">
        <f>IF(J25="","",ROUND(J25/'Petunjuk Siklus I'!$B$6*100,2))</f>
        <v>95.83</v>
      </c>
      <c r="L25" s="63" t="str">
        <f>IF(K25="","",IF(K25&gt;='Petunjuk Siklus I'!$B$5,"Tuntas","Belum Tuntas"))</f>
        <v>Tuntas</v>
      </c>
      <c r="M25" s="63" t="str">
        <f t="shared" si="1"/>
        <v>Lengkap</v>
      </c>
      <c r="N25" s="69"/>
    </row>
    <row r="26" spans="1:14">
      <c r="A26" s="62">
        <v>22</v>
      </c>
      <c r="B26" s="63" t="s">
        <v>74</v>
      </c>
      <c r="C26" s="60" t="s">
        <v>232</v>
      </c>
      <c r="D26" s="63">
        <v>4</v>
      </c>
      <c r="E26" s="63">
        <v>4</v>
      </c>
      <c r="F26" s="63">
        <v>4</v>
      </c>
      <c r="G26" s="63">
        <v>1</v>
      </c>
      <c r="H26" s="63">
        <v>4</v>
      </c>
      <c r="I26" s="63">
        <v>4</v>
      </c>
      <c r="J26" s="63" t="str">
        <f t="shared" si="0"/>
        <v/>
      </c>
      <c r="K26" s="64" t="str">
        <f>IF(J26="","",ROUND(J26/'Petunjuk Siklus I'!$B$6*100,2))</f>
        <v/>
      </c>
      <c r="L26" s="63" t="str">
        <f>IF(K26="","",IF(K26&gt;='Petunjuk Siklus I'!$B$5,"Tuntas","Belum Tuntas"))</f>
        <v/>
      </c>
      <c r="M26" s="63" t="str">
        <f t="shared" si="1"/>
        <v>Tidak Dianalisis</v>
      </c>
      <c r="N26" s="69"/>
    </row>
    <row r="27" spans="1:14">
      <c r="A27" s="62">
        <v>23</v>
      </c>
      <c r="B27" s="63" t="s">
        <v>75</v>
      </c>
      <c r="C27" s="60" t="s">
        <v>227</v>
      </c>
      <c r="D27" s="63">
        <v>4</v>
      </c>
      <c r="E27" s="63">
        <v>4</v>
      </c>
      <c r="F27" s="63">
        <v>4</v>
      </c>
      <c r="G27" s="63">
        <v>4</v>
      </c>
      <c r="H27" s="63">
        <v>4</v>
      </c>
      <c r="I27" s="63">
        <v>4</v>
      </c>
      <c r="J27" s="63">
        <f t="shared" si="0"/>
        <v>24</v>
      </c>
      <c r="K27" s="64">
        <f>IF(J27="","",ROUND(J27/'Petunjuk Siklus I'!$B$6*100,2))</f>
        <v>100</v>
      </c>
      <c r="L27" s="63" t="str">
        <f>IF(K27="","",IF(K27&gt;='Petunjuk Siklus I'!$B$5,"Tuntas","Belum Tuntas"))</f>
        <v>Tuntas</v>
      </c>
      <c r="M27" s="63" t="str">
        <f t="shared" si="1"/>
        <v>Lengkap</v>
      </c>
      <c r="N27" s="69"/>
    </row>
    <row r="28" spans="1:14">
      <c r="A28" s="62">
        <v>24</v>
      </c>
      <c r="B28" s="63" t="s">
        <v>76</v>
      </c>
      <c r="C28" s="63" t="s">
        <v>227</v>
      </c>
      <c r="D28" s="63">
        <v>4</v>
      </c>
      <c r="E28" s="63">
        <v>3</v>
      </c>
      <c r="F28" s="63">
        <v>3</v>
      </c>
      <c r="G28" s="63">
        <v>1</v>
      </c>
      <c r="H28" s="63">
        <v>4</v>
      </c>
      <c r="I28" s="63">
        <v>3</v>
      </c>
      <c r="J28" s="63">
        <f t="shared" si="0"/>
        <v>18</v>
      </c>
      <c r="K28" s="64">
        <f>IF(J28="","",ROUND(J28/'Petunjuk Siklus I'!$B$6*100,2))</f>
        <v>75</v>
      </c>
      <c r="L28" s="63" t="str">
        <f>IF(K28="","",IF(K28&gt;='Petunjuk Siklus I'!$B$5,"Tuntas","Belum Tuntas"))</f>
        <v>Tuntas</v>
      </c>
      <c r="M28" s="63" t="str">
        <f t="shared" si="1"/>
        <v>Lengkap</v>
      </c>
      <c r="N28" s="69"/>
    </row>
    <row r="29" spans="1:14">
      <c r="A29" s="153">
        <v>25</v>
      </c>
      <c r="B29" s="63" t="s">
        <v>77</v>
      </c>
      <c r="C29" s="63" t="s">
        <v>227</v>
      </c>
      <c r="D29" s="63">
        <v>3</v>
      </c>
      <c r="E29" s="63">
        <v>4</v>
      </c>
      <c r="F29" s="63">
        <v>4</v>
      </c>
      <c r="G29" s="63">
        <v>3</v>
      </c>
      <c r="H29" s="63">
        <v>3</v>
      </c>
      <c r="I29" s="63">
        <v>2</v>
      </c>
      <c r="J29" s="63">
        <f t="shared" si="0"/>
        <v>19</v>
      </c>
      <c r="K29" s="64">
        <f>IF(J29="","",ROUND(J29/'Petunjuk Siklus I'!$B$6*100,2))</f>
        <v>79.17</v>
      </c>
      <c r="L29" s="63" t="str">
        <f>IF(K29="","",IF(K29&gt;='Petunjuk Siklus I'!$B$5,"Tuntas","Belum Tuntas"))</f>
        <v>Tuntas</v>
      </c>
      <c r="M29" s="63" t="str">
        <f t="shared" si="1"/>
        <v>Lengkap</v>
      </c>
      <c r="N29" s="69"/>
    </row>
    <row r="30" spans="1:14">
      <c r="A30" s="62">
        <v>26</v>
      </c>
      <c r="B30" s="63" t="s">
        <v>78</v>
      </c>
      <c r="C30" s="63" t="s">
        <v>227</v>
      </c>
      <c r="D30" s="63">
        <v>4</v>
      </c>
      <c r="E30" s="63">
        <v>4</v>
      </c>
      <c r="F30" s="63">
        <v>4</v>
      </c>
      <c r="G30" s="63">
        <v>1</v>
      </c>
      <c r="H30" s="63">
        <v>4</v>
      </c>
      <c r="I30" s="63">
        <v>4</v>
      </c>
      <c r="J30" s="63">
        <f t="shared" si="0"/>
        <v>21</v>
      </c>
      <c r="K30" s="64">
        <f>IF(J30="","",ROUND(J30/'Petunjuk Siklus I'!$B$6*100,2))</f>
        <v>87.5</v>
      </c>
      <c r="L30" s="63" t="str">
        <f>IF(K30="","",IF(K30&gt;='Petunjuk Siklus I'!$B$5,"Tuntas","Belum Tuntas"))</f>
        <v>Tuntas</v>
      </c>
      <c r="M30" s="63" t="str">
        <f t="shared" si="1"/>
        <v>Lengkap</v>
      </c>
      <c r="N30" s="69"/>
    </row>
    <row r="31" spans="1:14">
      <c r="A31" s="62">
        <v>27</v>
      </c>
      <c r="B31" s="63" t="s">
        <v>79</v>
      </c>
      <c r="C31" s="63" t="s">
        <v>227</v>
      </c>
      <c r="D31" s="63">
        <v>4</v>
      </c>
      <c r="E31" s="63">
        <v>4</v>
      </c>
      <c r="F31" s="63">
        <v>4</v>
      </c>
      <c r="G31" s="63">
        <v>1</v>
      </c>
      <c r="H31" s="63">
        <v>4</v>
      </c>
      <c r="I31" s="63">
        <v>4</v>
      </c>
      <c r="J31" s="63">
        <f t="shared" si="0"/>
        <v>21</v>
      </c>
      <c r="K31" s="64">
        <f>IF(J31="","",ROUND(J31/'Petunjuk Siklus I'!$B$6*100,2))</f>
        <v>87.5</v>
      </c>
      <c r="L31" s="63" t="str">
        <f>IF(K31="","",IF(K31&gt;='Petunjuk Siklus I'!$B$5,"Tuntas","Belum Tuntas"))</f>
        <v>Tuntas</v>
      </c>
      <c r="M31" s="63" t="str">
        <f t="shared" si="1"/>
        <v>Lengkap</v>
      </c>
      <c r="N31" s="69"/>
    </row>
    <row r="32" spans="1:14">
      <c r="A32" s="62">
        <v>28</v>
      </c>
      <c r="B32" s="63" t="s">
        <v>80</v>
      </c>
      <c r="C32" s="63" t="s">
        <v>227</v>
      </c>
      <c r="D32" s="63">
        <v>4</v>
      </c>
      <c r="E32" s="63">
        <v>4</v>
      </c>
      <c r="F32" s="63">
        <v>4</v>
      </c>
      <c r="G32" s="63">
        <v>4</v>
      </c>
      <c r="H32" s="63">
        <v>4</v>
      </c>
      <c r="I32" s="63">
        <v>4</v>
      </c>
      <c r="J32" s="63">
        <f t="shared" si="0"/>
        <v>24</v>
      </c>
      <c r="K32" s="64">
        <f>IF(J32="","",ROUND(J32/'Petunjuk Siklus I'!$B$6*100,2))</f>
        <v>100</v>
      </c>
      <c r="L32" s="63" t="str">
        <f>IF(K32="","",IF(K32&gt;='Petunjuk Siklus I'!$B$5,"Tuntas","Belum Tuntas"))</f>
        <v>Tuntas</v>
      </c>
      <c r="M32" s="63" t="str">
        <f t="shared" si="1"/>
        <v>Lengkap</v>
      </c>
      <c r="N32" s="69"/>
    </row>
    <row r="33" spans="1:14">
      <c r="A33" s="62">
        <v>29</v>
      </c>
      <c r="B33" s="63" t="s">
        <v>81</v>
      </c>
      <c r="C33" s="63" t="s">
        <v>228</v>
      </c>
      <c r="D33" s="63"/>
      <c r="E33" s="63"/>
      <c r="F33" s="63"/>
      <c r="G33" s="63"/>
      <c r="H33" s="63"/>
      <c r="I33" s="63"/>
      <c r="J33" s="63" t="str">
        <f t="shared" si="0"/>
        <v/>
      </c>
      <c r="K33" s="64" t="str">
        <f>IF(J33="","",ROUND(J33/'Petunjuk Siklus I'!$B$6*100,2))</f>
        <v/>
      </c>
      <c r="L33" s="63" t="str">
        <f>IF(K33="","",IF(K33&gt;='Petunjuk Siklus I'!$B$5,"Tuntas","Belum Tuntas"))</f>
        <v/>
      </c>
      <c r="M33" s="63" t="str">
        <f t="shared" si="1"/>
        <v>Tidak Dianalisis</v>
      </c>
      <c r="N33" s="69"/>
    </row>
    <row r="34" spans="1:14">
      <c r="A34" s="62">
        <v>30</v>
      </c>
      <c r="B34" s="63" t="s">
        <v>82</v>
      </c>
      <c r="C34" s="63" t="s">
        <v>228</v>
      </c>
      <c r="D34" s="63"/>
      <c r="E34" s="63"/>
      <c r="F34" s="63"/>
      <c r="G34" s="63"/>
      <c r="H34" s="63"/>
      <c r="I34" s="63"/>
      <c r="J34" s="63" t="str">
        <f t="shared" si="0"/>
        <v/>
      </c>
      <c r="K34" s="64" t="str">
        <f>IF(J34="","",ROUND(J34/'Petunjuk Siklus I'!$B$6*100,2))</f>
        <v/>
      </c>
      <c r="L34" s="63" t="str">
        <f>IF(K34="","",IF(K34&gt;='Petunjuk Siklus I'!$B$5,"Tuntas","Belum Tuntas"))</f>
        <v/>
      </c>
      <c r="M34" s="63" t="str">
        <f t="shared" si="1"/>
        <v>Tidak Dianalisis</v>
      </c>
      <c r="N34" s="69"/>
    </row>
    <row r="35" spans="1:14">
      <c r="A35" s="62">
        <v>31</v>
      </c>
      <c r="B35" s="63" t="s">
        <v>83</v>
      </c>
      <c r="C35" s="63" t="s">
        <v>227</v>
      </c>
      <c r="D35" s="63">
        <v>4</v>
      </c>
      <c r="E35" s="63">
        <v>4</v>
      </c>
      <c r="F35" s="63">
        <v>4</v>
      </c>
      <c r="G35" s="63">
        <v>3</v>
      </c>
      <c r="H35" s="63">
        <v>4</v>
      </c>
      <c r="I35" s="63">
        <v>0</v>
      </c>
      <c r="J35" s="63">
        <f t="shared" si="0"/>
        <v>19</v>
      </c>
      <c r="K35" s="64">
        <f>IF(J35="","",ROUND(J35/'Petunjuk Siklus I'!$B$6*100,2))</f>
        <v>79.17</v>
      </c>
      <c r="L35" s="63" t="str">
        <f>IF(K35="","",IF(K35&gt;='Petunjuk Siklus I'!$B$5,"Tuntas","Belum Tuntas"))</f>
        <v>Tuntas</v>
      </c>
      <c r="M35" s="63" t="str">
        <f t="shared" si="1"/>
        <v>Lengkap</v>
      </c>
      <c r="N35" s="69"/>
    </row>
    <row r="36" spans="1:14">
      <c r="A36" s="62">
        <v>32</v>
      </c>
      <c r="B36" s="63" t="s">
        <v>84</v>
      </c>
      <c r="C36" s="63" t="s">
        <v>227</v>
      </c>
      <c r="D36" s="63">
        <v>4</v>
      </c>
      <c r="E36" s="63">
        <v>4</v>
      </c>
      <c r="F36" s="63">
        <v>4</v>
      </c>
      <c r="G36" s="63">
        <v>3</v>
      </c>
      <c r="H36" s="63">
        <v>3</v>
      </c>
      <c r="I36" s="63">
        <v>4</v>
      </c>
      <c r="J36" s="63">
        <f t="shared" si="0"/>
        <v>22</v>
      </c>
      <c r="K36" s="64">
        <f>IF(J36="","",ROUND(J36/'Petunjuk Siklus I'!$B$6*100,2))</f>
        <v>91.67</v>
      </c>
      <c r="L36" s="63" t="str">
        <f>IF(K36="","",IF(K36&gt;='Petunjuk Siklus I'!$B$5,"Tuntas","Belum Tuntas"))</f>
        <v>Tuntas</v>
      </c>
      <c r="M36" s="63" t="str">
        <f t="shared" si="1"/>
        <v>Lengkap</v>
      </c>
      <c r="N36" s="69"/>
    </row>
    <row r="37" spans="1:14">
      <c r="A37" s="62">
        <v>33</v>
      </c>
      <c r="B37" s="63" t="s">
        <v>85</v>
      </c>
      <c r="C37" s="63" t="s">
        <v>232</v>
      </c>
      <c r="D37" s="63">
        <v>4</v>
      </c>
      <c r="E37" s="63">
        <v>4</v>
      </c>
      <c r="F37" s="63">
        <v>4</v>
      </c>
      <c r="G37" s="63">
        <v>1</v>
      </c>
      <c r="H37" s="63">
        <v>4</v>
      </c>
      <c r="I37" s="63">
        <v>4</v>
      </c>
      <c r="J37" s="63" t="str">
        <f t="shared" si="0"/>
        <v/>
      </c>
      <c r="K37" s="64" t="str">
        <f>IF(J37="","",ROUND(J37/'Petunjuk Siklus I'!$B$6*100,2))</f>
        <v/>
      </c>
      <c r="L37" s="63" t="str">
        <f>IF(K37="","",IF(K37&gt;='Petunjuk Siklus I'!$B$5,"Tuntas","Belum Tuntas"))</f>
        <v/>
      </c>
      <c r="M37" s="63" t="str">
        <f t="shared" si="1"/>
        <v>Tidak Dianalisis</v>
      </c>
      <c r="N37" s="69"/>
    </row>
    <row r="38" spans="1:14">
      <c r="A38" s="62">
        <v>34</v>
      </c>
      <c r="B38" s="63" t="s">
        <v>86</v>
      </c>
      <c r="C38" s="63" t="s">
        <v>227</v>
      </c>
      <c r="D38" s="63">
        <v>3</v>
      </c>
      <c r="E38" s="63">
        <v>3</v>
      </c>
      <c r="F38" s="63">
        <v>4</v>
      </c>
      <c r="G38" s="63">
        <v>2</v>
      </c>
      <c r="H38" s="63">
        <v>2</v>
      </c>
      <c r="I38" s="63">
        <v>0</v>
      </c>
      <c r="J38" s="63">
        <f t="shared" si="0"/>
        <v>14</v>
      </c>
      <c r="K38" s="64">
        <f>IF(J38="","",ROUND(J38/'Petunjuk Siklus I'!$B$6*100,2))</f>
        <v>58.33</v>
      </c>
      <c r="L38" s="63" t="str">
        <f>IF(K38="","",IF(K38&gt;='Petunjuk Siklus I'!$B$5,"Tuntas","Belum Tuntas"))</f>
        <v>Belum Tuntas</v>
      </c>
      <c r="M38" s="63" t="str">
        <f t="shared" si="1"/>
        <v>Lengkap</v>
      </c>
      <c r="N38" s="69"/>
    </row>
    <row r="39" spans="1:14">
      <c r="A39" s="62">
        <v>35</v>
      </c>
      <c r="B39" s="63" t="s">
        <v>87</v>
      </c>
      <c r="C39" s="63" t="s">
        <v>227</v>
      </c>
      <c r="D39" s="63">
        <v>4</v>
      </c>
      <c r="E39" s="63">
        <v>4</v>
      </c>
      <c r="F39" s="63">
        <v>4</v>
      </c>
      <c r="G39" s="63">
        <v>3</v>
      </c>
      <c r="H39" s="63">
        <v>4</v>
      </c>
      <c r="I39" s="63">
        <v>4</v>
      </c>
      <c r="J39" s="63">
        <f t="shared" si="0"/>
        <v>23</v>
      </c>
      <c r="K39" s="64">
        <f>IF(J39="","",ROUND(J39/'Petunjuk Siklus I'!$B$6*100,2))</f>
        <v>95.83</v>
      </c>
      <c r="L39" s="63" t="str">
        <f>IF(K39="","",IF(K39&gt;='Petunjuk Siklus I'!$B$5,"Tuntas","Belum Tuntas"))</f>
        <v>Tuntas</v>
      </c>
      <c r="M39" s="63" t="str">
        <f t="shared" si="1"/>
        <v>Lengkap</v>
      </c>
      <c r="N39" s="69"/>
    </row>
    <row r="40" spans="1:14">
      <c r="A40" s="62">
        <v>36</v>
      </c>
      <c r="B40" s="63" t="s">
        <v>88</v>
      </c>
      <c r="C40" s="63" t="s">
        <v>227</v>
      </c>
      <c r="D40" s="63">
        <v>4</v>
      </c>
      <c r="E40" s="63">
        <v>4</v>
      </c>
      <c r="F40" s="63">
        <v>4</v>
      </c>
      <c r="G40" s="63">
        <v>4</v>
      </c>
      <c r="H40" s="63">
        <v>3</v>
      </c>
      <c r="I40" s="63">
        <v>4</v>
      </c>
      <c r="J40" s="63">
        <f t="shared" si="0"/>
        <v>23</v>
      </c>
      <c r="K40" s="64">
        <f>IF(J40="","",ROUND(J40/'Petunjuk Siklus I'!$B$6*100,2))</f>
        <v>95.83</v>
      </c>
      <c r="L40" s="63" t="str">
        <f>IF(K40="","",IF(K40&gt;='Petunjuk Siklus I'!$B$5,"Tuntas","Belum Tuntas"))</f>
        <v>Tuntas</v>
      </c>
      <c r="M40" s="63" t="str">
        <f t="shared" si="1"/>
        <v>Lengkap</v>
      </c>
      <c r="N40" s="69"/>
    </row>
    <row r="41" spans="1:14">
      <c r="A41" s="62">
        <v>37</v>
      </c>
      <c r="B41" s="63" t="s">
        <v>89</v>
      </c>
      <c r="C41" s="63" t="s">
        <v>227</v>
      </c>
      <c r="D41" s="63">
        <v>4</v>
      </c>
      <c r="E41" s="63">
        <v>3</v>
      </c>
      <c r="F41" s="63">
        <v>4</v>
      </c>
      <c r="G41" s="63">
        <v>1</v>
      </c>
      <c r="H41" s="63">
        <v>3</v>
      </c>
      <c r="I41" s="63">
        <v>4</v>
      </c>
      <c r="J41" s="63">
        <f t="shared" si="0"/>
        <v>19</v>
      </c>
      <c r="K41" s="64">
        <f>IF(J41="","",ROUND(J41/'Petunjuk Siklus I'!$B$6*100,2))</f>
        <v>79.17</v>
      </c>
      <c r="L41" s="63" t="str">
        <f>IF(K41="","",IF(K41&gt;='Petunjuk Siklus I'!$B$5,"Tuntas","Belum Tuntas"))</f>
        <v>Tuntas</v>
      </c>
      <c r="M41" s="63" t="str">
        <f t="shared" si="1"/>
        <v>Lengkap</v>
      </c>
      <c r="N41" s="69"/>
    </row>
    <row r="42" spans="1:14">
      <c r="A42" s="62">
        <v>38</v>
      </c>
      <c r="B42" s="63" t="s">
        <v>90</v>
      </c>
      <c r="C42" s="63" t="s">
        <v>227</v>
      </c>
      <c r="D42" s="63">
        <v>4</v>
      </c>
      <c r="E42" s="63">
        <v>4</v>
      </c>
      <c r="F42" s="63">
        <v>4</v>
      </c>
      <c r="G42" s="63">
        <v>2</v>
      </c>
      <c r="H42" s="63">
        <v>0</v>
      </c>
      <c r="I42" s="63">
        <v>0</v>
      </c>
      <c r="J42" s="63">
        <f t="shared" si="0"/>
        <v>14</v>
      </c>
      <c r="K42" s="64">
        <f>IF(J42="","",ROUND(J42/'Petunjuk Siklus I'!$B$6*100,2))</f>
        <v>58.33</v>
      </c>
      <c r="L42" s="63" t="str">
        <f>IF(K42="","",IF(K42&gt;='Petunjuk Siklus I'!$B$5,"Tuntas","Belum Tuntas"))</f>
        <v>Belum Tuntas</v>
      </c>
      <c r="M42" s="63" t="str">
        <f t="shared" si="1"/>
        <v>Lengkap</v>
      </c>
      <c r="N42" s="69"/>
    </row>
    <row r="43" spans="1:14">
      <c r="A43" s="62">
        <v>39</v>
      </c>
      <c r="B43" s="63" t="s">
        <v>91</v>
      </c>
      <c r="C43" s="63" t="s">
        <v>227</v>
      </c>
      <c r="D43" s="63">
        <v>4</v>
      </c>
      <c r="E43" s="63">
        <v>4</v>
      </c>
      <c r="F43" s="63">
        <v>4</v>
      </c>
      <c r="G43" s="63">
        <v>4</v>
      </c>
      <c r="H43" s="63">
        <v>4</v>
      </c>
      <c r="I43" s="63">
        <v>4</v>
      </c>
      <c r="J43" s="63">
        <f t="shared" si="0"/>
        <v>24</v>
      </c>
      <c r="K43" s="64">
        <f>IF(J43="","",ROUND(J43/'Petunjuk Siklus I'!$B$6*100,2))</f>
        <v>100</v>
      </c>
      <c r="L43" s="63" t="str">
        <f>IF(K43="","",IF(K43&gt;='Petunjuk Siklus I'!$B$5,"Tuntas","Belum Tuntas"))</f>
        <v>Tuntas</v>
      </c>
      <c r="M43" s="63" t="str">
        <f t="shared" si="1"/>
        <v>Lengkap</v>
      </c>
      <c r="N43" s="69"/>
    </row>
    <row r="44" spans="1:14">
      <c r="A44" s="62">
        <v>40</v>
      </c>
      <c r="B44" s="63" t="s">
        <v>92</v>
      </c>
      <c r="C44" s="63" t="s">
        <v>227</v>
      </c>
      <c r="D44" s="63">
        <v>4</v>
      </c>
      <c r="E44" s="63">
        <v>4</v>
      </c>
      <c r="F44" s="63">
        <v>4</v>
      </c>
      <c r="G44" s="63">
        <v>3</v>
      </c>
      <c r="H44" s="63">
        <v>2</v>
      </c>
      <c r="I44" s="63">
        <v>2</v>
      </c>
      <c r="J44" s="63">
        <f t="shared" si="0"/>
        <v>19</v>
      </c>
      <c r="K44" s="64">
        <f>IF(J44="","",ROUND(J44/'Petunjuk Siklus I'!$B$6*100,2))</f>
        <v>79.17</v>
      </c>
      <c r="L44" s="63" t="str">
        <f>IF(K44="","",IF(K44&gt;='Petunjuk Siklus I'!$B$5,"Tuntas","Belum Tuntas"))</f>
        <v>Tuntas</v>
      </c>
      <c r="M44" s="63" t="str">
        <f t="shared" si="1"/>
        <v>Lengkap</v>
      </c>
      <c r="N44" s="69"/>
    </row>
    <row r="45" spans="1:14">
      <c r="A45" s="62">
        <v>41</v>
      </c>
      <c r="B45" s="63" t="s">
        <v>93</v>
      </c>
      <c r="C45" s="63" t="s">
        <v>227</v>
      </c>
      <c r="D45" s="63">
        <v>4</v>
      </c>
      <c r="E45" s="63">
        <v>4</v>
      </c>
      <c r="F45" s="63">
        <v>4</v>
      </c>
      <c r="G45" s="63">
        <v>2</v>
      </c>
      <c r="H45" s="63">
        <v>2</v>
      </c>
      <c r="I45" s="63">
        <v>2</v>
      </c>
      <c r="J45" s="63">
        <f t="shared" si="0"/>
        <v>18</v>
      </c>
      <c r="K45" s="64">
        <f>IF(J45="","",ROUND(J45/'Petunjuk Siklus I'!$B$6*100,2))</f>
        <v>75</v>
      </c>
      <c r="L45" s="63" t="str">
        <f>IF(K45="","",IF(K45&gt;='Petunjuk Siklus I'!$B$5,"Tuntas","Belum Tuntas"))</f>
        <v>Tuntas</v>
      </c>
      <c r="M45" s="63" t="str">
        <f t="shared" si="1"/>
        <v>Lengkap</v>
      </c>
      <c r="N45" s="69"/>
    </row>
    <row r="46" spans="1:14">
      <c r="A46" s="62">
        <v>42</v>
      </c>
      <c r="B46" s="63" t="s">
        <v>94</v>
      </c>
      <c r="C46" s="63" t="s">
        <v>227</v>
      </c>
      <c r="D46" s="63">
        <v>3</v>
      </c>
      <c r="E46" s="63">
        <v>4</v>
      </c>
      <c r="F46" s="63">
        <v>4</v>
      </c>
      <c r="G46" s="63">
        <v>3</v>
      </c>
      <c r="H46" s="63">
        <v>4</v>
      </c>
      <c r="I46" s="63">
        <v>4</v>
      </c>
      <c r="J46" s="63">
        <f t="shared" si="0"/>
        <v>22</v>
      </c>
      <c r="K46" s="64">
        <f>IF(J46="","",ROUND(J46/'Petunjuk Siklus I'!$B$6*100,2))</f>
        <v>91.67</v>
      </c>
      <c r="L46" s="63" t="str">
        <f>IF(K46="","",IF(K46&gt;='Petunjuk Siklus I'!$B$5,"Tuntas","Belum Tuntas"))</f>
        <v>Tuntas</v>
      </c>
      <c r="M46" s="63" t="str">
        <f t="shared" si="1"/>
        <v>Lengkap</v>
      </c>
      <c r="N46" s="69"/>
    </row>
    <row r="47" spans="1:14">
      <c r="A47" s="62">
        <v>43</v>
      </c>
      <c r="B47" s="63" t="s">
        <v>95</v>
      </c>
      <c r="C47" s="63" t="s">
        <v>227</v>
      </c>
      <c r="D47" s="63">
        <v>2</v>
      </c>
      <c r="E47" s="63">
        <v>2</v>
      </c>
      <c r="F47" s="63">
        <v>1</v>
      </c>
      <c r="G47" s="63">
        <v>2</v>
      </c>
      <c r="H47" s="63">
        <v>2</v>
      </c>
      <c r="I47" s="63">
        <v>1</v>
      </c>
      <c r="J47" s="63">
        <f t="shared" si="0"/>
        <v>10</v>
      </c>
      <c r="K47" s="64">
        <f>IF(J47="","",ROUND(J47/'Petunjuk Siklus I'!$B$6*100,2))</f>
        <v>41.67</v>
      </c>
      <c r="L47" s="63" t="str">
        <f>IF(K47="","",IF(K47&gt;='Petunjuk Siklus I'!$B$5,"Tuntas","Belum Tuntas"))</f>
        <v>Belum Tuntas</v>
      </c>
      <c r="M47" s="63" t="str">
        <f t="shared" si="1"/>
        <v>Lengkap</v>
      </c>
      <c r="N47" s="69"/>
    </row>
    <row r="48" spans="1:14">
      <c r="A48" s="151">
        <v>44</v>
      </c>
      <c r="B48" s="63" t="s">
        <v>96</v>
      </c>
      <c r="C48" s="63" t="s">
        <v>227</v>
      </c>
      <c r="D48" s="63">
        <v>3</v>
      </c>
      <c r="E48" s="63">
        <v>3</v>
      </c>
      <c r="F48" s="63">
        <v>3</v>
      </c>
      <c r="G48" s="63">
        <v>3</v>
      </c>
      <c r="H48" s="63">
        <v>3</v>
      </c>
      <c r="I48" s="63">
        <v>3</v>
      </c>
      <c r="J48" s="63">
        <f t="shared" si="0"/>
        <v>18</v>
      </c>
      <c r="K48" s="64">
        <f>IF(J48="","",ROUND(J48/'Petunjuk Siklus I'!$B$6*100,2))</f>
        <v>75</v>
      </c>
      <c r="L48" s="63" t="str">
        <f>IF(K48="","",IF(K48&gt;='Petunjuk Siklus I'!$B$5,"Tuntas","Belum Tuntas"))</f>
        <v>Tuntas</v>
      </c>
      <c r="M48" s="63" t="str">
        <f t="shared" si="1"/>
        <v>Lengkap</v>
      </c>
      <c r="N48" s="69"/>
    </row>
    <row r="49" spans="1:14">
      <c r="A49" s="62">
        <v>45</v>
      </c>
      <c r="B49" s="63" t="s">
        <v>97</v>
      </c>
      <c r="C49" s="63" t="s">
        <v>227</v>
      </c>
      <c r="D49" s="63">
        <v>4</v>
      </c>
      <c r="E49" s="63">
        <v>4</v>
      </c>
      <c r="F49" s="63">
        <v>4</v>
      </c>
      <c r="G49" s="63">
        <v>4</v>
      </c>
      <c r="H49" s="63">
        <v>4</v>
      </c>
      <c r="I49" s="63">
        <v>2</v>
      </c>
      <c r="J49" s="63">
        <f t="shared" si="0"/>
        <v>22</v>
      </c>
      <c r="K49" s="64">
        <f>IF(J49="","",ROUND(J49/'Petunjuk Siklus I'!$B$6*100,2))</f>
        <v>91.67</v>
      </c>
      <c r="L49" s="63" t="str">
        <f>IF(K49="","",IF(K49&gt;='Petunjuk Siklus I'!$B$5,"Tuntas","Belum Tuntas"))</f>
        <v>Tuntas</v>
      </c>
      <c r="M49" s="63" t="str">
        <f t="shared" si="1"/>
        <v>Lengkap</v>
      </c>
      <c r="N49" s="69"/>
    </row>
    <row r="50" spans="1:14">
      <c r="A50" s="65">
        <v>46</v>
      </c>
      <c r="B50" s="66" t="s">
        <v>98</v>
      </c>
      <c r="C50" s="63" t="s">
        <v>227</v>
      </c>
      <c r="D50" s="66">
        <v>3</v>
      </c>
      <c r="E50" s="66">
        <v>3</v>
      </c>
      <c r="F50" s="66">
        <v>4</v>
      </c>
      <c r="G50" s="66">
        <v>4</v>
      </c>
      <c r="H50" s="66">
        <v>4</v>
      </c>
      <c r="I50" s="66">
        <v>4</v>
      </c>
      <c r="J50" s="66">
        <f t="shared" si="0"/>
        <v>22</v>
      </c>
      <c r="K50" s="67">
        <f>IF(J50="","",ROUND(J50/'Petunjuk Siklus I'!$B$6*100,2))</f>
        <v>91.67</v>
      </c>
      <c r="L50" s="66" t="str">
        <f>IF(K50="","",IF(K50&gt;='Petunjuk Siklus I'!$B$5,"Tuntas","Belum Tuntas"))</f>
        <v>Tuntas</v>
      </c>
      <c r="M50" s="66" t="str">
        <f t="shared" si="1"/>
        <v>Lengkap</v>
      </c>
      <c r="N50" s="70"/>
    </row>
    <row r="52" spans="1:14">
      <c r="L52" t="s">
        <v>247</v>
      </c>
      <c r="M52">
        <f>COUNTIF(DataSiklusITable[Status Data],"Lengkap")</f>
        <v>41</v>
      </c>
    </row>
    <row r="53" spans="1:14">
      <c r="L53" t="s">
        <v>248</v>
      </c>
      <c r="M53">
        <f>COUNTIF(DataSiklusITable[Status Data],"Belum Lengkap")</f>
        <v>0</v>
      </c>
    </row>
    <row r="54" spans="1:14">
      <c r="L54" t="s">
        <v>249</v>
      </c>
      <c r="M54">
        <f>COUNTIF(DataSiklusITable[Status Data],"Tidak Dianalisis")</f>
        <v>5</v>
      </c>
    </row>
    <row r="55" spans="1:14">
      <c r="L55" t="s">
        <v>108</v>
      </c>
      <c r="M55">
        <f>SUM(M52:M54)</f>
        <v>46</v>
      </c>
    </row>
  </sheetData>
  <mergeCells count="2">
    <mergeCell ref="A1:N1"/>
    <mergeCell ref="A2:N2"/>
  </mergeCells>
  <conditionalFormatting sqref="D5:I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50">
    <cfRule type="expression" dxfId="33" priority="2">
      <formula>L5="Tuntas"</formula>
    </cfRule>
    <cfRule type="expression" dxfId="32" priority="3">
      <formula>L5="Belum Tuntas"</formula>
    </cfRule>
  </conditionalFormatting>
  <conditionalFormatting sqref="M5:M50">
    <cfRule type="expression" dxfId="31" priority="4">
      <formula>M5="Lengkap"</formula>
    </cfRule>
    <cfRule type="expression" dxfId="30" priority="5">
      <formula>M5="Tidak Dianalisis"</formula>
    </cfRule>
  </conditionalFormatting>
  <dataValidations count="2">
    <dataValidation type="list" sqref="C5:C50" xr:uid="{00000000-0002-0000-0500-000000000000}">
      <formula1>"Hadir,Sakit,Izin,Dispensasi,Alpa"</formula1>
    </dataValidation>
    <dataValidation type="list" sqref="D5:I50" xr:uid="{00000000-0002-0000-0500-000001000000}">
      <formula1>"1,2,3,4"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0"/>
  <sheetViews>
    <sheetView workbookViewId="0">
      <pane ySplit="4" topLeftCell="A29" activePane="bottomLeft" state="frozen"/>
      <selection pane="bottomLeft" activeCell="C5" sqref="C5:C50"/>
    </sheetView>
  </sheetViews>
  <sheetFormatPr defaultRowHeight="13.8"/>
  <cols>
    <col min="1" max="1" width="6" customWidth="1"/>
    <col min="2" max="2" width="16" customWidth="1"/>
    <col min="3" max="3" width="15" customWidth="1"/>
    <col min="4" max="8" width="8" customWidth="1"/>
    <col min="9" max="9" width="10" customWidth="1"/>
    <col min="10" max="10" width="11" customWidth="1"/>
    <col min="11" max="11" width="18" customWidth="1"/>
    <col min="12" max="12" width="17" customWidth="1"/>
    <col min="13" max="13" width="28" customWidth="1"/>
    <col min="15" max="15" width="8" customWidth="1"/>
    <col min="16" max="16" width="46" customWidth="1"/>
  </cols>
  <sheetData>
    <row r="1" spans="1:16" ht="28.05" customHeight="1">
      <c r="A1" s="134" t="s">
        <v>187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16" ht="14.4">
      <c r="A2" s="135" t="s">
        <v>188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</row>
    <row r="3" spans="1:16" ht="30" customHeight="1">
      <c r="O3" s="38" t="s">
        <v>26</v>
      </c>
      <c r="P3" s="38" t="s">
        <v>101</v>
      </c>
    </row>
    <row r="4" spans="1:16" ht="30" customHeight="1">
      <c r="A4" s="58" t="s">
        <v>42</v>
      </c>
      <c r="B4" s="58" t="s">
        <v>43</v>
      </c>
      <c r="C4" s="58" t="s">
        <v>185</v>
      </c>
      <c r="D4" s="58" t="s">
        <v>102</v>
      </c>
      <c r="E4" s="58" t="s">
        <v>104</v>
      </c>
      <c r="F4" s="58" t="s">
        <v>105</v>
      </c>
      <c r="G4" s="58" t="s">
        <v>106</v>
      </c>
      <c r="H4" s="58" t="s">
        <v>107</v>
      </c>
      <c r="I4" s="58" t="s">
        <v>108</v>
      </c>
      <c r="J4" s="58" t="s">
        <v>109</v>
      </c>
      <c r="K4" s="58" t="s">
        <v>110</v>
      </c>
      <c r="L4" s="58" t="s">
        <v>186</v>
      </c>
      <c r="M4" s="58" t="s">
        <v>111</v>
      </c>
      <c r="O4" s="39" t="s">
        <v>102</v>
      </c>
      <c r="P4" s="42" t="s">
        <v>103</v>
      </c>
    </row>
    <row r="5" spans="1:16">
      <c r="A5" s="59">
        <v>1</v>
      </c>
      <c r="B5" s="60" t="s">
        <v>53</v>
      </c>
      <c r="C5" s="60" t="s">
        <v>227</v>
      </c>
      <c r="D5" s="22">
        <v>4</v>
      </c>
      <c r="E5" s="22">
        <v>3</v>
      </c>
      <c r="F5" s="22">
        <v>2</v>
      </c>
      <c r="G5" s="22">
        <v>3</v>
      </c>
      <c r="H5" s="22">
        <v>3</v>
      </c>
      <c r="I5" s="60">
        <f t="shared" ref="I5:I50" si="0">IF(AND(C5="Hadir",COUNT(D5:H5)=5),SUM(D5:H5),"")</f>
        <v>15</v>
      </c>
      <c r="J5" s="60">
        <f t="shared" ref="J5:J50" si="1">IF(I5="","",ROUND(I5/5,2))</f>
        <v>3</v>
      </c>
      <c r="K5" s="60" t="str">
        <f>IF(J5="","",IF(J5&gt;='Petunjuk Siklus I'!$B$12,"Sangat Mandiri",IF(J5&gt;='Petunjuk Siklus I'!$B$13,"Mandiri",IF(J5&gt;='Petunjuk Siklus I'!$B$14,"Kurang Mandiri","Belum Mandiri"))))</f>
        <v>Mandiri</v>
      </c>
      <c r="L5" s="60" t="str">
        <f t="shared" ref="L5:L50" si="2">IF(C5="","",IF(C5="Hadir",IF(COUNT(D5:H5)=5,"Lengkap","Belum Lengkap"),"Tidak Dianalisis"))</f>
        <v>Lengkap</v>
      </c>
      <c r="M5" s="68"/>
      <c r="O5" s="40" t="s">
        <v>104</v>
      </c>
      <c r="P5" s="43" t="s">
        <v>112</v>
      </c>
    </row>
    <row r="6" spans="1:16" ht="16.2" customHeight="1">
      <c r="A6" s="62">
        <v>2</v>
      </c>
      <c r="B6" s="63" t="s">
        <v>54</v>
      </c>
      <c r="C6" s="60" t="s">
        <v>227</v>
      </c>
      <c r="D6" s="22">
        <v>4</v>
      </c>
      <c r="E6" s="22">
        <v>2</v>
      </c>
      <c r="F6" s="22">
        <v>2</v>
      </c>
      <c r="G6" s="22">
        <v>3</v>
      </c>
      <c r="H6" s="22">
        <v>4</v>
      </c>
      <c r="I6" s="63">
        <f t="shared" si="0"/>
        <v>15</v>
      </c>
      <c r="J6" s="63">
        <f t="shared" si="1"/>
        <v>3</v>
      </c>
      <c r="K6" s="63" t="str">
        <f>IF(J6="","",IF(J6&gt;='Petunjuk Siklus I'!$B$12,"Sangat Mandiri",IF(J6&gt;='Petunjuk Siklus I'!$B$13,"Mandiri",IF(J6&gt;='Petunjuk Siklus I'!$B$14,"Kurang Mandiri","Belum Mandiri"))))</f>
        <v>Mandiri</v>
      </c>
      <c r="L6" s="63" t="str">
        <f t="shared" si="2"/>
        <v>Lengkap</v>
      </c>
      <c r="M6" s="69"/>
      <c r="O6" s="40" t="s">
        <v>105</v>
      </c>
      <c r="P6" s="43" t="s">
        <v>113</v>
      </c>
    </row>
    <row r="7" spans="1:16">
      <c r="A7" s="62">
        <v>3</v>
      </c>
      <c r="B7" s="63" t="s">
        <v>55</v>
      </c>
      <c r="C7" s="60" t="s">
        <v>227</v>
      </c>
      <c r="D7" s="22">
        <v>4</v>
      </c>
      <c r="E7" s="22">
        <v>3</v>
      </c>
      <c r="F7" s="22">
        <v>2</v>
      </c>
      <c r="G7" s="22">
        <v>3</v>
      </c>
      <c r="H7" s="22">
        <v>3</v>
      </c>
      <c r="I7" s="63">
        <f t="shared" si="0"/>
        <v>15</v>
      </c>
      <c r="J7" s="63">
        <f t="shared" si="1"/>
        <v>3</v>
      </c>
      <c r="K7" s="63" t="str">
        <f>IF(J7="","",IF(J7&gt;='Petunjuk Siklus I'!$B$12,"Sangat Mandiri",IF(J7&gt;='Petunjuk Siklus I'!$B$13,"Mandiri",IF(J7&gt;='Petunjuk Siklus I'!$B$14,"Kurang Mandiri","Belum Mandiri"))))</f>
        <v>Mandiri</v>
      </c>
      <c r="L7" s="63" t="str">
        <f t="shared" si="2"/>
        <v>Lengkap</v>
      </c>
      <c r="M7" s="69"/>
      <c r="O7" s="40" t="s">
        <v>106</v>
      </c>
      <c r="P7" s="43" t="s">
        <v>114</v>
      </c>
    </row>
    <row r="8" spans="1:16">
      <c r="A8" s="62">
        <v>4</v>
      </c>
      <c r="B8" s="63" t="s">
        <v>56</v>
      </c>
      <c r="C8" s="60" t="s">
        <v>227</v>
      </c>
      <c r="D8" s="22">
        <v>4</v>
      </c>
      <c r="E8" s="22">
        <v>3</v>
      </c>
      <c r="F8" s="22">
        <v>2</v>
      </c>
      <c r="G8" s="22">
        <v>4</v>
      </c>
      <c r="H8" s="22">
        <v>4</v>
      </c>
      <c r="I8" s="63">
        <f t="shared" si="0"/>
        <v>17</v>
      </c>
      <c r="J8" s="63">
        <f t="shared" si="1"/>
        <v>3.4</v>
      </c>
      <c r="K8" s="63" t="str">
        <f>IF(J8="","",IF(J8&gt;='Petunjuk Siklus I'!$B$12,"Sangat Mandiri",IF(J8&gt;='Petunjuk Siklus I'!$B$13,"Mandiri",IF(J8&gt;='Petunjuk Siklus I'!$B$14,"Kurang Mandiri","Belum Mandiri"))))</f>
        <v>Mandiri</v>
      </c>
      <c r="L8" s="63" t="str">
        <f t="shared" si="2"/>
        <v>Lengkap</v>
      </c>
      <c r="M8" s="69"/>
      <c r="O8" s="41" t="s">
        <v>107</v>
      </c>
      <c r="P8" s="44" t="s">
        <v>115</v>
      </c>
    </row>
    <row r="9" spans="1:16">
      <c r="A9" s="62">
        <v>5</v>
      </c>
      <c r="B9" s="63" t="s">
        <v>57</v>
      </c>
      <c r="C9" s="60" t="s">
        <v>227</v>
      </c>
      <c r="D9" s="22">
        <v>4</v>
      </c>
      <c r="E9" s="22">
        <v>3</v>
      </c>
      <c r="F9" s="22">
        <v>2</v>
      </c>
      <c r="G9" s="22">
        <v>3</v>
      </c>
      <c r="H9" s="22">
        <v>3</v>
      </c>
      <c r="I9" s="63">
        <f t="shared" si="0"/>
        <v>15</v>
      </c>
      <c r="J9" s="63">
        <f t="shared" si="1"/>
        <v>3</v>
      </c>
      <c r="K9" s="63" t="str">
        <f>IF(J9="","",IF(J9&gt;='Petunjuk Siklus I'!$B$12,"Sangat Mandiri",IF(J9&gt;='Petunjuk Siklus I'!$B$13,"Mandiri",IF(J9&gt;='Petunjuk Siklus I'!$B$14,"Kurang Mandiri","Belum Mandiri"))))</f>
        <v>Mandiri</v>
      </c>
      <c r="L9" s="63" t="str">
        <f t="shared" si="2"/>
        <v>Lengkap</v>
      </c>
      <c r="M9" s="69"/>
    </row>
    <row r="10" spans="1:16">
      <c r="A10" s="62">
        <v>6</v>
      </c>
      <c r="B10" s="63" t="s">
        <v>58</v>
      </c>
      <c r="C10" s="60" t="s">
        <v>227</v>
      </c>
      <c r="D10" s="22">
        <v>4</v>
      </c>
      <c r="E10" s="22">
        <v>2</v>
      </c>
      <c r="F10" s="22">
        <v>2</v>
      </c>
      <c r="G10" s="22">
        <v>3</v>
      </c>
      <c r="H10" s="22">
        <v>3</v>
      </c>
      <c r="I10" s="63">
        <f t="shared" si="0"/>
        <v>14</v>
      </c>
      <c r="J10" s="63">
        <f t="shared" si="1"/>
        <v>2.8</v>
      </c>
      <c r="K10" s="63" t="str">
        <f>IF(J10="","",IF(J10&gt;='Petunjuk Siklus I'!$B$12,"Sangat Mandiri",IF(J10&gt;='Petunjuk Siklus I'!$B$13,"Mandiri",IF(J10&gt;='Petunjuk Siklus I'!$B$14,"Kurang Mandiri","Belum Mandiri"))))</f>
        <v>Mandiri</v>
      </c>
      <c r="L10" s="63" t="str">
        <f t="shared" si="2"/>
        <v>Lengkap</v>
      </c>
      <c r="M10" s="69"/>
    </row>
    <row r="11" spans="1:16">
      <c r="A11" s="62">
        <v>7</v>
      </c>
      <c r="B11" s="63" t="s">
        <v>59</v>
      </c>
      <c r="C11" s="60" t="s">
        <v>227</v>
      </c>
      <c r="D11" s="22">
        <v>4</v>
      </c>
      <c r="E11" s="22">
        <v>2</v>
      </c>
      <c r="F11" s="22">
        <v>2</v>
      </c>
      <c r="G11" s="22">
        <v>4</v>
      </c>
      <c r="H11" s="22">
        <v>3</v>
      </c>
      <c r="I11" s="63">
        <f t="shared" si="0"/>
        <v>15</v>
      </c>
      <c r="J11" s="63">
        <f t="shared" si="1"/>
        <v>3</v>
      </c>
      <c r="K11" s="63" t="str">
        <f>IF(J11="","",IF(J11&gt;='Petunjuk Siklus I'!$B$12,"Sangat Mandiri",IF(J11&gt;='Petunjuk Siklus I'!$B$13,"Mandiri",IF(J11&gt;='Petunjuk Siklus I'!$B$14,"Kurang Mandiri","Belum Mandiri"))))</f>
        <v>Mandiri</v>
      </c>
      <c r="L11" s="63" t="str">
        <f t="shared" si="2"/>
        <v>Lengkap</v>
      </c>
      <c r="M11" s="69"/>
    </row>
    <row r="12" spans="1:16">
      <c r="A12" s="62">
        <v>8</v>
      </c>
      <c r="B12" s="63" t="s">
        <v>60</v>
      </c>
      <c r="C12" s="60" t="s">
        <v>227</v>
      </c>
      <c r="D12" s="22">
        <v>4</v>
      </c>
      <c r="E12" s="22">
        <v>3</v>
      </c>
      <c r="F12" s="22">
        <v>2</v>
      </c>
      <c r="G12" s="22">
        <v>3</v>
      </c>
      <c r="H12" s="22">
        <v>4</v>
      </c>
      <c r="I12" s="63">
        <f t="shared" si="0"/>
        <v>16</v>
      </c>
      <c r="J12" s="63">
        <f t="shared" si="1"/>
        <v>3.2</v>
      </c>
      <c r="K12" s="63" t="str">
        <f>IF(J12="","",IF(J12&gt;='Petunjuk Siklus I'!$B$12,"Sangat Mandiri",IF(J12&gt;='Petunjuk Siklus I'!$B$13,"Mandiri",IF(J12&gt;='Petunjuk Siklus I'!$B$14,"Kurang Mandiri","Belum Mandiri"))))</f>
        <v>Mandiri</v>
      </c>
      <c r="L12" s="63" t="str">
        <f t="shared" si="2"/>
        <v>Lengkap</v>
      </c>
      <c r="M12" s="69"/>
    </row>
    <row r="13" spans="1:16">
      <c r="A13" s="62">
        <v>9</v>
      </c>
      <c r="B13" s="63" t="s">
        <v>61</v>
      </c>
      <c r="C13" s="60" t="s">
        <v>227</v>
      </c>
      <c r="D13" s="22">
        <v>4</v>
      </c>
      <c r="E13" s="22">
        <v>3</v>
      </c>
      <c r="F13" s="22">
        <v>2</v>
      </c>
      <c r="G13" s="22">
        <v>3</v>
      </c>
      <c r="H13" s="22">
        <v>3</v>
      </c>
      <c r="I13" s="63">
        <f t="shared" si="0"/>
        <v>15</v>
      </c>
      <c r="J13" s="63">
        <f t="shared" si="1"/>
        <v>3</v>
      </c>
      <c r="K13" s="63" t="str">
        <f>IF(J13="","",IF(J13&gt;='Petunjuk Siklus I'!$B$12,"Sangat Mandiri",IF(J13&gt;='Petunjuk Siklus I'!$B$13,"Mandiri",IF(J13&gt;='Petunjuk Siklus I'!$B$14,"Kurang Mandiri","Belum Mandiri"))))</f>
        <v>Mandiri</v>
      </c>
      <c r="L13" s="63" t="str">
        <f t="shared" si="2"/>
        <v>Lengkap</v>
      </c>
      <c r="M13" s="69"/>
    </row>
    <row r="14" spans="1:16">
      <c r="A14" s="62">
        <v>10</v>
      </c>
      <c r="B14" s="63" t="s">
        <v>62</v>
      </c>
      <c r="C14" s="60" t="s">
        <v>227</v>
      </c>
      <c r="D14" s="22">
        <v>4</v>
      </c>
      <c r="E14" s="22">
        <v>3</v>
      </c>
      <c r="F14" s="22">
        <v>2</v>
      </c>
      <c r="G14" s="22">
        <v>4</v>
      </c>
      <c r="H14" s="22">
        <v>3</v>
      </c>
      <c r="I14" s="63">
        <f t="shared" si="0"/>
        <v>16</v>
      </c>
      <c r="J14" s="63">
        <f t="shared" si="1"/>
        <v>3.2</v>
      </c>
      <c r="K14" s="63" t="str">
        <f>IF(J14="","",IF(J14&gt;='Petunjuk Siklus I'!$B$12,"Sangat Mandiri",IF(J14&gt;='Petunjuk Siklus I'!$B$13,"Mandiri",IF(J14&gt;='Petunjuk Siklus I'!$B$14,"Kurang Mandiri","Belum Mandiri"))))</f>
        <v>Mandiri</v>
      </c>
      <c r="L14" s="63" t="str">
        <f t="shared" si="2"/>
        <v>Lengkap</v>
      </c>
      <c r="M14" s="69"/>
    </row>
    <row r="15" spans="1:16">
      <c r="A15" s="62">
        <v>11</v>
      </c>
      <c r="B15" s="63" t="s">
        <v>63</v>
      </c>
      <c r="C15" s="60" t="s">
        <v>227</v>
      </c>
      <c r="D15" s="22">
        <v>4</v>
      </c>
      <c r="E15" s="22">
        <v>3</v>
      </c>
      <c r="F15" s="22">
        <v>2</v>
      </c>
      <c r="G15" s="22">
        <v>3</v>
      </c>
      <c r="H15" s="22">
        <v>3</v>
      </c>
      <c r="I15" s="63">
        <f t="shared" si="0"/>
        <v>15</v>
      </c>
      <c r="J15" s="63">
        <f t="shared" si="1"/>
        <v>3</v>
      </c>
      <c r="K15" s="63" t="str">
        <f>IF(J15="","",IF(J15&gt;='Petunjuk Siklus I'!$B$12,"Sangat Mandiri",IF(J15&gt;='Petunjuk Siklus I'!$B$13,"Mandiri",IF(J15&gt;='Petunjuk Siklus I'!$B$14,"Kurang Mandiri","Belum Mandiri"))))</f>
        <v>Mandiri</v>
      </c>
      <c r="L15" s="63" t="str">
        <f t="shared" si="2"/>
        <v>Lengkap</v>
      </c>
      <c r="M15" s="69"/>
    </row>
    <row r="16" spans="1:16">
      <c r="A16" s="62">
        <v>12</v>
      </c>
      <c r="B16" s="63" t="s">
        <v>64</v>
      </c>
      <c r="C16" s="60" t="s">
        <v>227</v>
      </c>
      <c r="D16" s="22">
        <v>4</v>
      </c>
      <c r="E16" s="22">
        <v>3</v>
      </c>
      <c r="F16" s="22">
        <v>2</v>
      </c>
      <c r="G16" s="22">
        <v>3</v>
      </c>
      <c r="H16" s="22">
        <v>4</v>
      </c>
      <c r="I16" s="63">
        <f t="shared" si="0"/>
        <v>16</v>
      </c>
      <c r="J16" s="63">
        <f t="shared" si="1"/>
        <v>3.2</v>
      </c>
      <c r="K16" s="63" t="str">
        <f>IF(J16="","",IF(J16&gt;='Petunjuk Siklus I'!$B$12,"Sangat Mandiri",IF(J16&gt;='Petunjuk Siklus I'!$B$13,"Mandiri",IF(J16&gt;='Petunjuk Siklus I'!$B$14,"Kurang Mandiri","Belum Mandiri"))))</f>
        <v>Mandiri</v>
      </c>
      <c r="L16" s="63" t="str">
        <f t="shared" si="2"/>
        <v>Lengkap</v>
      </c>
      <c r="M16" s="69"/>
    </row>
    <row r="17" spans="1:13">
      <c r="A17" s="62">
        <v>13</v>
      </c>
      <c r="B17" s="63" t="s">
        <v>65</v>
      </c>
      <c r="C17" s="60" t="s">
        <v>227</v>
      </c>
      <c r="D17" s="22">
        <v>4</v>
      </c>
      <c r="E17" s="22">
        <v>3</v>
      </c>
      <c r="F17" s="22">
        <v>2</v>
      </c>
      <c r="G17" s="22">
        <v>4</v>
      </c>
      <c r="H17" s="22">
        <v>4</v>
      </c>
      <c r="I17" s="63">
        <f t="shared" si="0"/>
        <v>17</v>
      </c>
      <c r="J17" s="63">
        <f t="shared" si="1"/>
        <v>3.4</v>
      </c>
      <c r="K17" s="63" t="str">
        <f>IF(J17="","",IF(J17&gt;='Petunjuk Siklus I'!$B$12,"Sangat Mandiri",IF(J17&gt;='Petunjuk Siklus I'!$B$13,"Mandiri",IF(J17&gt;='Petunjuk Siklus I'!$B$14,"Kurang Mandiri","Belum Mandiri"))))</f>
        <v>Mandiri</v>
      </c>
      <c r="L17" s="63" t="str">
        <f t="shared" si="2"/>
        <v>Lengkap</v>
      </c>
      <c r="M17" s="69"/>
    </row>
    <row r="18" spans="1:13">
      <c r="A18" s="62">
        <v>14</v>
      </c>
      <c r="B18" s="63" t="s">
        <v>66</v>
      </c>
      <c r="C18" s="60" t="s">
        <v>227</v>
      </c>
      <c r="D18" s="22">
        <v>4</v>
      </c>
      <c r="E18" s="22">
        <v>3</v>
      </c>
      <c r="F18" s="22">
        <v>2</v>
      </c>
      <c r="G18" s="22">
        <v>3</v>
      </c>
      <c r="H18" s="22">
        <v>3</v>
      </c>
      <c r="I18" s="63">
        <f t="shared" si="0"/>
        <v>15</v>
      </c>
      <c r="J18" s="63">
        <f t="shared" si="1"/>
        <v>3</v>
      </c>
      <c r="K18" s="63" t="str">
        <f>IF(J18="","",IF(J18&gt;='Petunjuk Siklus I'!$B$12,"Sangat Mandiri",IF(J18&gt;='Petunjuk Siklus I'!$B$13,"Mandiri",IF(J18&gt;='Petunjuk Siklus I'!$B$14,"Kurang Mandiri","Belum Mandiri"))))</f>
        <v>Mandiri</v>
      </c>
      <c r="L18" s="63" t="str">
        <f t="shared" si="2"/>
        <v>Lengkap</v>
      </c>
      <c r="M18" s="69"/>
    </row>
    <row r="19" spans="1:13">
      <c r="A19" s="62">
        <v>15</v>
      </c>
      <c r="B19" s="63" t="s">
        <v>67</v>
      </c>
      <c r="C19" s="60" t="s">
        <v>227</v>
      </c>
      <c r="D19" s="22">
        <v>4</v>
      </c>
      <c r="E19" s="22">
        <v>3</v>
      </c>
      <c r="F19" s="22">
        <v>3</v>
      </c>
      <c r="G19" s="22">
        <v>4</v>
      </c>
      <c r="H19" s="22">
        <v>4</v>
      </c>
      <c r="I19" s="63">
        <f t="shared" si="0"/>
        <v>18</v>
      </c>
      <c r="J19" s="63">
        <f t="shared" si="1"/>
        <v>3.6</v>
      </c>
      <c r="K19" s="63" t="str">
        <f>IF(J19="","",IF(J19&gt;='Petunjuk Siklus I'!$B$12,"Sangat Mandiri",IF(J19&gt;='Petunjuk Siklus I'!$B$13,"Mandiri",IF(J19&gt;='Petunjuk Siklus I'!$B$14,"Kurang Mandiri","Belum Mandiri"))))</f>
        <v>Sangat Mandiri</v>
      </c>
      <c r="L19" s="63" t="str">
        <f t="shared" si="2"/>
        <v>Lengkap</v>
      </c>
      <c r="M19" s="69"/>
    </row>
    <row r="20" spans="1:13">
      <c r="A20" s="62">
        <v>16</v>
      </c>
      <c r="B20" s="63" t="s">
        <v>68</v>
      </c>
      <c r="C20" s="60" t="s">
        <v>227</v>
      </c>
      <c r="D20" s="22">
        <v>4</v>
      </c>
      <c r="E20" s="22">
        <v>3</v>
      </c>
      <c r="F20" s="22">
        <v>2</v>
      </c>
      <c r="G20" s="22">
        <v>3</v>
      </c>
      <c r="H20" s="22">
        <v>3</v>
      </c>
      <c r="I20" s="63">
        <f t="shared" si="0"/>
        <v>15</v>
      </c>
      <c r="J20" s="63">
        <f t="shared" si="1"/>
        <v>3</v>
      </c>
      <c r="K20" s="63" t="str">
        <f>IF(J20="","",IF(J20&gt;='Petunjuk Siklus I'!$B$12,"Sangat Mandiri",IF(J20&gt;='Petunjuk Siklus I'!$B$13,"Mandiri",IF(J20&gt;='Petunjuk Siklus I'!$B$14,"Kurang Mandiri","Belum Mandiri"))))</f>
        <v>Mandiri</v>
      </c>
      <c r="L20" s="63" t="str">
        <f t="shared" si="2"/>
        <v>Lengkap</v>
      </c>
      <c r="M20" s="69"/>
    </row>
    <row r="21" spans="1:13">
      <c r="A21" s="62">
        <v>17</v>
      </c>
      <c r="B21" s="63" t="s">
        <v>69</v>
      </c>
      <c r="C21" s="60" t="s">
        <v>227</v>
      </c>
      <c r="D21" s="22">
        <v>4</v>
      </c>
      <c r="E21" s="22">
        <v>2</v>
      </c>
      <c r="F21" s="22">
        <v>2</v>
      </c>
      <c r="G21" s="22">
        <v>3</v>
      </c>
      <c r="H21" s="22">
        <v>3</v>
      </c>
      <c r="I21" s="63">
        <f t="shared" si="0"/>
        <v>14</v>
      </c>
      <c r="J21" s="63">
        <f t="shared" si="1"/>
        <v>2.8</v>
      </c>
      <c r="K21" s="63" t="str">
        <f>IF(J21="","",IF(J21&gt;='Petunjuk Siklus I'!$B$12,"Sangat Mandiri",IF(J21&gt;='Petunjuk Siklus I'!$B$13,"Mandiri",IF(J21&gt;='Petunjuk Siklus I'!$B$14,"Kurang Mandiri","Belum Mandiri"))))</f>
        <v>Mandiri</v>
      </c>
      <c r="L21" s="63" t="str">
        <f t="shared" si="2"/>
        <v>Lengkap</v>
      </c>
      <c r="M21" s="69"/>
    </row>
    <row r="22" spans="1:13">
      <c r="A22" s="62">
        <v>18</v>
      </c>
      <c r="B22" s="63" t="s">
        <v>70</v>
      </c>
      <c r="C22" s="60" t="s">
        <v>227</v>
      </c>
      <c r="D22" s="22">
        <v>4</v>
      </c>
      <c r="E22" s="22">
        <v>2</v>
      </c>
      <c r="F22" s="22">
        <v>2</v>
      </c>
      <c r="G22" s="22">
        <v>3</v>
      </c>
      <c r="H22" s="22">
        <v>3</v>
      </c>
      <c r="I22" s="63">
        <f t="shared" si="0"/>
        <v>14</v>
      </c>
      <c r="J22" s="63">
        <f t="shared" si="1"/>
        <v>2.8</v>
      </c>
      <c r="K22" s="63" t="str">
        <f>IF(J22="","",IF(J22&gt;='Petunjuk Siklus I'!$B$12,"Sangat Mandiri",IF(J22&gt;='Petunjuk Siklus I'!$B$13,"Mandiri",IF(J22&gt;='Petunjuk Siklus I'!$B$14,"Kurang Mandiri","Belum Mandiri"))))</f>
        <v>Mandiri</v>
      </c>
      <c r="L22" s="63" t="str">
        <f t="shared" si="2"/>
        <v>Lengkap</v>
      </c>
      <c r="M22" s="69"/>
    </row>
    <row r="23" spans="1:13">
      <c r="A23" s="62">
        <v>19</v>
      </c>
      <c r="B23" s="63" t="s">
        <v>71</v>
      </c>
      <c r="C23" s="60" t="s">
        <v>232</v>
      </c>
      <c r="D23" s="22"/>
      <c r="E23" s="22"/>
      <c r="F23" s="22"/>
      <c r="G23" s="22"/>
      <c r="H23" s="22"/>
      <c r="I23" s="63" t="str">
        <f t="shared" si="0"/>
        <v/>
      </c>
      <c r="J23" s="63" t="str">
        <f t="shared" si="1"/>
        <v/>
      </c>
      <c r="K23" s="63" t="str">
        <f>IF(J23="","",IF(J23&gt;='Petunjuk Siklus I'!$B$12,"Sangat Mandiri",IF(J23&gt;='Petunjuk Siklus I'!$B$13,"Mandiri",IF(J23&gt;='Petunjuk Siklus I'!$B$14,"Kurang Mandiri","Belum Mandiri"))))</f>
        <v/>
      </c>
      <c r="L23" s="63" t="str">
        <f t="shared" si="2"/>
        <v>Tidak Dianalisis</v>
      </c>
      <c r="M23" s="69"/>
    </row>
    <row r="24" spans="1:13">
      <c r="A24" s="62">
        <v>20</v>
      </c>
      <c r="B24" s="63" t="s">
        <v>72</v>
      </c>
      <c r="C24" s="60" t="s">
        <v>227</v>
      </c>
      <c r="D24" s="22">
        <v>4</v>
      </c>
      <c r="E24" s="22">
        <v>4</v>
      </c>
      <c r="F24" s="22">
        <v>3</v>
      </c>
      <c r="G24" s="22">
        <v>4</v>
      </c>
      <c r="H24" s="22">
        <v>3</v>
      </c>
      <c r="I24" s="63">
        <f t="shared" si="0"/>
        <v>18</v>
      </c>
      <c r="J24" s="63">
        <f t="shared" si="1"/>
        <v>3.6</v>
      </c>
      <c r="K24" s="63" t="str">
        <f>IF(J24="","",IF(J24&gt;='Petunjuk Siklus I'!$B$12,"Sangat Mandiri",IF(J24&gt;='Petunjuk Siklus I'!$B$13,"Mandiri",IF(J24&gt;='Petunjuk Siklus I'!$B$14,"Kurang Mandiri","Belum Mandiri"))))</f>
        <v>Sangat Mandiri</v>
      </c>
      <c r="L24" s="63" t="str">
        <f t="shared" si="2"/>
        <v>Lengkap</v>
      </c>
      <c r="M24" s="69"/>
    </row>
    <row r="25" spans="1:13">
      <c r="A25" s="62">
        <v>21</v>
      </c>
      <c r="B25" s="63" t="s">
        <v>73</v>
      </c>
      <c r="C25" s="60" t="s">
        <v>227</v>
      </c>
      <c r="D25" s="22">
        <v>4</v>
      </c>
      <c r="E25" s="22">
        <v>4</v>
      </c>
      <c r="F25" s="22">
        <v>4</v>
      </c>
      <c r="G25" s="22">
        <v>4</v>
      </c>
      <c r="H25" s="22">
        <v>4</v>
      </c>
      <c r="I25" s="63">
        <f t="shared" si="0"/>
        <v>20</v>
      </c>
      <c r="J25" s="63">
        <f t="shared" si="1"/>
        <v>4</v>
      </c>
      <c r="K25" s="63" t="str">
        <f>IF(J25="","",IF(J25&gt;='Petunjuk Siklus I'!$B$12,"Sangat Mandiri",IF(J25&gt;='Petunjuk Siklus I'!$B$13,"Mandiri",IF(J25&gt;='Petunjuk Siklus I'!$B$14,"Kurang Mandiri","Belum Mandiri"))))</f>
        <v>Sangat Mandiri</v>
      </c>
      <c r="L25" s="63" t="str">
        <f t="shared" si="2"/>
        <v>Lengkap</v>
      </c>
      <c r="M25" s="69"/>
    </row>
    <row r="26" spans="1:13">
      <c r="A26" s="62">
        <v>22</v>
      </c>
      <c r="B26" s="63" t="s">
        <v>74</v>
      </c>
      <c r="C26" s="60" t="s">
        <v>232</v>
      </c>
      <c r="D26" s="22"/>
      <c r="E26" s="22"/>
      <c r="F26" s="22"/>
      <c r="G26" s="22"/>
      <c r="H26" s="22"/>
      <c r="I26" s="63" t="str">
        <f t="shared" si="0"/>
        <v/>
      </c>
      <c r="J26" s="63" t="str">
        <f t="shared" si="1"/>
        <v/>
      </c>
      <c r="K26" s="63" t="str">
        <f>IF(J26="","",IF(J26&gt;='Petunjuk Siklus I'!$B$12,"Sangat Mandiri",IF(J26&gt;='Petunjuk Siklus I'!$B$13,"Mandiri",IF(J26&gt;='Petunjuk Siklus I'!$B$14,"Kurang Mandiri","Belum Mandiri"))))</f>
        <v/>
      </c>
      <c r="L26" s="63" t="str">
        <f t="shared" si="2"/>
        <v>Tidak Dianalisis</v>
      </c>
      <c r="M26" s="69"/>
    </row>
    <row r="27" spans="1:13">
      <c r="A27" s="62">
        <v>23</v>
      </c>
      <c r="B27" s="63" t="s">
        <v>75</v>
      </c>
      <c r="C27" s="60" t="s">
        <v>227</v>
      </c>
      <c r="D27" s="22">
        <v>4</v>
      </c>
      <c r="E27" s="22">
        <v>3</v>
      </c>
      <c r="F27" s="22">
        <v>4</v>
      </c>
      <c r="G27" s="22">
        <v>3</v>
      </c>
      <c r="H27" s="22">
        <v>4</v>
      </c>
      <c r="I27" s="63">
        <f t="shared" si="0"/>
        <v>18</v>
      </c>
      <c r="J27" s="63">
        <f t="shared" si="1"/>
        <v>3.6</v>
      </c>
      <c r="K27" s="63" t="str">
        <f>IF(J27="","",IF(J27&gt;='Petunjuk Siklus I'!$B$12,"Sangat Mandiri",IF(J27&gt;='Petunjuk Siklus I'!$B$13,"Mandiri",IF(J27&gt;='Petunjuk Siklus I'!$B$14,"Kurang Mandiri","Belum Mandiri"))))</f>
        <v>Sangat Mandiri</v>
      </c>
      <c r="L27" s="63" t="str">
        <f t="shared" si="2"/>
        <v>Lengkap</v>
      </c>
      <c r="M27" s="69"/>
    </row>
    <row r="28" spans="1:13">
      <c r="A28" s="62">
        <v>24</v>
      </c>
      <c r="B28" s="63" t="s">
        <v>76</v>
      </c>
      <c r="C28" s="63" t="s">
        <v>227</v>
      </c>
      <c r="D28" s="22">
        <v>4</v>
      </c>
      <c r="E28" s="22">
        <v>3</v>
      </c>
      <c r="F28" s="22">
        <v>2</v>
      </c>
      <c r="G28" s="22">
        <v>3</v>
      </c>
      <c r="H28" s="22">
        <v>3</v>
      </c>
      <c r="I28" s="63">
        <f t="shared" si="0"/>
        <v>15</v>
      </c>
      <c r="J28" s="63">
        <f t="shared" si="1"/>
        <v>3</v>
      </c>
      <c r="K28" s="63" t="str">
        <f>IF(J28="","",IF(J28&gt;='Petunjuk Siklus I'!$B$12,"Sangat Mandiri",IF(J28&gt;='Petunjuk Siklus I'!$B$13,"Mandiri",IF(J28&gt;='Petunjuk Siklus I'!$B$14,"Kurang Mandiri","Belum Mandiri"))))</f>
        <v>Mandiri</v>
      </c>
      <c r="L28" s="63" t="str">
        <f t="shared" si="2"/>
        <v>Lengkap</v>
      </c>
      <c r="M28" s="69"/>
    </row>
    <row r="29" spans="1:13">
      <c r="A29" s="62">
        <v>25</v>
      </c>
      <c r="B29" s="63" t="s">
        <v>77</v>
      </c>
      <c r="C29" s="63" t="s">
        <v>227</v>
      </c>
      <c r="D29" s="22">
        <v>4</v>
      </c>
      <c r="E29" s="22">
        <v>4</v>
      </c>
      <c r="F29" s="22">
        <v>4</v>
      </c>
      <c r="G29" s="22">
        <v>4</v>
      </c>
      <c r="H29" s="22">
        <v>4</v>
      </c>
      <c r="I29" s="63">
        <f t="shared" si="0"/>
        <v>20</v>
      </c>
      <c r="J29" s="63">
        <f t="shared" si="1"/>
        <v>4</v>
      </c>
      <c r="K29" s="63" t="str">
        <f>IF(J29="","",IF(J29&gt;='Petunjuk Siklus I'!$B$12,"Sangat Mandiri",IF(J29&gt;='Petunjuk Siklus I'!$B$13,"Mandiri",IF(J29&gt;='Petunjuk Siklus I'!$B$14,"Kurang Mandiri","Belum Mandiri"))))</f>
        <v>Sangat Mandiri</v>
      </c>
      <c r="L29" s="63" t="str">
        <f t="shared" si="2"/>
        <v>Lengkap</v>
      </c>
      <c r="M29" s="69"/>
    </row>
    <row r="30" spans="1:13">
      <c r="A30" s="62">
        <v>26</v>
      </c>
      <c r="B30" s="63" t="s">
        <v>78</v>
      </c>
      <c r="C30" s="63" t="s">
        <v>227</v>
      </c>
      <c r="D30" s="22">
        <v>4</v>
      </c>
      <c r="E30" s="22">
        <v>2</v>
      </c>
      <c r="F30" s="22">
        <v>2</v>
      </c>
      <c r="G30" s="22">
        <v>3</v>
      </c>
      <c r="H30" s="22">
        <v>3</v>
      </c>
      <c r="I30" s="63">
        <f t="shared" si="0"/>
        <v>14</v>
      </c>
      <c r="J30" s="63">
        <f t="shared" si="1"/>
        <v>2.8</v>
      </c>
      <c r="K30" s="63" t="str">
        <f>IF(J30="","",IF(J30&gt;='Petunjuk Siklus I'!$B$12,"Sangat Mandiri",IF(J30&gt;='Petunjuk Siklus I'!$B$13,"Mandiri",IF(J30&gt;='Petunjuk Siklus I'!$B$14,"Kurang Mandiri","Belum Mandiri"))))</f>
        <v>Mandiri</v>
      </c>
      <c r="L30" s="63" t="str">
        <f t="shared" si="2"/>
        <v>Lengkap</v>
      </c>
      <c r="M30" s="69"/>
    </row>
    <row r="31" spans="1:13">
      <c r="A31" s="62">
        <v>27</v>
      </c>
      <c r="B31" s="63" t="s">
        <v>79</v>
      </c>
      <c r="C31" s="63" t="s">
        <v>227</v>
      </c>
      <c r="D31" s="22">
        <v>4</v>
      </c>
      <c r="E31" s="22">
        <v>2</v>
      </c>
      <c r="F31" s="22">
        <v>2</v>
      </c>
      <c r="G31" s="22">
        <v>3</v>
      </c>
      <c r="H31" s="22">
        <v>3</v>
      </c>
      <c r="I31" s="63">
        <f t="shared" si="0"/>
        <v>14</v>
      </c>
      <c r="J31" s="63">
        <f t="shared" si="1"/>
        <v>2.8</v>
      </c>
      <c r="K31" s="63" t="str">
        <f>IF(J31="","",IF(J31&gt;='Petunjuk Siklus I'!$B$12,"Sangat Mandiri",IF(J31&gt;='Petunjuk Siklus I'!$B$13,"Mandiri",IF(J31&gt;='Petunjuk Siklus I'!$B$14,"Kurang Mandiri","Belum Mandiri"))))</f>
        <v>Mandiri</v>
      </c>
      <c r="L31" s="63" t="str">
        <f t="shared" si="2"/>
        <v>Lengkap</v>
      </c>
      <c r="M31" s="69"/>
    </row>
    <row r="32" spans="1:13">
      <c r="A32" s="62">
        <v>28</v>
      </c>
      <c r="B32" s="63" t="s">
        <v>80</v>
      </c>
      <c r="C32" s="63" t="s">
        <v>227</v>
      </c>
      <c r="D32" s="22">
        <v>4</v>
      </c>
      <c r="E32" s="22">
        <v>3</v>
      </c>
      <c r="F32" s="22">
        <v>2</v>
      </c>
      <c r="G32" s="22">
        <v>3</v>
      </c>
      <c r="H32" s="22">
        <v>3</v>
      </c>
      <c r="I32" s="63">
        <f t="shared" si="0"/>
        <v>15</v>
      </c>
      <c r="J32" s="63">
        <f t="shared" si="1"/>
        <v>3</v>
      </c>
      <c r="K32" s="63" t="str">
        <f>IF(J32="","",IF(J32&gt;='Petunjuk Siklus I'!$B$12,"Sangat Mandiri",IF(J32&gt;='Petunjuk Siklus I'!$B$13,"Mandiri",IF(J32&gt;='Petunjuk Siklus I'!$B$14,"Kurang Mandiri","Belum Mandiri"))))</f>
        <v>Mandiri</v>
      </c>
      <c r="L32" s="63" t="str">
        <f t="shared" si="2"/>
        <v>Lengkap</v>
      </c>
      <c r="M32" s="69"/>
    </row>
    <row r="33" spans="1:13">
      <c r="A33" s="62">
        <v>29</v>
      </c>
      <c r="B33" s="63" t="s">
        <v>81</v>
      </c>
      <c r="C33" s="63" t="s">
        <v>228</v>
      </c>
      <c r="D33" s="22"/>
      <c r="E33" s="22"/>
      <c r="F33" s="22"/>
      <c r="G33" s="22"/>
      <c r="H33" s="22"/>
      <c r="I33" s="63" t="str">
        <f t="shared" si="0"/>
        <v/>
      </c>
      <c r="J33" s="63" t="str">
        <f t="shared" si="1"/>
        <v/>
      </c>
      <c r="K33" s="63" t="str">
        <f>IF(J33="","",IF(J33&gt;='Petunjuk Siklus I'!$B$12,"Sangat Mandiri",IF(J33&gt;='Petunjuk Siklus I'!$B$13,"Mandiri",IF(J33&gt;='Petunjuk Siklus I'!$B$14,"Kurang Mandiri","Belum Mandiri"))))</f>
        <v/>
      </c>
      <c r="L33" s="63" t="str">
        <f t="shared" si="2"/>
        <v>Tidak Dianalisis</v>
      </c>
      <c r="M33" s="69"/>
    </row>
    <row r="34" spans="1:13">
      <c r="A34" s="62">
        <v>30</v>
      </c>
      <c r="B34" s="63" t="s">
        <v>82</v>
      </c>
      <c r="C34" s="63" t="s">
        <v>228</v>
      </c>
      <c r="D34" s="22"/>
      <c r="E34" s="22"/>
      <c r="F34" s="22"/>
      <c r="G34" s="22"/>
      <c r="H34" s="22"/>
      <c r="I34" s="63" t="str">
        <f t="shared" si="0"/>
        <v/>
      </c>
      <c r="J34" s="63" t="str">
        <f t="shared" si="1"/>
        <v/>
      </c>
      <c r="K34" s="63" t="str">
        <f>IF(J34="","",IF(J34&gt;='Petunjuk Siklus I'!$B$12,"Sangat Mandiri",IF(J34&gt;='Petunjuk Siklus I'!$B$13,"Mandiri",IF(J34&gt;='Petunjuk Siklus I'!$B$14,"Kurang Mandiri","Belum Mandiri"))))</f>
        <v/>
      </c>
      <c r="L34" s="63" t="str">
        <f t="shared" si="2"/>
        <v>Tidak Dianalisis</v>
      </c>
      <c r="M34" s="69"/>
    </row>
    <row r="35" spans="1:13">
      <c r="A35" s="62">
        <v>31</v>
      </c>
      <c r="B35" s="63" t="s">
        <v>83</v>
      </c>
      <c r="C35" s="63" t="s">
        <v>227</v>
      </c>
      <c r="D35" s="22">
        <v>4</v>
      </c>
      <c r="E35" s="22">
        <v>3</v>
      </c>
      <c r="F35" s="22">
        <v>2</v>
      </c>
      <c r="G35" s="22">
        <v>3</v>
      </c>
      <c r="H35" s="22">
        <v>3</v>
      </c>
      <c r="I35" s="63">
        <f t="shared" si="0"/>
        <v>15</v>
      </c>
      <c r="J35" s="63">
        <f t="shared" si="1"/>
        <v>3</v>
      </c>
      <c r="K35" s="63" t="str">
        <f>IF(J35="","",IF(J35&gt;='Petunjuk Siklus I'!$B$12,"Sangat Mandiri",IF(J35&gt;='Petunjuk Siklus I'!$B$13,"Mandiri",IF(J35&gt;='Petunjuk Siklus I'!$B$14,"Kurang Mandiri","Belum Mandiri"))))</f>
        <v>Mandiri</v>
      </c>
      <c r="L35" s="63" t="str">
        <f t="shared" si="2"/>
        <v>Lengkap</v>
      </c>
      <c r="M35" s="69"/>
    </row>
    <row r="36" spans="1:13">
      <c r="A36" s="62">
        <v>32</v>
      </c>
      <c r="B36" s="63" t="s">
        <v>84</v>
      </c>
      <c r="C36" s="63" t="s">
        <v>227</v>
      </c>
      <c r="D36" s="22">
        <v>4</v>
      </c>
      <c r="E36" s="22">
        <v>4</v>
      </c>
      <c r="F36" s="22">
        <v>4</v>
      </c>
      <c r="G36" s="22">
        <v>3</v>
      </c>
      <c r="H36" s="22">
        <v>4</v>
      </c>
      <c r="I36" s="63">
        <f t="shared" si="0"/>
        <v>19</v>
      </c>
      <c r="J36" s="63">
        <f t="shared" si="1"/>
        <v>3.8</v>
      </c>
      <c r="K36" s="63" t="str">
        <f>IF(J36="","",IF(J36&gt;='Petunjuk Siklus I'!$B$12,"Sangat Mandiri",IF(J36&gt;='Petunjuk Siklus I'!$B$13,"Mandiri",IF(J36&gt;='Petunjuk Siklus I'!$B$14,"Kurang Mandiri","Belum Mandiri"))))</f>
        <v>Sangat Mandiri</v>
      </c>
      <c r="L36" s="63" t="str">
        <f t="shared" si="2"/>
        <v>Lengkap</v>
      </c>
      <c r="M36" s="69"/>
    </row>
    <row r="37" spans="1:13">
      <c r="A37" s="62">
        <v>33</v>
      </c>
      <c r="B37" s="63" t="s">
        <v>85</v>
      </c>
      <c r="C37" s="63" t="s">
        <v>232</v>
      </c>
      <c r="D37" s="22"/>
      <c r="E37" s="22"/>
      <c r="F37" s="22"/>
      <c r="G37" s="22"/>
      <c r="H37" s="22"/>
      <c r="I37" s="63" t="str">
        <f t="shared" si="0"/>
        <v/>
      </c>
      <c r="J37" s="63" t="str">
        <f t="shared" si="1"/>
        <v/>
      </c>
      <c r="K37" s="63" t="str">
        <f>IF(J37="","",IF(J37&gt;='Petunjuk Siklus I'!$B$12,"Sangat Mandiri",IF(J37&gt;='Petunjuk Siklus I'!$B$13,"Mandiri",IF(J37&gt;='Petunjuk Siklus I'!$B$14,"Kurang Mandiri","Belum Mandiri"))))</f>
        <v/>
      </c>
      <c r="L37" s="63" t="str">
        <f t="shared" si="2"/>
        <v>Tidak Dianalisis</v>
      </c>
      <c r="M37" s="69"/>
    </row>
    <row r="38" spans="1:13">
      <c r="A38" s="62">
        <v>34</v>
      </c>
      <c r="B38" s="63" t="s">
        <v>86</v>
      </c>
      <c r="C38" s="63" t="s">
        <v>227</v>
      </c>
      <c r="D38" s="22">
        <v>4</v>
      </c>
      <c r="E38" s="22">
        <v>3</v>
      </c>
      <c r="F38" s="22">
        <v>2</v>
      </c>
      <c r="G38" s="22">
        <v>4</v>
      </c>
      <c r="H38" s="22">
        <v>3</v>
      </c>
      <c r="I38" s="63">
        <f t="shared" si="0"/>
        <v>16</v>
      </c>
      <c r="J38" s="63">
        <f t="shared" si="1"/>
        <v>3.2</v>
      </c>
      <c r="K38" s="63" t="str">
        <f>IF(J38="","",IF(J38&gt;='Petunjuk Siklus I'!$B$12,"Sangat Mandiri",IF(J38&gt;='Petunjuk Siklus I'!$B$13,"Mandiri",IF(J38&gt;='Petunjuk Siklus I'!$B$14,"Kurang Mandiri","Belum Mandiri"))))</f>
        <v>Mandiri</v>
      </c>
      <c r="L38" s="63" t="str">
        <f t="shared" si="2"/>
        <v>Lengkap</v>
      </c>
      <c r="M38" s="69"/>
    </row>
    <row r="39" spans="1:13">
      <c r="A39" s="62">
        <v>35</v>
      </c>
      <c r="B39" s="63" t="s">
        <v>87</v>
      </c>
      <c r="C39" s="63" t="s">
        <v>227</v>
      </c>
      <c r="D39" s="22">
        <v>4</v>
      </c>
      <c r="E39" s="22">
        <v>3</v>
      </c>
      <c r="F39" s="22">
        <v>4</v>
      </c>
      <c r="G39" s="22">
        <v>3</v>
      </c>
      <c r="H39" s="22">
        <v>4</v>
      </c>
      <c r="I39" s="63">
        <f t="shared" si="0"/>
        <v>18</v>
      </c>
      <c r="J39" s="63">
        <f t="shared" si="1"/>
        <v>3.6</v>
      </c>
      <c r="K39" s="63" t="str">
        <f>IF(J39="","",IF(J39&gt;='Petunjuk Siklus I'!$B$12,"Sangat Mandiri",IF(J39&gt;='Petunjuk Siklus I'!$B$13,"Mandiri",IF(J39&gt;='Petunjuk Siklus I'!$B$14,"Kurang Mandiri","Belum Mandiri"))))</f>
        <v>Sangat Mandiri</v>
      </c>
      <c r="L39" s="63" t="str">
        <f t="shared" si="2"/>
        <v>Lengkap</v>
      </c>
      <c r="M39" s="69"/>
    </row>
    <row r="40" spans="1:13">
      <c r="A40" s="62">
        <v>36</v>
      </c>
      <c r="B40" s="63" t="s">
        <v>88</v>
      </c>
      <c r="C40" s="63" t="s">
        <v>227</v>
      </c>
      <c r="D40" s="22">
        <v>4</v>
      </c>
      <c r="E40" s="22">
        <v>3</v>
      </c>
      <c r="F40" s="22">
        <v>4</v>
      </c>
      <c r="G40" s="22">
        <v>3</v>
      </c>
      <c r="H40" s="22">
        <v>4</v>
      </c>
      <c r="I40" s="63">
        <f t="shared" si="0"/>
        <v>18</v>
      </c>
      <c r="J40" s="63">
        <f t="shared" si="1"/>
        <v>3.6</v>
      </c>
      <c r="K40" s="63" t="str">
        <f>IF(J40="","",IF(J40&gt;='Petunjuk Siklus I'!$B$12,"Sangat Mandiri",IF(J40&gt;='Petunjuk Siklus I'!$B$13,"Mandiri",IF(J40&gt;='Petunjuk Siklus I'!$B$14,"Kurang Mandiri","Belum Mandiri"))))</f>
        <v>Sangat Mandiri</v>
      </c>
      <c r="L40" s="63" t="str">
        <f t="shared" si="2"/>
        <v>Lengkap</v>
      </c>
      <c r="M40" s="69"/>
    </row>
    <row r="41" spans="1:13">
      <c r="A41" s="62">
        <v>37</v>
      </c>
      <c r="B41" s="63" t="s">
        <v>89</v>
      </c>
      <c r="C41" s="63" t="s">
        <v>227</v>
      </c>
      <c r="D41" s="22">
        <v>4</v>
      </c>
      <c r="E41" s="22">
        <v>2</v>
      </c>
      <c r="F41" s="22">
        <v>2</v>
      </c>
      <c r="G41" s="22">
        <v>3</v>
      </c>
      <c r="H41" s="22">
        <v>3</v>
      </c>
      <c r="I41" s="63">
        <f t="shared" si="0"/>
        <v>14</v>
      </c>
      <c r="J41" s="63">
        <f t="shared" si="1"/>
        <v>2.8</v>
      </c>
      <c r="K41" s="63" t="str">
        <f>IF(J41="","",IF(J41&gt;='Petunjuk Siklus I'!$B$12,"Sangat Mandiri",IF(J41&gt;='Petunjuk Siklus I'!$B$13,"Mandiri",IF(J41&gt;='Petunjuk Siklus I'!$B$14,"Kurang Mandiri","Belum Mandiri"))))</f>
        <v>Mandiri</v>
      </c>
      <c r="L41" s="63" t="str">
        <f t="shared" si="2"/>
        <v>Lengkap</v>
      </c>
      <c r="M41" s="69"/>
    </row>
    <row r="42" spans="1:13">
      <c r="A42" s="62">
        <v>38</v>
      </c>
      <c r="B42" s="63" t="s">
        <v>90</v>
      </c>
      <c r="C42" s="63" t="s">
        <v>227</v>
      </c>
      <c r="D42" s="22">
        <v>4</v>
      </c>
      <c r="E42" s="22">
        <v>2</v>
      </c>
      <c r="F42" s="22">
        <v>2</v>
      </c>
      <c r="G42" s="22">
        <v>3</v>
      </c>
      <c r="H42" s="22">
        <v>3</v>
      </c>
      <c r="I42" s="63">
        <f t="shared" si="0"/>
        <v>14</v>
      </c>
      <c r="J42" s="63">
        <f t="shared" si="1"/>
        <v>2.8</v>
      </c>
      <c r="K42" s="63" t="str">
        <f>IF(J42="","",IF(J42&gt;='Petunjuk Siklus I'!$B$12,"Sangat Mandiri",IF(J42&gt;='Petunjuk Siklus I'!$B$13,"Mandiri",IF(J42&gt;='Petunjuk Siklus I'!$B$14,"Kurang Mandiri","Belum Mandiri"))))</f>
        <v>Mandiri</v>
      </c>
      <c r="L42" s="63" t="str">
        <f t="shared" si="2"/>
        <v>Lengkap</v>
      </c>
      <c r="M42" s="69"/>
    </row>
    <row r="43" spans="1:13">
      <c r="A43" s="62">
        <v>39</v>
      </c>
      <c r="B43" s="63" t="s">
        <v>91</v>
      </c>
      <c r="C43" s="63" t="s">
        <v>227</v>
      </c>
      <c r="D43" s="22">
        <v>4</v>
      </c>
      <c r="E43" s="22">
        <v>3</v>
      </c>
      <c r="F43" s="22">
        <v>2</v>
      </c>
      <c r="G43" s="22">
        <v>3</v>
      </c>
      <c r="H43" s="22">
        <v>4</v>
      </c>
      <c r="I43" s="63">
        <f t="shared" si="0"/>
        <v>16</v>
      </c>
      <c r="J43" s="63">
        <f t="shared" si="1"/>
        <v>3.2</v>
      </c>
      <c r="K43" s="63" t="str">
        <f>IF(J43="","",IF(J43&gt;='Petunjuk Siklus I'!$B$12,"Sangat Mandiri",IF(J43&gt;='Petunjuk Siklus I'!$B$13,"Mandiri",IF(J43&gt;='Petunjuk Siklus I'!$B$14,"Kurang Mandiri","Belum Mandiri"))))</f>
        <v>Mandiri</v>
      </c>
      <c r="L43" s="63" t="str">
        <f t="shared" si="2"/>
        <v>Lengkap</v>
      </c>
      <c r="M43" s="69"/>
    </row>
    <row r="44" spans="1:13">
      <c r="A44" s="62">
        <v>40</v>
      </c>
      <c r="B44" s="63" t="s">
        <v>92</v>
      </c>
      <c r="C44" s="63" t="s">
        <v>227</v>
      </c>
      <c r="D44" s="22">
        <v>4</v>
      </c>
      <c r="E44" s="22">
        <v>3</v>
      </c>
      <c r="F44" s="22">
        <v>2</v>
      </c>
      <c r="G44" s="22">
        <v>4</v>
      </c>
      <c r="H44" s="22">
        <v>3</v>
      </c>
      <c r="I44" s="63">
        <f t="shared" si="0"/>
        <v>16</v>
      </c>
      <c r="J44" s="63">
        <f t="shared" si="1"/>
        <v>3.2</v>
      </c>
      <c r="K44" s="63" t="str">
        <f>IF(J44="","",IF(J44&gt;='Petunjuk Siklus I'!$B$12,"Sangat Mandiri",IF(J44&gt;='Petunjuk Siklus I'!$B$13,"Mandiri",IF(J44&gt;='Petunjuk Siklus I'!$B$14,"Kurang Mandiri","Belum Mandiri"))))</f>
        <v>Mandiri</v>
      </c>
      <c r="L44" s="63" t="str">
        <f t="shared" si="2"/>
        <v>Lengkap</v>
      </c>
      <c r="M44" s="69"/>
    </row>
    <row r="45" spans="1:13">
      <c r="A45" s="62">
        <v>41</v>
      </c>
      <c r="B45" s="63" t="s">
        <v>93</v>
      </c>
      <c r="C45" s="63" t="s">
        <v>227</v>
      </c>
      <c r="D45" s="22">
        <v>4</v>
      </c>
      <c r="E45" s="22">
        <v>3</v>
      </c>
      <c r="F45" s="22">
        <v>2</v>
      </c>
      <c r="G45" s="22">
        <v>3</v>
      </c>
      <c r="H45" s="22">
        <v>4</v>
      </c>
      <c r="I45" s="63">
        <f t="shared" si="0"/>
        <v>16</v>
      </c>
      <c r="J45" s="63">
        <f t="shared" si="1"/>
        <v>3.2</v>
      </c>
      <c r="K45" s="63" t="str">
        <f>IF(J45="","",IF(J45&gt;='Petunjuk Siklus I'!$B$12,"Sangat Mandiri",IF(J45&gt;='Petunjuk Siklus I'!$B$13,"Mandiri",IF(J45&gt;='Petunjuk Siklus I'!$B$14,"Kurang Mandiri","Belum Mandiri"))))</f>
        <v>Mandiri</v>
      </c>
      <c r="L45" s="63" t="str">
        <f t="shared" si="2"/>
        <v>Lengkap</v>
      </c>
      <c r="M45" s="69"/>
    </row>
    <row r="46" spans="1:13">
      <c r="A46" s="62">
        <v>42</v>
      </c>
      <c r="B46" s="63" t="s">
        <v>94</v>
      </c>
      <c r="C46" s="63" t="s">
        <v>227</v>
      </c>
      <c r="D46" s="22">
        <v>4</v>
      </c>
      <c r="E46" s="22">
        <v>3</v>
      </c>
      <c r="F46" s="22">
        <v>4</v>
      </c>
      <c r="G46" s="22">
        <v>3</v>
      </c>
      <c r="H46" s="22">
        <v>4</v>
      </c>
      <c r="I46" s="63">
        <f t="shared" si="0"/>
        <v>18</v>
      </c>
      <c r="J46" s="63">
        <f t="shared" si="1"/>
        <v>3.6</v>
      </c>
      <c r="K46" s="63" t="str">
        <f>IF(J46="","",IF(J46&gt;='Petunjuk Siklus I'!$B$12,"Sangat Mandiri",IF(J46&gt;='Petunjuk Siklus I'!$B$13,"Mandiri",IF(J46&gt;='Petunjuk Siklus I'!$B$14,"Kurang Mandiri","Belum Mandiri"))))</f>
        <v>Sangat Mandiri</v>
      </c>
      <c r="L46" s="63" t="str">
        <f t="shared" si="2"/>
        <v>Lengkap</v>
      </c>
      <c r="M46" s="69"/>
    </row>
    <row r="47" spans="1:13">
      <c r="A47" s="62">
        <v>43</v>
      </c>
      <c r="B47" s="63" t="s">
        <v>95</v>
      </c>
      <c r="C47" s="63" t="s">
        <v>227</v>
      </c>
      <c r="D47" s="22">
        <v>4</v>
      </c>
      <c r="E47" s="22">
        <v>3</v>
      </c>
      <c r="F47" s="22">
        <v>2</v>
      </c>
      <c r="G47" s="22">
        <v>4</v>
      </c>
      <c r="H47" s="22">
        <v>3</v>
      </c>
      <c r="I47" s="63">
        <f t="shared" si="0"/>
        <v>16</v>
      </c>
      <c r="J47" s="63">
        <f t="shared" si="1"/>
        <v>3.2</v>
      </c>
      <c r="K47" s="63" t="str">
        <f>IF(J47="","",IF(J47&gt;='Petunjuk Siklus I'!$B$12,"Sangat Mandiri",IF(J47&gt;='Petunjuk Siklus I'!$B$13,"Mandiri",IF(J47&gt;='Petunjuk Siklus I'!$B$14,"Kurang Mandiri","Belum Mandiri"))))</f>
        <v>Mandiri</v>
      </c>
      <c r="L47" s="63" t="str">
        <f t="shared" si="2"/>
        <v>Lengkap</v>
      </c>
      <c r="M47" s="69"/>
    </row>
    <row r="48" spans="1:13">
      <c r="A48" s="62">
        <v>44</v>
      </c>
      <c r="B48" s="63" t="s">
        <v>96</v>
      </c>
      <c r="C48" s="63" t="s">
        <v>227</v>
      </c>
      <c r="D48" s="22">
        <v>4</v>
      </c>
      <c r="E48" s="22">
        <v>2</v>
      </c>
      <c r="F48" s="22">
        <v>2</v>
      </c>
      <c r="G48" s="22">
        <v>3</v>
      </c>
      <c r="H48" s="22">
        <v>3</v>
      </c>
      <c r="I48" s="63">
        <f t="shared" si="0"/>
        <v>14</v>
      </c>
      <c r="J48" s="63">
        <f t="shared" si="1"/>
        <v>2.8</v>
      </c>
      <c r="K48" s="63" t="str">
        <f>IF(J48="","",IF(J48&gt;='Petunjuk Siklus I'!$B$12,"Sangat Mandiri",IF(J48&gt;='Petunjuk Siklus I'!$B$13,"Mandiri",IF(J48&gt;='Petunjuk Siklus I'!$B$14,"Kurang Mandiri","Belum Mandiri"))))</f>
        <v>Mandiri</v>
      </c>
      <c r="L48" s="63" t="str">
        <f t="shared" si="2"/>
        <v>Lengkap</v>
      </c>
      <c r="M48" s="69"/>
    </row>
    <row r="49" spans="1:13">
      <c r="A49" s="62">
        <v>45</v>
      </c>
      <c r="B49" s="63" t="s">
        <v>97</v>
      </c>
      <c r="C49" s="63" t="s">
        <v>227</v>
      </c>
      <c r="D49" s="22">
        <v>4</v>
      </c>
      <c r="E49" s="22">
        <v>3</v>
      </c>
      <c r="F49" s="22">
        <v>4</v>
      </c>
      <c r="G49" s="22">
        <v>3</v>
      </c>
      <c r="H49" s="22">
        <v>4</v>
      </c>
      <c r="I49" s="63">
        <f t="shared" si="0"/>
        <v>18</v>
      </c>
      <c r="J49" s="63">
        <f t="shared" si="1"/>
        <v>3.6</v>
      </c>
      <c r="K49" s="63" t="str">
        <f>IF(J49="","",IF(J49&gt;='Petunjuk Siklus I'!$B$12,"Sangat Mandiri",IF(J49&gt;='Petunjuk Siklus I'!$B$13,"Mandiri",IF(J49&gt;='Petunjuk Siklus I'!$B$14,"Kurang Mandiri","Belum Mandiri"))))</f>
        <v>Sangat Mandiri</v>
      </c>
      <c r="L49" s="63" t="str">
        <f t="shared" si="2"/>
        <v>Lengkap</v>
      </c>
      <c r="M49" s="69"/>
    </row>
    <row r="50" spans="1:13">
      <c r="A50" s="65">
        <v>46</v>
      </c>
      <c r="B50" s="66" t="s">
        <v>98</v>
      </c>
      <c r="C50" s="63" t="s">
        <v>227</v>
      </c>
      <c r="D50" s="22">
        <v>4</v>
      </c>
      <c r="E50" s="22">
        <v>4</v>
      </c>
      <c r="F50" s="22">
        <v>2</v>
      </c>
      <c r="G50" s="22">
        <v>4</v>
      </c>
      <c r="H50" s="22">
        <v>4</v>
      </c>
      <c r="I50" s="66">
        <f t="shared" si="0"/>
        <v>18</v>
      </c>
      <c r="J50" s="66">
        <f t="shared" si="1"/>
        <v>3.6</v>
      </c>
      <c r="K50" s="66" t="str">
        <f>IF(J50="","",IF(J50&gt;='Petunjuk Siklus I'!$B$12,"Sangat Mandiri",IF(J50&gt;='Petunjuk Siklus I'!$B$13,"Mandiri",IF(J50&gt;='Petunjuk Siklus I'!$B$14,"Kurang Mandiri","Belum Mandiri"))))</f>
        <v>Sangat Mandiri</v>
      </c>
      <c r="L50" s="66" t="str">
        <f t="shared" si="2"/>
        <v>Lengkap</v>
      </c>
      <c r="M50" s="70"/>
    </row>
  </sheetData>
  <mergeCells count="2">
    <mergeCell ref="A1:M1"/>
    <mergeCell ref="A2:M2"/>
  </mergeCells>
  <conditionalFormatting sqref="K5:K50">
    <cfRule type="expression" dxfId="29" priority="3">
      <formula>OR(K5="Mandiri",K5="Sangat Mandiri")</formula>
    </cfRule>
    <cfRule type="expression" dxfId="28" priority="4">
      <formula>K5="Kurang Mandiri"</formula>
    </cfRule>
    <cfRule type="expression" dxfId="27" priority="5">
      <formula>K5="Belum Mandiri"</formula>
    </cfRule>
  </conditionalFormatting>
  <conditionalFormatting sqref="D5:H5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C5:C50" xr:uid="{C1D25FE4-19B1-44EA-B436-9903BBE373E5}">
      <formula1>"Hadir,Sakit,Izin,Dispensasi,Alpa"</formula1>
    </dataValidation>
    <dataValidation type="list" sqref="D5:H50" xr:uid="{DBDE7755-58B9-4D7B-97BE-E5B93D5F4168}">
      <formula1>"1,2,3,4"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0"/>
  <sheetViews>
    <sheetView workbookViewId="0">
      <pane ySplit="4" topLeftCell="A5" activePane="bottomLeft" state="frozen"/>
      <selection pane="bottomLeft" activeCell="P8" sqref="P8"/>
    </sheetView>
  </sheetViews>
  <sheetFormatPr defaultRowHeight="13.8"/>
  <cols>
    <col min="1" max="1" width="6" customWidth="1"/>
    <col min="2" max="3" width="14" customWidth="1"/>
    <col min="4" max="11" width="7" customWidth="1"/>
    <col min="12" max="12" width="11" customWidth="1"/>
    <col min="13" max="13" width="14" customWidth="1"/>
    <col min="14" max="18" width="28" customWidth="1"/>
  </cols>
  <sheetData>
    <row r="1" spans="1:18" ht="28.05" customHeight="1">
      <c r="A1" s="134" t="s">
        <v>189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2" spans="1:18" ht="14.4">
      <c r="A2" s="135" t="s">
        <v>190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</row>
    <row r="4" spans="1:18" ht="30" customHeight="1">
      <c r="A4" s="71" t="s">
        <v>42</v>
      </c>
      <c r="B4" s="71" t="s">
        <v>26</v>
      </c>
      <c r="C4" s="71" t="s">
        <v>185</v>
      </c>
      <c r="D4" s="71" t="s">
        <v>191</v>
      </c>
      <c r="E4" s="71" t="s">
        <v>192</v>
      </c>
      <c r="F4" s="71" t="s">
        <v>193</v>
      </c>
      <c r="G4" s="71" t="s">
        <v>194</v>
      </c>
      <c r="H4" s="71" t="s">
        <v>195</v>
      </c>
      <c r="I4" s="71" t="s">
        <v>196</v>
      </c>
      <c r="J4" s="71" t="s">
        <v>197</v>
      </c>
      <c r="K4" s="71" t="s">
        <v>198</v>
      </c>
      <c r="L4" s="71" t="s">
        <v>109</v>
      </c>
      <c r="M4" s="71" t="s">
        <v>199</v>
      </c>
      <c r="N4" s="71" t="s">
        <v>200</v>
      </c>
      <c r="O4" s="71" t="s">
        <v>201</v>
      </c>
      <c r="P4" s="71" t="s">
        <v>202</v>
      </c>
      <c r="Q4" s="71" t="s">
        <v>203</v>
      </c>
      <c r="R4" s="71" t="s">
        <v>204</v>
      </c>
    </row>
    <row r="5" spans="1:18">
      <c r="A5" s="78">
        <v>1</v>
      </c>
      <c r="B5" s="79" t="s">
        <v>53</v>
      </c>
      <c r="C5" s="60" t="s">
        <v>227</v>
      </c>
      <c r="D5" s="103">
        <v>3</v>
      </c>
      <c r="E5" s="103">
        <v>3</v>
      </c>
      <c r="F5" s="103">
        <v>2</v>
      </c>
      <c r="G5" s="103">
        <v>3</v>
      </c>
      <c r="H5" s="103">
        <v>2</v>
      </c>
      <c r="I5" s="103">
        <v>2</v>
      </c>
      <c r="J5" s="103">
        <v>3</v>
      </c>
      <c r="K5" s="103">
        <v>3</v>
      </c>
      <c r="L5" s="79">
        <f t="shared" ref="L5:L50" si="0">IF(AND(C5="Hadir",COUNT(D5:K5)=8),ROUND(AVERAGE(D5:K5),2),"")</f>
        <v>2.63</v>
      </c>
      <c r="M5" s="103" t="s">
        <v>250</v>
      </c>
      <c r="N5" s="102" t="s">
        <v>252</v>
      </c>
      <c r="O5" s="102" t="s">
        <v>253</v>
      </c>
      <c r="P5" s="102" t="s">
        <v>312</v>
      </c>
      <c r="Q5" s="102" t="s">
        <v>347</v>
      </c>
      <c r="R5" s="102" t="s">
        <v>383</v>
      </c>
    </row>
    <row r="6" spans="1:18">
      <c r="A6" s="80">
        <v>2</v>
      </c>
      <c r="B6" s="81" t="s">
        <v>54</v>
      </c>
      <c r="C6" s="60" t="s">
        <v>227</v>
      </c>
      <c r="D6" s="103">
        <v>3</v>
      </c>
      <c r="E6" s="103">
        <v>3</v>
      </c>
      <c r="F6" s="103">
        <v>3</v>
      </c>
      <c r="G6" s="103">
        <v>3</v>
      </c>
      <c r="H6" s="103">
        <v>3</v>
      </c>
      <c r="I6" s="103">
        <v>3</v>
      </c>
      <c r="J6" s="103">
        <v>3</v>
      </c>
      <c r="K6" s="103">
        <v>3</v>
      </c>
      <c r="L6" s="81">
        <f t="shared" si="0"/>
        <v>3</v>
      </c>
      <c r="M6" s="103" t="s">
        <v>251</v>
      </c>
      <c r="N6" s="102" t="s">
        <v>254</v>
      </c>
      <c r="O6" s="102" t="s">
        <v>255</v>
      </c>
      <c r="P6" s="102" t="s">
        <v>313</v>
      </c>
      <c r="Q6" s="102" t="s">
        <v>348</v>
      </c>
      <c r="R6" s="102" t="s">
        <v>384</v>
      </c>
    </row>
    <row r="7" spans="1:18">
      <c r="A7" s="80">
        <v>3</v>
      </c>
      <c r="B7" s="81" t="s">
        <v>55</v>
      </c>
      <c r="C7" s="60" t="s">
        <v>227</v>
      </c>
      <c r="D7" s="103">
        <v>2</v>
      </c>
      <c r="E7" s="103">
        <v>3</v>
      </c>
      <c r="F7" s="103">
        <v>2</v>
      </c>
      <c r="G7" s="103">
        <v>3</v>
      </c>
      <c r="H7" s="103">
        <v>2</v>
      </c>
      <c r="I7" s="103">
        <v>1</v>
      </c>
      <c r="J7" s="103">
        <v>3</v>
      </c>
      <c r="K7" s="103">
        <v>2</v>
      </c>
      <c r="L7" s="81">
        <f t="shared" si="0"/>
        <v>2.25</v>
      </c>
      <c r="M7" s="103" t="s">
        <v>251</v>
      </c>
      <c r="N7" s="102" t="s">
        <v>256</v>
      </c>
      <c r="O7" s="102" t="s">
        <v>257</v>
      </c>
      <c r="P7" s="102" t="s">
        <v>314</v>
      </c>
      <c r="Q7" s="102" t="s">
        <v>349</v>
      </c>
      <c r="R7" s="102" t="s">
        <v>385</v>
      </c>
    </row>
    <row r="8" spans="1:18">
      <c r="A8" s="80">
        <v>4</v>
      </c>
      <c r="B8" s="81" t="s">
        <v>56</v>
      </c>
      <c r="C8" s="60" t="s">
        <v>227</v>
      </c>
      <c r="D8" s="81"/>
      <c r="E8" s="81"/>
      <c r="F8" s="81"/>
      <c r="G8" s="81"/>
      <c r="H8" s="81"/>
      <c r="I8" s="81"/>
      <c r="J8" s="81"/>
      <c r="K8" s="81"/>
      <c r="L8" s="81" t="str">
        <f t="shared" si="0"/>
        <v/>
      </c>
      <c r="M8" s="103"/>
      <c r="N8" s="102"/>
      <c r="O8" s="102"/>
      <c r="P8" s="102"/>
      <c r="Q8" s="102"/>
      <c r="R8" s="102"/>
    </row>
    <row r="9" spans="1:18">
      <c r="A9" s="80">
        <v>5</v>
      </c>
      <c r="B9" s="81" t="s">
        <v>57</v>
      </c>
      <c r="C9" s="60" t="s">
        <v>227</v>
      </c>
      <c r="D9" s="103">
        <v>4</v>
      </c>
      <c r="E9" s="103">
        <v>3</v>
      </c>
      <c r="F9" s="103">
        <v>4</v>
      </c>
      <c r="G9" s="103">
        <v>4</v>
      </c>
      <c r="H9" s="103">
        <v>4</v>
      </c>
      <c r="I9" s="103">
        <v>2</v>
      </c>
      <c r="J9" s="103">
        <v>4</v>
      </c>
      <c r="K9" s="103">
        <v>4</v>
      </c>
      <c r="L9" s="81">
        <f t="shared" si="0"/>
        <v>3.63</v>
      </c>
      <c r="M9" s="103" t="s">
        <v>251</v>
      </c>
      <c r="N9" s="102" t="s">
        <v>258</v>
      </c>
      <c r="O9" s="102" t="s">
        <v>259</v>
      </c>
      <c r="P9" s="102" t="s">
        <v>315</v>
      </c>
      <c r="Q9" s="102" t="s">
        <v>350</v>
      </c>
      <c r="R9" s="102" t="s">
        <v>386</v>
      </c>
    </row>
    <row r="10" spans="1:18">
      <c r="A10" s="80">
        <v>6</v>
      </c>
      <c r="B10" s="81" t="s">
        <v>58</v>
      </c>
      <c r="C10" s="60" t="s">
        <v>227</v>
      </c>
      <c r="D10" s="103">
        <v>3</v>
      </c>
      <c r="E10" s="103">
        <v>3</v>
      </c>
      <c r="F10" s="103">
        <v>2</v>
      </c>
      <c r="G10" s="103">
        <v>2</v>
      </c>
      <c r="H10" s="103">
        <v>2</v>
      </c>
      <c r="I10" s="103">
        <v>3</v>
      </c>
      <c r="J10" s="103">
        <v>4</v>
      </c>
      <c r="K10" s="103">
        <v>3</v>
      </c>
      <c r="L10" s="81">
        <f t="shared" si="0"/>
        <v>2.75</v>
      </c>
      <c r="M10" s="103" t="s">
        <v>251</v>
      </c>
      <c r="N10" s="102" t="s">
        <v>260</v>
      </c>
      <c r="O10" s="102" t="s">
        <v>261</v>
      </c>
      <c r="P10" s="102" t="s">
        <v>316</v>
      </c>
      <c r="Q10" s="102" t="s">
        <v>351</v>
      </c>
      <c r="R10" s="102" t="s">
        <v>387</v>
      </c>
    </row>
    <row r="11" spans="1:18">
      <c r="A11" s="80">
        <v>7</v>
      </c>
      <c r="B11" s="81" t="s">
        <v>59</v>
      </c>
      <c r="C11" s="60" t="s">
        <v>227</v>
      </c>
      <c r="D11" s="81"/>
      <c r="E11" s="81"/>
      <c r="F11" s="81"/>
      <c r="G11" s="81"/>
      <c r="H11" s="81"/>
      <c r="I11" s="81"/>
      <c r="J11" s="81"/>
      <c r="K11" s="81"/>
      <c r="L11" s="81" t="str">
        <f t="shared" si="0"/>
        <v/>
      </c>
      <c r="M11" s="103"/>
      <c r="N11" s="102"/>
      <c r="O11" s="102"/>
      <c r="P11" s="102"/>
      <c r="Q11" s="102"/>
      <c r="R11" s="102"/>
    </row>
    <row r="12" spans="1:18">
      <c r="A12" s="80">
        <v>8</v>
      </c>
      <c r="B12" s="81" t="s">
        <v>60</v>
      </c>
      <c r="C12" s="60" t="s">
        <v>227</v>
      </c>
      <c r="D12" s="103">
        <v>1</v>
      </c>
      <c r="E12" s="103">
        <v>1</v>
      </c>
      <c r="F12" s="103">
        <v>2</v>
      </c>
      <c r="G12" s="103">
        <v>4</v>
      </c>
      <c r="H12" s="103">
        <v>4</v>
      </c>
      <c r="I12" s="103">
        <v>2</v>
      </c>
      <c r="J12" s="103">
        <v>2</v>
      </c>
      <c r="K12" s="103">
        <v>3</v>
      </c>
      <c r="L12" s="81">
        <f t="shared" si="0"/>
        <v>2.38</v>
      </c>
      <c r="M12" s="103" t="s">
        <v>251</v>
      </c>
      <c r="N12" s="102" t="s">
        <v>262</v>
      </c>
      <c r="O12" s="102" t="s">
        <v>263</v>
      </c>
      <c r="P12" s="102" t="s">
        <v>317</v>
      </c>
      <c r="Q12" s="102" t="s">
        <v>352</v>
      </c>
      <c r="R12" s="102" t="s">
        <v>388</v>
      </c>
    </row>
    <row r="13" spans="1:18">
      <c r="A13" s="80">
        <v>9</v>
      </c>
      <c r="B13" s="81" t="s">
        <v>61</v>
      </c>
      <c r="C13" s="60" t="s">
        <v>227</v>
      </c>
      <c r="D13" s="103">
        <v>3</v>
      </c>
      <c r="E13" s="103">
        <v>2</v>
      </c>
      <c r="F13" s="103">
        <v>3</v>
      </c>
      <c r="G13" s="103">
        <v>2</v>
      </c>
      <c r="H13" s="103">
        <v>3</v>
      </c>
      <c r="I13" s="103">
        <v>3</v>
      </c>
      <c r="J13" s="103">
        <v>4</v>
      </c>
      <c r="K13" s="103">
        <v>4</v>
      </c>
      <c r="L13" s="81">
        <f t="shared" si="0"/>
        <v>3</v>
      </c>
      <c r="M13" s="103" t="s">
        <v>251</v>
      </c>
      <c r="N13" s="102" t="s">
        <v>264</v>
      </c>
      <c r="O13" s="102" t="s">
        <v>265</v>
      </c>
      <c r="P13" s="102" t="s">
        <v>318</v>
      </c>
      <c r="Q13" s="102" t="s">
        <v>353</v>
      </c>
      <c r="R13" s="102" t="s">
        <v>389</v>
      </c>
    </row>
    <row r="14" spans="1:18">
      <c r="A14" s="80">
        <v>10</v>
      </c>
      <c r="B14" s="81" t="s">
        <v>62</v>
      </c>
      <c r="C14" s="60" t="s">
        <v>227</v>
      </c>
      <c r="D14" s="103">
        <v>2</v>
      </c>
      <c r="E14" s="103">
        <v>1</v>
      </c>
      <c r="F14" s="103">
        <v>3</v>
      </c>
      <c r="G14" s="103">
        <v>2</v>
      </c>
      <c r="H14" s="103">
        <v>3</v>
      </c>
      <c r="I14" s="103">
        <v>2</v>
      </c>
      <c r="J14" s="103">
        <v>3</v>
      </c>
      <c r="K14" s="103">
        <v>2</v>
      </c>
      <c r="L14" s="81">
        <f t="shared" si="0"/>
        <v>2.25</v>
      </c>
      <c r="M14" s="103" t="s">
        <v>250</v>
      </c>
      <c r="N14" s="102" t="s">
        <v>266</v>
      </c>
      <c r="O14" s="102" t="s">
        <v>267</v>
      </c>
      <c r="P14" s="102" t="s">
        <v>319</v>
      </c>
      <c r="Q14" s="102" t="s">
        <v>354</v>
      </c>
      <c r="R14" s="102" t="s">
        <v>390</v>
      </c>
    </row>
    <row r="15" spans="1:18">
      <c r="A15" s="80">
        <v>11</v>
      </c>
      <c r="B15" s="81" t="s">
        <v>63</v>
      </c>
      <c r="C15" s="60" t="s">
        <v>227</v>
      </c>
      <c r="D15" s="103">
        <v>3</v>
      </c>
      <c r="E15" s="103">
        <v>3</v>
      </c>
      <c r="F15" s="103">
        <v>3</v>
      </c>
      <c r="G15" s="103">
        <v>3</v>
      </c>
      <c r="H15" s="103">
        <v>3</v>
      </c>
      <c r="I15" s="103">
        <v>3</v>
      </c>
      <c r="J15" s="103">
        <v>4</v>
      </c>
      <c r="K15" s="103">
        <v>3</v>
      </c>
      <c r="L15" s="81">
        <f t="shared" si="0"/>
        <v>3.13</v>
      </c>
      <c r="M15" s="103" t="s">
        <v>251</v>
      </c>
      <c r="N15" s="102" t="s">
        <v>268</v>
      </c>
      <c r="O15" s="102" t="s">
        <v>269</v>
      </c>
      <c r="P15" s="102" t="s">
        <v>320</v>
      </c>
      <c r="Q15" s="102" t="s">
        <v>355</v>
      </c>
      <c r="R15" s="102" t="s">
        <v>391</v>
      </c>
    </row>
    <row r="16" spans="1:18">
      <c r="A16" s="80">
        <v>12</v>
      </c>
      <c r="B16" s="81" t="s">
        <v>64</v>
      </c>
      <c r="C16" s="60" t="s">
        <v>227</v>
      </c>
      <c r="D16" s="103">
        <v>3</v>
      </c>
      <c r="E16" s="103">
        <v>3</v>
      </c>
      <c r="F16" s="103">
        <v>3</v>
      </c>
      <c r="G16" s="103">
        <v>2</v>
      </c>
      <c r="H16" s="103">
        <v>2</v>
      </c>
      <c r="I16" s="103">
        <v>2</v>
      </c>
      <c r="J16" s="103">
        <v>2</v>
      </c>
      <c r="K16" s="103">
        <v>3</v>
      </c>
      <c r="L16" s="81">
        <f t="shared" si="0"/>
        <v>2.5</v>
      </c>
      <c r="M16" s="103" t="s">
        <v>250</v>
      </c>
      <c r="N16" s="102" t="s">
        <v>270</v>
      </c>
      <c r="O16" s="102" t="s">
        <v>271</v>
      </c>
      <c r="P16" s="102" t="s">
        <v>321</v>
      </c>
      <c r="Q16" s="102" t="s">
        <v>356</v>
      </c>
      <c r="R16" s="102" t="s">
        <v>392</v>
      </c>
    </row>
    <row r="17" spans="1:18">
      <c r="A17" s="80">
        <v>13</v>
      </c>
      <c r="B17" s="81" t="s">
        <v>65</v>
      </c>
      <c r="C17" s="60" t="s">
        <v>227</v>
      </c>
      <c r="D17" s="103">
        <v>3</v>
      </c>
      <c r="E17" s="103">
        <v>3</v>
      </c>
      <c r="F17" s="103">
        <v>3</v>
      </c>
      <c r="G17" s="103">
        <v>2</v>
      </c>
      <c r="H17" s="103">
        <v>2</v>
      </c>
      <c r="I17" s="103">
        <v>3</v>
      </c>
      <c r="J17" s="103">
        <v>3</v>
      </c>
      <c r="K17" s="103">
        <v>3</v>
      </c>
      <c r="L17" s="81">
        <f t="shared" si="0"/>
        <v>2.75</v>
      </c>
      <c r="M17" s="103" t="s">
        <v>251</v>
      </c>
      <c r="N17" s="102" t="s">
        <v>272</v>
      </c>
      <c r="O17" s="102" t="s">
        <v>273</v>
      </c>
      <c r="P17" s="102" t="s">
        <v>322</v>
      </c>
      <c r="Q17" s="102" t="s">
        <v>357</v>
      </c>
      <c r="R17" s="102" t="s">
        <v>393</v>
      </c>
    </row>
    <row r="18" spans="1:18">
      <c r="A18" s="80">
        <v>14</v>
      </c>
      <c r="B18" s="81" t="s">
        <v>66</v>
      </c>
      <c r="C18" s="60" t="s">
        <v>227</v>
      </c>
      <c r="D18" s="103">
        <v>3</v>
      </c>
      <c r="E18" s="103">
        <v>4</v>
      </c>
      <c r="F18" s="103">
        <v>4</v>
      </c>
      <c r="G18" s="103">
        <v>4</v>
      </c>
      <c r="H18" s="103">
        <v>3</v>
      </c>
      <c r="I18" s="103">
        <v>3</v>
      </c>
      <c r="J18" s="103">
        <v>3</v>
      </c>
      <c r="K18" s="103">
        <v>3</v>
      </c>
      <c r="L18" s="81">
        <f t="shared" si="0"/>
        <v>3.38</v>
      </c>
      <c r="M18" s="103" t="s">
        <v>251</v>
      </c>
      <c r="N18" s="102" t="s">
        <v>274</v>
      </c>
      <c r="O18" s="102" t="s">
        <v>271</v>
      </c>
      <c r="P18" s="102" t="s">
        <v>323</v>
      </c>
      <c r="Q18" s="102" t="s">
        <v>358</v>
      </c>
      <c r="R18" s="102" t="s">
        <v>394</v>
      </c>
    </row>
    <row r="19" spans="1:18">
      <c r="A19" s="80">
        <v>15</v>
      </c>
      <c r="B19" s="81" t="s">
        <v>67</v>
      </c>
      <c r="C19" s="60" t="s">
        <v>227</v>
      </c>
      <c r="D19" s="103">
        <v>3</v>
      </c>
      <c r="E19" s="103">
        <v>3</v>
      </c>
      <c r="F19" s="103">
        <v>3</v>
      </c>
      <c r="G19" s="103">
        <v>3</v>
      </c>
      <c r="H19" s="103">
        <v>3</v>
      </c>
      <c r="I19" s="103">
        <v>3</v>
      </c>
      <c r="J19" s="103">
        <v>3</v>
      </c>
      <c r="K19" s="103">
        <v>3</v>
      </c>
      <c r="L19" s="81">
        <f t="shared" si="0"/>
        <v>3</v>
      </c>
      <c r="M19" s="103" t="s">
        <v>250</v>
      </c>
      <c r="N19" s="102" t="s">
        <v>275</v>
      </c>
      <c r="O19" s="102" t="s">
        <v>276</v>
      </c>
      <c r="P19" s="102" t="s">
        <v>324</v>
      </c>
      <c r="Q19" s="102" t="s">
        <v>359</v>
      </c>
      <c r="R19" s="102" t="s">
        <v>395</v>
      </c>
    </row>
    <row r="20" spans="1:18">
      <c r="A20" s="80">
        <v>16</v>
      </c>
      <c r="B20" s="81" t="s">
        <v>68</v>
      </c>
      <c r="C20" s="60" t="s">
        <v>227</v>
      </c>
      <c r="D20" s="103">
        <v>1</v>
      </c>
      <c r="E20" s="103">
        <v>3</v>
      </c>
      <c r="F20" s="103">
        <v>3</v>
      </c>
      <c r="G20" s="103">
        <v>3</v>
      </c>
      <c r="H20" s="103">
        <v>2</v>
      </c>
      <c r="I20" s="103">
        <v>3</v>
      </c>
      <c r="J20" s="103">
        <v>3</v>
      </c>
      <c r="K20" s="103">
        <v>3</v>
      </c>
      <c r="L20" s="81">
        <f t="shared" si="0"/>
        <v>2.63</v>
      </c>
      <c r="M20" s="103" t="s">
        <v>251</v>
      </c>
      <c r="N20" s="102" t="s">
        <v>277</v>
      </c>
      <c r="O20" s="102" t="s">
        <v>278</v>
      </c>
      <c r="P20" s="102" t="s">
        <v>325</v>
      </c>
      <c r="Q20" s="102" t="s">
        <v>360</v>
      </c>
      <c r="R20" s="102" t="s">
        <v>396</v>
      </c>
    </row>
    <row r="21" spans="1:18">
      <c r="A21" s="80">
        <v>17</v>
      </c>
      <c r="B21" s="81" t="s">
        <v>69</v>
      </c>
      <c r="C21" s="60" t="s">
        <v>227</v>
      </c>
      <c r="D21" s="103">
        <v>2</v>
      </c>
      <c r="E21" s="103">
        <v>3</v>
      </c>
      <c r="F21" s="103">
        <v>2</v>
      </c>
      <c r="G21" s="103">
        <v>2</v>
      </c>
      <c r="H21" s="103">
        <v>2</v>
      </c>
      <c r="I21" s="103">
        <v>2</v>
      </c>
      <c r="J21" s="103">
        <v>2</v>
      </c>
      <c r="K21" s="103">
        <v>2</v>
      </c>
      <c r="L21" s="81">
        <f t="shared" si="0"/>
        <v>2.13</v>
      </c>
      <c r="M21" s="103" t="s">
        <v>250</v>
      </c>
      <c r="N21" s="102" t="s">
        <v>279</v>
      </c>
      <c r="O21" s="102" t="s">
        <v>271</v>
      </c>
      <c r="P21" s="102" t="s">
        <v>326</v>
      </c>
      <c r="Q21" s="102" t="s">
        <v>361</v>
      </c>
      <c r="R21" s="102" t="s">
        <v>397</v>
      </c>
    </row>
    <row r="22" spans="1:18">
      <c r="A22" s="80">
        <v>18</v>
      </c>
      <c r="B22" s="81" t="s">
        <v>70</v>
      </c>
      <c r="C22" s="60" t="s">
        <v>227</v>
      </c>
      <c r="D22" s="103">
        <v>3</v>
      </c>
      <c r="E22" s="103">
        <v>2</v>
      </c>
      <c r="F22" s="103">
        <v>2</v>
      </c>
      <c r="G22" s="103">
        <v>3</v>
      </c>
      <c r="H22" s="103">
        <v>3</v>
      </c>
      <c r="I22" s="103">
        <v>2</v>
      </c>
      <c r="J22" s="103">
        <v>4</v>
      </c>
      <c r="K22" s="103">
        <v>1</v>
      </c>
      <c r="L22" s="81">
        <f t="shared" si="0"/>
        <v>2.5</v>
      </c>
      <c r="M22" s="103" t="s">
        <v>251</v>
      </c>
      <c r="N22" s="102" t="s">
        <v>280</v>
      </c>
      <c r="O22" s="102" t="s">
        <v>279</v>
      </c>
      <c r="P22" s="102" t="s">
        <v>327</v>
      </c>
      <c r="Q22" s="102" t="s">
        <v>362</v>
      </c>
      <c r="R22" s="102" t="s">
        <v>398</v>
      </c>
    </row>
    <row r="23" spans="1:18">
      <c r="A23" s="80">
        <v>19</v>
      </c>
      <c r="B23" s="81" t="s">
        <v>71</v>
      </c>
      <c r="C23" s="60" t="s">
        <v>232</v>
      </c>
      <c r="D23" s="81"/>
      <c r="E23" s="81"/>
      <c r="F23" s="81"/>
      <c r="G23" s="81"/>
      <c r="H23" s="81"/>
      <c r="I23" s="81"/>
      <c r="J23" s="81"/>
      <c r="K23" s="81"/>
      <c r="L23" s="81" t="str">
        <f t="shared" si="0"/>
        <v/>
      </c>
      <c r="M23" s="103"/>
      <c r="N23" s="102"/>
      <c r="O23" s="102"/>
      <c r="P23" s="102"/>
      <c r="Q23" s="102"/>
      <c r="R23" s="102"/>
    </row>
    <row r="24" spans="1:18">
      <c r="A24" s="80">
        <v>20</v>
      </c>
      <c r="B24" s="81" t="s">
        <v>72</v>
      </c>
      <c r="C24" s="60" t="s">
        <v>227</v>
      </c>
      <c r="D24" s="103">
        <v>3</v>
      </c>
      <c r="E24" s="103">
        <v>3</v>
      </c>
      <c r="F24" s="103">
        <v>2</v>
      </c>
      <c r="G24" s="103">
        <v>2</v>
      </c>
      <c r="H24" s="103">
        <v>2</v>
      </c>
      <c r="I24" s="103">
        <v>2</v>
      </c>
      <c r="J24" s="103">
        <v>3</v>
      </c>
      <c r="K24" s="103">
        <v>3</v>
      </c>
      <c r="L24" s="81">
        <f t="shared" si="0"/>
        <v>2.5</v>
      </c>
      <c r="M24" s="103" t="s">
        <v>250</v>
      </c>
      <c r="N24" s="102" t="s">
        <v>281</v>
      </c>
      <c r="O24" s="102" t="s">
        <v>282</v>
      </c>
      <c r="P24" s="102" t="s">
        <v>328</v>
      </c>
      <c r="Q24" s="102" t="s">
        <v>363</v>
      </c>
      <c r="R24" s="102" t="s">
        <v>399</v>
      </c>
    </row>
    <row r="25" spans="1:18">
      <c r="A25" s="80">
        <v>21</v>
      </c>
      <c r="B25" s="81" t="s">
        <v>73</v>
      </c>
      <c r="C25" s="60" t="s">
        <v>227</v>
      </c>
      <c r="D25" s="103">
        <v>3</v>
      </c>
      <c r="E25" s="103">
        <v>3</v>
      </c>
      <c r="F25" s="103">
        <v>3</v>
      </c>
      <c r="G25" s="103">
        <v>3</v>
      </c>
      <c r="H25" s="103">
        <v>2</v>
      </c>
      <c r="I25" s="103">
        <v>2</v>
      </c>
      <c r="J25" s="103">
        <v>3</v>
      </c>
      <c r="K25" s="103">
        <v>4</v>
      </c>
      <c r="L25" s="81">
        <f t="shared" si="0"/>
        <v>2.88</v>
      </c>
      <c r="M25" s="103" t="s">
        <v>251</v>
      </c>
      <c r="N25" s="102" t="s">
        <v>283</v>
      </c>
      <c r="O25" s="102" t="s">
        <v>284</v>
      </c>
      <c r="P25" s="102" t="s">
        <v>329</v>
      </c>
      <c r="Q25" s="102" t="s">
        <v>364</v>
      </c>
      <c r="R25" s="102" t="s">
        <v>400</v>
      </c>
    </row>
    <row r="26" spans="1:18">
      <c r="A26" s="80">
        <v>22</v>
      </c>
      <c r="B26" s="81" t="s">
        <v>74</v>
      </c>
      <c r="C26" s="60" t="s">
        <v>232</v>
      </c>
      <c r="D26" s="103"/>
      <c r="E26" s="103"/>
      <c r="F26" s="103"/>
      <c r="G26" s="103"/>
      <c r="H26" s="103"/>
      <c r="I26" s="103"/>
      <c r="J26" s="103"/>
      <c r="K26" s="103"/>
      <c r="L26" s="81" t="str">
        <f t="shared" si="0"/>
        <v/>
      </c>
      <c r="M26" s="103"/>
      <c r="N26" s="102"/>
      <c r="O26" s="102"/>
      <c r="P26" s="102"/>
      <c r="Q26" s="102"/>
      <c r="R26" s="102"/>
    </row>
    <row r="27" spans="1:18">
      <c r="A27" s="80">
        <v>23</v>
      </c>
      <c r="B27" s="81" t="s">
        <v>75</v>
      </c>
      <c r="C27" s="60" t="s">
        <v>227</v>
      </c>
      <c r="D27" s="103">
        <v>3</v>
      </c>
      <c r="E27" s="103">
        <v>2</v>
      </c>
      <c r="F27" s="103">
        <v>3</v>
      </c>
      <c r="G27" s="103">
        <v>3</v>
      </c>
      <c r="H27" s="103">
        <v>3</v>
      </c>
      <c r="I27" s="103">
        <v>3</v>
      </c>
      <c r="J27" s="103">
        <v>3</v>
      </c>
      <c r="K27" s="103">
        <v>3</v>
      </c>
      <c r="L27" s="81">
        <f t="shared" si="0"/>
        <v>2.88</v>
      </c>
      <c r="M27" s="103" t="s">
        <v>251</v>
      </c>
      <c r="N27" s="102" t="s">
        <v>285</v>
      </c>
      <c r="O27" s="102" t="s">
        <v>286</v>
      </c>
      <c r="P27" s="102" t="s">
        <v>330</v>
      </c>
      <c r="Q27" s="102" t="s">
        <v>365</v>
      </c>
      <c r="R27" s="102" t="s">
        <v>401</v>
      </c>
    </row>
    <row r="28" spans="1:18">
      <c r="A28" s="80">
        <v>24</v>
      </c>
      <c r="B28" s="81" t="s">
        <v>76</v>
      </c>
      <c r="C28" s="63" t="s">
        <v>227</v>
      </c>
      <c r="D28" s="103">
        <v>3</v>
      </c>
      <c r="E28" s="103">
        <v>4</v>
      </c>
      <c r="F28" s="103">
        <v>3</v>
      </c>
      <c r="G28" s="103">
        <v>3</v>
      </c>
      <c r="H28" s="103">
        <v>4</v>
      </c>
      <c r="I28" s="103">
        <v>3</v>
      </c>
      <c r="J28" s="103">
        <v>4</v>
      </c>
      <c r="K28" s="103">
        <v>4</v>
      </c>
      <c r="L28" s="81">
        <f t="shared" si="0"/>
        <v>3.5</v>
      </c>
      <c r="M28" s="103" t="s">
        <v>250</v>
      </c>
      <c r="N28" s="102" t="s">
        <v>274</v>
      </c>
      <c r="O28" s="102" t="s">
        <v>271</v>
      </c>
      <c r="P28" s="102" t="s">
        <v>331</v>
      </c>
      <c r="Q28" s="102" t="s">
        <v>366</v>
      </c>
      <c r="R28" s="102" t="s">
        <v>402</v>
      </c>
    </row>
    <row r="29" spans="1:18">
      <c r="A29" s="80">
        <v>25</v>
      </c>
      <c r="B29" s="81" t="s">
        <v>77</v>
      </c>
      <c r="C29" s="63" t="s">
        <v>227</v>
      </c>
      <c r="D29" s="103"/>
      <c r="E29" s="103"/>
      <c r="F29" s="103"/>
      <c r="G29" s="103"/>
      <c r="H29" s="103"/>
      <c r="I29" s="103"/>
      <c r="J29" s="103"/>
      <c r="K29" s="103"/>
      <c r="L29" s="81" t="str">
        <f t="shared" si="0"/>
        <v/>
      </c>
      <c r="M29" s="103"/>
      <c r="N29" s="102"/>
      <c r="O29" s="102"/>
      <c r="P29" s="102"/>
      <c r="Q29" s="102"/>
      <c r="R29" s="102"/>
    </row>
    <row r="30" spans="1:18">
      <c r="A30" s="80">
        <v>26</v>
      </c>
      <c r="B30" s="81" t="s">
        <v>78</v>
      </c>
      <c r="C30" s="63" t="s">
        <v>227</v>
      </c>
      <c r="D30" s="103">
        <v>3</v>
      </c>
      <c r="E30" s="103">
        <v>2</v>
      </c>
      <c r="F30" s="103">
        <v>3</v>
      </c>
      <c r="G30" s="103">
        <v>2</v>
      </c>
      <c r="H30" s="103">
        <v>2</v>
      </c>
      <c r="I30" s="103">
        <v>3</v>
      </c>
      <c r="J30" s="103">
        <v>2</v>
      </c>
      <c r="K30" s="103">
        <v>1</v>
      </c>
      <c r="L30" s="81">
        <f t="shared" si="0"/>
        <v>2.25</v>
      </c>
      <c r="M30" s="103" t="s">
        <v>251</v>
      </c>
      <c r="N30" s="102" t="s">
        <v>287</v>
      </c>
      <c r="O30" s="102" t="s">
        <v>288</v>
      </c>
      <c r="P30" s="102" t="s">
        <v>332</v>
      </c>
      <c r="Q30" s="102" t="s">
        <v>367</v>
      </c>
      <c r="R30" s="102" t="s">
        <v>403</v>
      </c>
    </row>
    <row r="31" spans="1:18">
      <c r="A31" s="80">
        <v>27</v>
      </c>
      <c r="B31" s="81" t="s">
        <v>79</v>
      </c>
      <c r="C31" s="63" t="s">
        <v>227</v>
      </c>
      <c r="D31" s="103">
        <v>2</v>
      </c>
      <c r="E31" s="103">
        <v>3</v>
      </c>
      <c r="F31" s="103">
        <v>2</v>
      </c>
      <c r="G31" s="103">
        <v>2</v>
      </c>
      <c r="H31" s="103">
        <v>2</v>
      </c>
      <c r="I31" s="103">
        <v>2</v>
      </c>
      <c r="J31" s="103">
        <v>3</v>
      </c>
      <c r="K31" s="103">
        <v>3</v>
      </c>
      <c r="L31" s="81">
        <f t="shared" si="0"/>
        <v>2.38</v>
      </c>
      <c r="M31" s="103" t="s">
        <v>251</v>
      </c>
      <c r="N31" s="102" t="s">
        <v>289</v>
      </c>
      <c r="O31" s="102" t="s">
        <v>290</v>
      </c>
      <c r="P31" s="102" t="s">
        <v>333</v>
      </c>
      <c r="Q31" s="102" t="s">
        <v>368</v>
      </c>
      <c r="R31" s="102" t="s">
        <v>290</v>
      </c>
    </row>
    <row r="32" spans="1:18">
      <c r="A32" s="80">
        <v>28</v>
      </c>
      <c r="B32" s="81" t="s">
        <v>80</v>
      </c>
      <c r="C32" s="63" t="s">
        <v>227</v>
      </c>
      <c r="D32" s="103">
        <v>3</v>
      </c>
      <c r="E32" s="103">
        <v>3</v>
      </c>
      <c r="F32" s="103">
        <v>3</v>
      </c>
      <c r="G32" s="103">
        <v>3</v>
      </c>
      <c r="H32" s="103">
        <v>3</v>
      </c>
      <c r="I32" s="103">
        <v>2</v>
      </c>
      <c r="J32" s="103">
        <v>2</v>
      </c>
      <c r="K32" s="103">
        <v>4</v>
      </c>
      <c r="L32" s="81">
        <f t="shared" si="0"/>
        <v>2.88</v>
      </c>
      <c r="M32" s="103" t="s">
        <v>251</v>
      </c>
      <c r="N32" s="102" t="s">
        <v>291</v>
      </c>
      <c r="O32" s="102" t="s">
        <v>286</v>
      </c>
      <c r="P32" s="102" t="s">
        <v>334</v>
      </c>
      <c r="Q32" s="102" t="s">
        <v>369</v>
      </c>
      <c r="R32" s="102" t="s">
        <v>404</v>
      </c>
    </row>
    <row r="33" spans="1:18">
      <c r="A33" s="80">
        <v>29</v>
      </c>
      <c r="B33" s="81" t="s">
        <v>81</v>
      </c>
      <c r="C33" s="63" t="s">
        <v>228</v>
      </c>
      <c r="D33" s="103"/>
      <c r="E33" s="103"/>
      <c r="F33" s="103"/>
      <c r="G33" s="103"/>
      <c r="H33" s="103"/>
      <c r="I33" s="103"/>
      <c r="J33" s="103"/>
      <c r="K33" s="103"/>
      <c r="L33" s="81" t="str">
        <f t="shared" si="0"/>
        <v/>
      </c>
      <c r="M33" s="103"/>
      <c r="N33" s="102"/>
      <c r="O33" s="102"/>
      <c r="P33" s="102"/>
      <c r="Q33" s="102"/>
      <c r="R33" s="102"/>
    </row>
    <row r="34" spans="1:18">
      <c r="A34" s="80">
        <v>30</v>
      </c>
      <c r="B34" s="81" t="s">
        <v>82</v>
      </c>
      <c r="C34" s="63" t="s">
        <v>228</v>
      </c>
      <c r="D34" s="103"/>
      <c r="E34" s="103"/>
      <c r="F34" s="103"/>
      <c r="G34" s="103"/>
      <c r="H34" s="103"/>
      <c r="I34" s="103"/>
      <c r="J34" s="103"/>
      <c r="K34" s="103"/>
      <c r="L34" s="81" t="str">
        <f t="shared" si="0"/>
        <v/>
      </c>
      <c r="M34" s="103"/>
      <c r="N34" s="102"/>
      <c r="O34" s="102"/>
      <c r="P34" s="102"/>
      <c r="Q34" s="102"/>
      <c r="R34" s="102"/>
    </row>
    <row r="35" spans="1:18">
      <c r="A35" s="80">
        <v>31</v>
      </c>
      <c r="B35" s="81" t="s">
        <v>83</v>
      </c>
      <c r="C35" s="63" t="s">
        <v>227</v>
      </c>
      <c r="D35" s="103">
        <v>3</v>
      </c>
      <c r="E35" s="103">
        <v>3</v>
      </c>
      <c r="F35" s="103">
        <v>3</v>
      </c>
      <c r="G35" s="103">
        <v>3</v>
      </c>
      <c r="H35" s="103">
        <v>3</v>
      </c>
      <c r="I35" s="103">
        <v>3</v>
      </c>
      <c r="J35" s="103">
        <v>3</v>
      </c>
      <c r="K35" s="103">
        <v>3</v>
      </c>
      <c r="L35" s="81">
        <f t="shared" si="0"/>
        <v>3</v>
      </c>
      <c r="M35" s="103" t="s">
        <v>251</v>
      </c>
      <c r="N35" s="102" t="s">
        <v>292</v>
      </c>
      <c r="O35" s="102" t="s">
        <v>293</v>
      </c>
      <c r="P35" s="102" t="s">
        <v>335</v>
      </c>
      <c r="Q35" s="102" t="s">
        <v>370</v>
      </c>
      <c r="R35" s="102" t="s">
        <v>405</v>
      </c>
    </row>
    <row r="36" spans="1:18">
      <c r="A36" s="80">
        <v>32</v>
      </c>
      <c r="B36" s="81" t="s">
        <v>84</v>
      </c>
      <c r="C36" s="63" t="s">
        <v>227</v>
      </c>
      <c r="D36" s="103">
        <v>2</v>
      </c>
      <c r="E36" s="103">
        <v>2</v>
      </c>
      <c r="F36" s="103">
        <v>3</v>
      </c>
      <c r="G36" s="103">
        <v>3</v>
      </c>
      <c r="H36" s="103">
        <v>2</v>
      </c>
      <c r="I36" s="103">
        <v>2</v>
      </c>
      <c r="J36" s="103">
        <v>3</v>
      </c>
      <c r="K36" s="103">
        <v>2</v>
      </c>
      <c r="L36" s="81">
        <f t="shared" si="0"/>
        <v>2.38</v>
      </c>
      <c r="M36" s="103" t="s">
        <v>250</v>
      </c>
      <c r="N36" s="102" t="s">
        <v>294</v>
      </c>
      <c r="O36" s="102" t="s">
        <v>286</v>
      </c>
      <c r="P36" s="102" t="s">
        <v>336</v>
      </c>
      <c r="Q36" s="102" t="s">
        <v>371</v>
      </c>
      <c r="R36" s="102" t="s">
        <v>406</v>
      </c>
    </row>
    <row r="37" spans="1:18">
      <c r="A37" s="80">
        <v>33</v>
      </c>
      <c r="B37" s="81" t="s">
        <v>85</v>
      </c>
      <c r="C37" s="63" t="s">
        <v>232</v>
      </c>
      <c r="D37" s="103"/>
      <c r="E37" s="103"/>
      <c r="F37" s="103"/>
      <c r="G37" s="103"/>
      <c r="H37" s="103"/>
      <c r="I37" s="103"/>
      <c r="J37" s="103"/>
      <c r="K37" s="103"/>
      <c r="L37" s="81" t="str">
        <f t="shared" si="0"/>
        <v/>
      </c>
      <c r="M37" s="103"/>
      <c r="N37" s="102"/>
      <c r="O37" s="102"/>
      <c r="P37" s="102"/>
      <c r="Q37" s="102"/>
      <c r="R37" s="102"/>
    </row>
    <row r="38" spans="1:18">
      <c r="A38" s="80">
        <v>34</v>
      </c>
      <c r="B38" s="81" t="s">
        <v>86</v>
      </c>
      <c r="C38" s="63" t="s">
        <v>227</v>
      </c>
      <c r="D38" s="103">
        <v>2</v>
      </c>
      <c r="E38" s="103">
        <v>2</v>
      </c>
      <c r="F38" s="103">
        <v>2</v>
      </c>
      <c r="G38" s="103">
        <v>2</v>
      </c>
      <c r="H38" s="103">
        <v>2</v>
      </c>
      <c r="I38" s="103">
        <v>2</v>
      </c>
      <c r="J38" s="103">
        <v>2</v>
      </c>
      <c r="K38" s="103">
        <v>2</v>
      </c>
      <c r="L38" s="81">
        <f t="shared" si="0"/>
        <v>2</v>
      </c>
      <c r="M38" s="103" t="s">
        <v>250</v>
      </c>
      <c r="N38" s="102" t="s">
        <v>46</v>
      </c>
      <c r="O38" s="102" t="s">
        <v>295</v>
      </c>
      <c r="P38" s="102" t="s">
        <v>337</v>
      </c>
      <c r="Q38" s="102" t="s">
        <v>372</v>
      </c>
      <c r="R38" s="102" t="s">
        <v>407</v>
      </c>
    </row>
    <row r="39" spans="1:18">
      <c r="A39" s="80">
        <v>35</v>
      </c>
      <c r="B39" s="81" t="s">
        <v>87</v>
      </c>
      <c r="C39" s="63" t="s">
        <v>227</v>
      </c>
      <c r="D39" s="103">
        <v>3</v>
      </c>
      <c r="E39" s="103">
        <v>3</v>
      </c>
      <c r="F39" s="103">
        <v>3</v>
      </c>
      <c r="G39" s="103">
        <v>3</v>
      </c>
      <c r="H39" s="103">
        <v>3</v>
      </c>
      <c r="I39" s="103">
        <v>3</v>
      </c>
      <c r="J39" s="103">
        <v>3</v>
      </c>
      <c r="K39" s="103">
        <v>3</v>
      </c>
      <c r="L39" s="81">
        <f t="shared" si="0"/>
        <v>3</v>
      </c>
      <c r="M39" s="103" t="s">
        <v>251</v>
      </c>
      <c r="N39" s="102" t="s">
        <v>279</v>
      </c>
      <c r="O39" s="102" t="s">
        <v>274</v>
      </c>
      <c r="P39" s="102" t="s">
        <v>326</v>
      </c>
      <c r="Q39" s="102" t="s">
        <v>373</v>
      </c>
      <c r="R39" s="102" t="s">
        <v>408</v>
      </c>
    </row>
    <row r="40" spans="1:18">
      <c r="A40" s="80">
        <v>36</v>
      </c>
      <c r="B40" s="81" t="s">
        <v>88</v>
      </c>
      <c r="C40" s="63" t="s">
        <v>227</v>
      </c>
      <c r="D40" s="103">
        <v>3</v>
      </c>
      <c r="E40" s="103">
        <v>3</v>
      </c>
      <c r="F40" s="103">
        <v>3</v>
      </c>
      <c r="G40" s="103">
        <v>3</v>
      </c>
      <c r="H40" s="103">
        <v>3</v>
      </c>
      <c r="I40" s="103">
        <v>3</v>
      </c>
      <c r="J40" s="103">
        <v>3</v>
      </c>
      <c r="K40" s="103">
        <v>3</v>
      </c>
      <c r="L40" s="81">
        <f t="shared" si="0"/>
        <v>3</v>
      </c>
      <c r="M40" s="103" t="s">
        <v>251</v>
      </c>
      <c r="N40" s="102" t="s">
        <v>296</v>
      </c>
      <c r="O40" s="102" t="s">
        <v>297</v>
      </c>
      <c r="P40" s="102" t="s">
        <v>338</v>
      </c>
      <c r="Q40" s="102" t="s">
        <v>374</v>
      </c>
      <c r="R40" s="102" t="s">
        <v>409</v>
      </c>
    </row>
    <row r="41" spans="1:18">
      <c r="A41" s="80">
        <v>37</v>
      </c>
      <c r="B41" s="81" t="s">
        <v>89</v>
      </c>
      <c r="C41" s="63" t="s">
        <v>227</v>
      </c>
      <c r="D41" s="103">
        <v>2</v>
      </c>
      <c r="E41" s="103">
        <v>3</v>
      </c>
      <c r="F41" s="103">
        <v>2</v>
      </c>
      <c r="G41" s="103">
        <v>3</v>
      </c>
      <c r="H41" s="103">
        <v>2</v>
      </c>
      <c r="I41" s="103">
        <v>3</v>
      </c>
      <c r="J41" s="103">
        <v>3</v>
      </c>
      <c r="K41" s="103">
        <v>2</v>
      </c>
      <c r="L41" s="81">
        <f t="shared" si="0"/>
        <v>2.5</v>
      </c>
      <c r="M41" s="103" t="s">
        <v>250</v>
      </c>
      <c r="N41" s="102" t="s">
        <v>298</v>
      </c>
      <c r="O41" s="102" t="s">
        <v>299</v>
      </c>
      <c r="P41" s="102" t="s">
        <v>339</v>
      </c>
      <c r="Q41" s="102" t="s">
        <v>375</v>
      </c>
      <c r="R41" s="102" t="s">
        <v>410</v>
      </c>
    </row>
    <row r="42" spans="1:18">
      <c r="A42" s="80">
        <v>38</v>
      </c>
      <c r="B42" s="81" t="s">
        <v>90</v>
      </c>
      <c r="C42" s="63" t="s">
        <v>227</v>
      </c>
      <c r="D42" s="103">
        <v>3</v>
      </c>
      <c r="E42" s="103">
        <v>3</v>
      </c>
      <c r="F42" s="103">
        <v>3</v>
      </c>
      <c r="G42" s="103">
        <v>3</v>
      </c>
      <c r="H42" s="103">
        <v>2</v>
      </c>
      <c r="I42" s="103">
        <v>3</v>
      </c>
      <c r="J42" s="103">
        <v>3</v>
      </c>
      <c r="K42" s="103">
        <v>3</v>
      </c>
      <c r="L42" s="81">
        <f t="shared" si="0"/>
        <v>2.88</v>
      </c>
      <c r="M42" s="103" t="s">
        <v>251</v>
      </c>
      <c r="N42" s="102" t="s">
        <v>300</v>
      </c>
      <c r="O42" s="102" t="s">
        <v>301</v>
      </c>
      <c r="P42" s="102" t="s">
        <v>340</v>
      </c>
      <c r="Q42" s="102" t="s">
        <v>376</v>
      </c>
      <c r="R42" s="102" t="s">
        <v>411</v>
      </c>
    </row>
    <row r="43" spans="1:18">
      <c r="A43" s="80">
        <v>39</v>
      </c>
      <c r="B43" s="81" t="s">
        <v>91</v>
      </c>
      <c r="C43" s="63" t="s">
        <v>227</v>
      </c>
      <c r="D43" s="103">
        <v>3</v>
      </c>
      <c r="E43" s="103">
        <v>4</v>
      </c>
      <c r="F43" s="103">
        <v>3</v>
      </c>
      <c r="G43" s="103">
        <v>4</v>
      </c>
      <c r="H43" s="103">
        <v>4</v>
      </c>
      <c r="I43" s="103">
        <v>3</v>
      </c>
      <c r="J43" s="103">
        <v>3</v>
      </c>
      <c r="K43" s="103">
        <v>3</v>
      </c>
      <c r="L43" s="81">
        <f t="shared" si="0"/>
        <v>3.38</v>
      </c>
      <c r="M43" s="103" t="s">
        <v>251</v>
      </c>
      <c r="N43" s="102" t="s">
        <v>302</v>
      </c>
      <c r="O43" s="102" t="s">
        <v>303</v>
      </c>
      <c r="P43" s="102" t="s">
        <v>341</v>
      </c>
      <c r="Q43" s="102" t="s">
        <v>377</v>
      </c>
      <c r="R43" s="102" t="s">
        <v>412</v>
      </c>
    </row>
    <row r="44" spans="1:18">
      <c r="A44" s="80">
        <v>40</v>
      </c>
      <c r="B44" s="81" t="s">
        <v>92</v>
      </c>
      <c r="C44" s="63" t="s">
        <v>227</v>
      </c>
      <c r="D44" s="103">
        <v>3</v>
      </c>
      <c r="E44" s="103">
        <v>3</v>
      </c>
      <c r="F44" s="103">
        <v>3</v>
      </c>
      <c r="G44" s="103">
        <v>3</v>
      </c>
      <c r="H44" s="103">
        <v>3</v>
      </c>
      <c r="I44" s="103">
        <v>2</v>
      </c>
      <c r="J44" s="103">
        <v>3</v>
      </c>
      <c r="K44" s="103">
        <v>4</v>
      </c>
      <c r="L44" s="81">
        <f t="shared" si="0"/>
        <v>3</v>
      </c>
      <c r="M44" s="103" t="s">
        <v>251</v>
      </c>
      <c r="N44" s="102" t="s">
        <v>304</v>
      </c>
      <c r="O44" s="102" t="s">
        <v>47</v>
      </c>
      <c r="P44" s="102" t="s">
        <v>342</v>
      </c>
      <c r="Q44" s="102" t="s">
        <v>378</v>
      </c>
      <c r="R44" s="102" t="s">
        <v>413</v>
      </c>
    </row>
    <row r="45" spans="1:18">
      <c r="A45" s="80">
        <v>41</v>
      </c>
      <c r="B45" s="81" t="s">
        <v>93</v>
      </c>
      <c r="C45" s="63" t="s">
        <v>227</v>
      </c>
      <c r="D45" s="103"/>
      <c r="E45" s="103"/>
      <c r="F45" s="103"/>
      <c r="G45" s="103"/>
      <c r="H45" s="103"/>
      <c r="I45" s="103"/>
      <c r="J45" s="103"/>
      <c r="K45" s="103"/>
      <c r="L45" s="81" t="str">
        <f t="shared" si="0"/>
        <v/>
      </c>
      <c r="M45" s="103"/>
      <c r="N45" s="102"/>
      <c r="O45" s="102"/>
      <c r="P45" s="102"/>
      <c r="Q45" s="102"/>
      <c r="R45" s="102"/>
    </row>
    <row r="46" spans="1:18">
      <c r="A46" s="80">
        <v>42</v>
      </c>
      <c r="B46" s="81" t="s">
        <v>94</v>
      </c>
      <c r="C46" s="63" t="s">
        <v>227</v>
      </c>
      <c r="D46" s="103">
        <v>3</v>
      </c>
      <c r="E46" s="103">
        <v>3</v>
      </c>
      <c r="F46" s="103">
        <v>3</v>
      </c>
      <c r="G46" s="103">
        <v>3</v>
      </c>
      <c r="H46" s="103">
        <v>3</v>
      </c>
      <c r="I46" s="103">
        <v>2</v>
      </c>
      <c r="J46" s="103">
        <v>3</v>
      </c>
      <c r="K46" s="103">
        <v>3</v>
      </c>
      <c r="L46" s="81">
        <f t="shared" si="0"/>
        <v>2.88</v>
      </c>
      <c r="M46" s="103" t="s">
        <v>251</v>
      </c>
      <c r="N46" s="102" t="s">
        <v>305</v>
      </c>
      <c r="O46" s="102" t="s">
        <v>306</v>
      </c>
      <c r="P46" s="102" t="s">
        <v>343</v>
      </c>
      <c r="Q46" s="102" t="s">
        <v>379</v>
      </c>
      <c r="R46" s="102" t="s">
        <v>414</v>
      </c>
    </row>
    <row r="47" spans="1:18">
      <c r="A47" s="80">
        <v>43</v>
      </c>
      <c r="B47" s="81" t="s">
        <v>95</v>
      </c>
      <c r="C47" s="63" t="s">
        <v>227</v>
      </c>
      <c r="D47" s="103">
        <v>2</v>
      </c>
      <c r="E47" s="103">
        <v>3</v>
      </c>
      <c r="F47" s="103">
        <v>3</v>
      </c>
      <c r="G47" s="103">
        <v>3</v>
      </c>
      <c r="H47" s="103">
        <v>3</v>
      </c>
      <c r="I47" s="103">
        <v>1</v>
      </c>
      <c r="J47" s="103">
        <v>3</v>
      </c>
      <c r="K47" s="103">
        <v>2</v>
      </c>
      <c r="L47" s="81">
        <f t="shared" si="0"/>
        <v>2.5</v>
      </c>
      <c r="M47" s="103" t="s">
        <v>251</v>
      </c>
      <c r="N47" s="102" t="s">
        <v>307</v>
      </c>
      <c r="O47" s="102" t="s">
        <v>284</v>
      </c>
      <c r="P47" s="102" t="s">
        <v>344</v>
      </c>
      <c r="Q47" s="102" t="s">
        <v>380</v>
      </c>
      <c r="R47" s="102" t="s">
        <v>415</v>
      </c>
    </row>
    <row r="48" spans="1:18">
      <c r="A48" s="80">
        <v>44</v>
      </c>
      <c r="B48" s="81" t="s">
        <v>96</v>
      </c>
      <c r="C48" s="63" t="s">
        <v>227</v>
      </c>
      <c r="D48" s="103"/>
      <c r="E48" s="103"/>
      <c r="F48" s="103"/>
      <c r="G48" s="103"/>
      <c r="H48" s="103"/>
      <c r="I48" s="103"/>
      <c r="J48" s="103"/>
      <c r="K48" s="103"/>
      <c r="L48" s="81" t="str">
        <f t="shared" si="0"/>
        <v/>
      </c>
      <c r="M48" s="103"/>
      <c r="N48" s="102"/>
      <c r="O48" s="102"/>
      <c r="P48" s="102"/>
      <c r="Q48" s="102"/>
      <c r="R48" s="102"/>
    </row>
    <row r="49" spans="1:18">
      <c r="A49" s="80">
        <v>45</v>
      </c>
      <c r="B49" s="81" t="s">
        <v>97</v>
      </c>
      <c r="C49" s="63" t="s">
        <v>227</v>
      </c>
      <c r="D49" s="103">
        <v>4</v>
      </c>
      <c r="E49" s="103">
        <v>4</v>
      </c>
      <c r="F49" s="103">
        <v>4</v>
      </c>
      <c r="G49" s="103">
        <v>4</v>
      </c>
      <c r="H49" s="103">
        <v>4</v>
      </c>
      <c r="I49" s="103">
        <v>4</v>
      </c>
      <c r="J49" s="103">
        <v>4</v>
      </c>
      <c r="K49" s="103">
        <v>4</v>
      </c>
      <c r="L49" s="81">
        <f t="shared" si="0"/>
        <v>4</v>
      </c>
      <c r="M49" s="103" t="s">
        <v>251</v>
      </c>
      <c r="N49" s="102" t="s">
        <v>308</v>
      </c>
      <c r="O49" s="102" t="s">
        <v>309</v>
      </c>
      <c r="P49" s="102" t="s">
        <v>345</v>
      </c>
      <c r="Q49" s="102" t="s">
        <v>381</v>
      </c>
      <c r="R49" s="102" t="s">
        <v>416</v>
      </c>
    </row>
    <row r="50" spans="1:18">
      <c r="A50" s="82">
        <v>46</v>
      </c>
      <c r="B50" s="83" t="s">
        <v>98</v>
      </c>
      <c r="C50" s="63" t="s">
        <v>227</v>
      </c>
      <c r="D50" s="103">
        <v>4</v>
      </c>
      <c r="E50" s="103">
        <v>4</v>
      </c>
      <c r="F50" s="103">
        <v>4</v>
      </c>
      <c r="G50" s="103">
        <v>4</v>
      </c>
      <c r="H50" s="103">
        <v>4</v>
      </c>
      <c r="I50" s="103">
        <v>3</v>
      </c>
      <c r="J50" s="103">
        <v>4</v>
      </c>
      <c r="K50" s="103">
        <v>4</v>
      </c>
      <c r="L50" s="83">
        <f t="shared" si="0"/>
        <v>3.88</v>
      </c>
      <c r="M50" s="103" t="s">
        <v>251</v>
      </c>
      <c r="N50" s="102" t="s">
        <v>310</v>
      </c>
      <c r="O50" s="102" t="s">
        <v>311</v>
      </c>
      <c r="P50" s="102" t="s">
        <v>346</v>
      </c>
      <c r="Q50" s="102" t="s">
        <v>382</v>
      </c>
      <c r="R50" s="102" t="s">
        <v>417</v>
      </c>
    </row>
  </sheetData>
  <mergeCells count="2">
    <mergeCell ref="A1:R1"/>
    <mergeCell ref="A2:R2"/>
  </mergeCells>
  <conditionalFormatting sqref="D5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sqref="C5:C50" xr:uid="{660C3B1B-017D-45F0-86BC-5DA45F1C2165}">
      <formula1>"Hadir,Sakit,Izin,Dispensasi,Alpa"</formula1>
    </dataValidation>
    <dataValidation type="list" sqref="D5:K50" xr:uid="{00000000-0002-0000-0700-000001000000}">
      <formula1>"1,2,3,4"</formula1>
    </dataValidation>
    <dataValidation type="list" sqref="M5:M50" xr:uid="{00000000-0002-0000-0700-000002000000}">
      <formula1>"Ya,Belum"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0"/>
  <sheetViews>
    <sheetView zoomScale="70" zoomScaleNormal="70" workbookViewId="0">
      <pane ySplit="4" topLeftCell="A5" activePane="bottomLeft" state="frozen"/>
      <selection pane="bottomLeft" activeCell="A22" sqref="A22"/>
    </sheetView>
  </sheetViews>
  <sheetFormatPr defaultRowHeight="13.8"/>
  <cols>
    <col min="1" max="1" width="6" customWidth="1"/>
    <col min="2" max="2" width="14" customWidth="1"/>
    <col min="3" max="3" width="15" customWidth="1"/>
    <col min="4" max="4" width="17" customWidth="1"/>
    <col min="5" max="6" width="11" customWidth="1"/>
    <col min="7" max="7" width="10" customWidth="1"/>
    <col min="8" max="9" width="16" customWidth="1"/>
    <col min="10" max="10" width="20" customWidth="1"/>
    <col min="11" max="12" width="15" customWidth="1"/>
    <col min="13" max="13" width="13" customWidth="1"/>
    <col min="14" max="14" width="24" customWidth="1"/>
    <col min="15" max="15" width="3" customWidth="1"/>
    <col min="16" max="16" width="14" customWidth="1"/>
    <col min="17" max="18" width="13" customWidth="1"/>
    <col min="19" max="19" width="10" customWidth="1"/>
    <col min="20" max="20" width="12" customWidth="1"/>
  </cols>
  <sheetData>
    <row r="1" spans="1:20" ht="28.05" customHeight="1">
      <c r="A1" s="134" t="s">
        <v>205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</row>
    <row r="2" spans="1:20" ht="14.4">
      <c r="A2" s="135" t="s">
        <v>206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</row>
    <row r="4" spans="1:20" ht="30" customHeight="1">
      <c r="A4" s="71" t="s">
        <v>42</v>
      </c>
      <c r="B4" s="71" t="s">
        <v>26</v>
      </c>
      <c r="C4" s="71" t="s">
        <v>207</v>
      </c>
      <c r="D4" s="71" t="s">
        <v>186</v>
      </c>
      <c r="E4" s="71" t="s">
        <v>208</v>
      </c>
      <c r="F4" s="71" t="s">
        <v>209</v>
      </c>
      <c r="G4" s="71" t="s">
        <v>210</v>
      </c>
      <c r="H4" s="71" t="s">
        <v>211</v>
      </c>
      <c r="I4" s="71" t="s">
        <v>212</v>
      </c>
      <c r="J4" s="71" t="s">
        <v>213</v>
      </c>
      <c r="K4" s="71" t="s">
        <v>214</v>
      </c>
      <c r="L4" s="71" t="s">
        <v>215</v>
      </c>
      <c r="M4" s="71" t="s">
        <v>216</v>
      </c>
      <c r="N4" s="71" t="s">
        <v>52</v>
      </c>
      <c r="O4" s="84"/>
      <c r="P4" s="71" t="s">
        <v>27</v>
      </c>
      <c r="Q4" s="71" t="s">
        <v>217</v>
      </c>
      <c r="R4" s="71" t="s">
        <v>218</v>
      </c>
      <c r="S4" s="71" t="s">
        <v>219</v>
      </c>
      <c r="T4" s="71" t="s">
        <v>220</v>
      </c>
    </row>
    <row r="5" spans="1:20">
      <c r="A5" s="78">
        <f>'Data Siklus I'!A5</f>
        <v>1</v>
      </c>
      <c r="B5" s="79" t="str">
        <f>'Data Siklus I'!B5</f>
        <v>X5-01</v>
      </c>
      <c r="C5" s="79" t="str">
        <f>'Data Siklus I'!C5</f>
        <v>Hadir</v>
      </c>
      <c r="D5" s="79" t="str">
        <f>'Data Siklus I'!M5</f>
        <v>Lengkap</v>
      </c>
      <c r="E5" s="91">
        <f>IF(D5="Lengkap",'Data Diagnostik'!J5,"")</f>
        <v>29.17</v>
      </c>
      <c r="F5" s="91">
        <f>IF(D5="Lengkap",'Data Siklus I'!K5,"")</f>
        <v>75</v>
      </c>
      <c r="G5" s="91">
        <f t="shared" ref="G5:G50" si="0">IF(OR(E5="",F5=""),"",ROUND(F5-E5,2))</f>
        <v>45.83</v>
      </c>
      <c r="H5" s="79" t="str">
        <f>IF(D5="Lengkap",'Data Diagnostik'!K5,"")</f>
        <v>Belum Tuntas</v>
      </c>
      <c r="I5" s="79" t="str">
        <f>IF(D5="Lengkap",'Data Siklus I'!L5,"")</f>
        <v>Tuntas</v>
      </c>
      <c r="J5" s="79" t="str">
        <f t="shared" ref="J5:J50" si="1">IF(D5&lt;&gt;"Lengkap","Tidak Dianalisis",IF(AND(H5="Belum Tuntas",I5="Tuntas"),"Menjadi Tuntas",IF(AND(H5="Tuntas",I5="Tuntas"),"Tetap Tuntas",IF(AND(H5="Belum Tuntas",I5="Belum Tuntas"),"Tetap Belum Tuntas","Menurun"))))</f>
        <v>Menjadi Tuntas</v>
      </c>
      <c r="K5" s="91">
        <f>IF('Obs Kemandirian S1'!L5="Lengkap",'Observasi Kemandirian'!I5,"")</f>
        <v>2</v>
      </c>
      <c r="L5" s="91">
        <f>IF('Obs Kemandirian S1'!L5="Lengkap",'Obs Kemandirian S1'!J5,"")</f>
        <v>3</v>
      </c>
      <c r="M5" s="91">
        <f t="shared" ref="M5:M50" si="2">IF(OR(K5="",L5=""),"",ROUND(L5-K5,2))</f>
        <v>1</v>
      </c>
      <c r="N5" s="75"/>
      <c r="O5" s="84"/>
      <c r="P5" s="72" t="s">
        <v>28</v>
      </c>
      <c r="Q5" s="85">
        <f>IF(COUNTIF('Data Siklus I'!$M$5:$M$50,"Lengkap")=0,"",ROUND(AVERAGEIF('Data Siklus I'!$M$5:$M$50,"Lengkap",'Data Diagnostik'!$C$5:$C$50),2))</f>
        <v>1.85</v>
      </c>
      <c r="R5" s="85">
        <f>IF(COUNTIF('Data Siklus I'!$M$5:$M$50,"Lengkap")=0,"",ROUND(AVERAGEIF('Data Siklus I'!$M$5:$M$50,"Lengkap",'Data Siklus I'!$D$5:$D$50),2))</f>
        <v>3.63</v>
      </c>
      <c r="S5" s="85">
        <f t="shared" ref="S5:S10" si="3">IF(OR(Q5="",R5=""),"",ROUND(R5-Q5,2))</f>
        <v>1.78</v>
      </c>
      <c r="T5" s="86" t="s">
        <v>221</v>
      </c>
    </row>
    <row r="6" spans="1:20">
      <c r="A6" s="80">
        <f>'Data Siklus I'!A6</f>
        <v>2</v>
      </c>
      <c r="B6" s="81" t="str">
        <f>'Data Siklus I'!B6</f>
        <v>X5-02</v>
      </c>
      <c r="C6" s="81" t="str">
        <f>'Data Siklus I'!C6</f>
        <v>Hadir</v>
      </c>
      <c r="D6" s="81" t="str">
        <f>'Data Siklus I'!M6</f>
        <v>Lengkap</v>
      </c>
      <c r="E6" s="92">
        <f>IF(D6="Lengkap",'Data Diagnostik'!J6,"")</f>
        <v>25</v>
      </c>
      <c r="F6" s="92">
        <f>IF(D6="Lengkap",'Data Siklus I'!K6,"")</f>
        <v>83.33</v>
      </c>
      <c r="G6" s="92">
        <f t="shared" si="0"/>
        <v>58.33</v>
      </c>
      <c r="H6" s="81" t="str">
        <f>IF(D6="Lengkap",'Data Diagnostik'!K6,"")</f>
        <v>Belum Tuntas</v>
      </c>
      <c r="I6" s="81" t="str">
        <f>IF(D6="Lengkap",'Data Siklus I'!L6,"")</f>
        <v>Tuntas</v>
      </c>
      <c r="J6" s="81" t="str">
        <f t="shared" si="1"/>
        <v>Menjadi Tuntas</v>
      </c>
      <c r="K6" s="92">
        <f>IF('Obs Kemandirian S1'!L6="Lengkap",'Observasi Kemandirian'!I6,"")</f>
        <v>2</v>
      </c>
      <c r="L6" s="92">
        <f>IF('Obs Kemandirian S1'!L6="Lengkap",'Obs Kemandirian S1'!J6,"")</f>
        <v>3</v>
      </c>
      <c r="M6" s="92">
        <f t="shared" si="2"/>
        <v>1</v>
      </c>
      <c r="N6" s="76"/>
      <c r="O6" s="84"/>
      <c r="P6" s="73" t="s">
        <v>44</v>
      </c>
      <c r="Q6" s="87">
        <f>IF(COUNTIF('Data Siklus I'!$M$5:$M$50,"Lengkap")=0,"",ROUND(AVERAGEIF('Data Siklus I'!$M$5:$M$50,"Lengkap",'Data Diagnostik'!$D$5:$D$50),2))</f>
        <v>2.17</v>
      </c>
      <c r="R6" s="87">
        <f>IF(COUNTIF('Data Siklus I'!$M$5:$M$50,"Lengkap")=0,"",ROUND(AVERAGEIF('Data Siklus I'!$M$5:$M$50,"Lengkap",'Data Siklus I'!$E$5:$E$50),2))</f>
        <v>3.46</v>
      </c>
      <c r="S6" s="87">
        <f t="shared" si="3"/>
        <v>1.29</v>
      </c>
      <c r="T6" s="88" t="s">
        <v>221</v>
      </c>
    </row>
    <row r="7" spans="1:20">
      <c r="A7" s="80">
        <f>'Data Siklus I'!A7</f>
        <v>3</v>
      </c>
      <c r="B7" s="81" t="str">
        <f>'Data Siklus I'!B7</f>
        <v>X5-03</v>
      </c>
      <c r="C7" s="81" t="str">
        <f>'Data Siklus I'!C7</f>
        <v>Hadir</v>
      </c>
      <c r="D7" s="81" t="str">
        <f>'Data Siklus I'!M7</f>
        <v>Lengkap</v>
      </c>
      <c r="E7" s="92">
        <f>IF(D7="Lengkap",'Data Diagnostik'!J7,"")</f>
        <v>41.67</v>
      </c>
      <c r="F7" s="92">
        <f>IF(D7="Lengkap",'Data Siklus I'!K7,"")</f>
        <v>62.5</v>
      </c>
      <c r="G7" s="92">
        <f t="shared" si="0"/>
        <v>20.83</v>
      </c>
      <c r="H7" s="81" t="str">
        <f>IF(D7="Lengkap",'Data Diagnostik'!K7,"")</f>
        <v>Belum Tuntas</v>
      </c>
      <c r="I7" s="81" t="str">
        <f>IF(D7="Lengkap",'Data Siklus I'!L7,"")</f>
        <v>Belum Tuntas</v>
      </c>
      <c r="J7" s="81" t="str">
        <f t="shared" si="1"/>
        <v>Tetap Belum Tuntas</v>
      </c>
      <c r="K7" s="92">
        <f>IF('Obs Kemandirian S1'!L7="Lengkap",'Observasi Kemandirian'!I7,"")</f>
        <v>2</v>
      </c>
      <c r="L7" s="92">
        <f>IF('Obs Kemandirian S1'!L7="Lengkap",'Obs Kemandirian S1'!J7,"")</f>
        <v>3</v>
      </c>
      <c r="M7" s="92">
        <f t="shared" si="2"/>
        <v>1</v>
      </c>
      <c r="N7" s="76"/>
      <c r="O7" s="84"/>
      <c r="P7" s="73" t="s">
        <v>45</v>
      </c>
      <c r="Q7" s="87">
        <f>IF(COUNTIF('Data Siklus I'!$M$5:$M$50,"Lengkap")=0,"",ROUND(AVERAGEIF('Data Siklus I'!$M$5:$M$50,"Lengkap",'Data Diagnostik'!$E$5:$E$50),2))</f>
        <v>1.61</v>
      </c>
      <c r="R7" s="87">
        <f>IF(COUNTIF('Data Siklus I'!$M$5:$M$50,"Lengkap")=0,"",ROUND(AVERAGEIF('Data Siklus I'!$M$5:$M$50,"Lengkap",'Data Siklus I'!$F$5:$F$50),2))</f>
        <v>3.61</v>
      </c>
      <c r="S7" s="87">
        <f t="shared" si="3"/>
        <v>2</v>
      </c>
      <c r="T7" s="88" t="s">
        <v>221</v>
      </c>
    </row>
    <row r="8" spans="1:20">
      <c r="A8" s="80">
        <f>'Data Siklus I'!A8</f>
        <v>4</v>
      </c>
      <c r="B8" s="81" t="str">
        <f>'Data Siklus I'!B8</f>
        <v>X5-04</v>
      </c>
      <c r="C8" s="81" t="str">
        <f>'Data Siklus I'!C8</f>
        <v>Hadir</v>
      </c>
      <c r="D8" s="81" t="str">
        <f>'Data Siklus I'!M8</f>
        <v>Lengkap</v>
      </c>
      <c r="E8" s="92">
        <f>IF(D8="Lengkap",'Data Diagnostik'!J8,"")</f>
        <v>45.83</v>
      </c>
      <c r="F8" s="92">
        <f>IF(D8="Lengkap",'Data Siklus I'!K8,"")</f>
        <v>75</v>
      </c>
      <c r="G8" s="92">
        <f t="shared" si="0"/>
        <v>29.17</v>
      </c>
      <c r="H8" s="81" t="str">
        <f>IF(D8="Lengkap",'Data Diagnostik'!K8,"")</f>
        <v>Belum Tuntas</v>
      </c>
      <c r="I8" s="81" t="str">
        <f>IF(D8="Lengkap",'Data Siklus I'!L8,"")</f>
        <v>Tuntas</v>
      </c>
      <c r="J8" s="81" t="str">
        <f t="shared" si="1"/>
        <v>Menjadi Tuntas</v>
      </c>
      <c r="K8" s="92">
        <f>IF('Obs Kemandirian S1'!L8="Lengkap",'Observasi Kemandirian'!I8,"")</f>
        <v>2.4</v>
      </c>
      <c r="L8" s="92">
        <f>IF('Obs Kemandirian S1'!L8="Lengkap",'Obs Kemandirian S1'!J8,"")</f>
        <v>3.4</v>
      </c>
      <c r="M8" s="92">
        <f t="shared" si="2"/>
        <v>1</v>
      </c>
      <c r="N8" s="76"/>
      <c r="O8" s="84"/>
      <c r="P8" s="73" t="s">
        <v>46</v>
      </c>
      <c r="Q8" s="87">
        <f>IF(COUNTIF('Data Siklus I'!$M$5:$M$50,"Lengkap")=0,"",ROUND(AVERAGEIF('Data Siklus I'!$M$5:$M$50,"Lengkap",'Data Diagnostik'!$F$5:$F$50),2))</f>
        <v>1.1499999999999999</v>
      </c>
      <c r="R8" s="87">
        <f>IF(COUNTIF('Data Siklus I'!$M$5:$M$50,"Lengkap")=0,"",ROUND(AVERAGEIF('Data Siklus I'!$M$5:$M$50,"Lengkap",'Data Siklus I'!$G$5:$G$50),2))</f>
        <v>2.63</v>
      </c>
      <c r="S8" s="87">
        <f t="shared" si="3"/>
        <v>1.48</v>
      </c>
      <c r="T8" s="88">
        <f>'Petunjuk Siklus I'!$B$9</f>
        <v>2.5</v>
      </c>
    </row>
    <row r="9" spans="1:20">
      <c r="A9" s="80">
        <f>'Data Siklus I'!A9</f>
        <v>5</v>
      </c>
      <c r="B9" s="81" t="str">
        <f>'Data Siklus I'!B9</f>
        <v>X5-05</v>
      </c>
      <c r="C9" s="81" t="str">
        <f>'Data Siklus I'!C9</f>
        <v>Hadir</v>
      </c>
      <c r="D9" s="81" t="str">
        <f>'Data Siklus I'!M9</f>
        <v>Lengkap</v>
      </c>
      <c r="E9" s="92">
        <f>IF(D9="Lengkap",'Data Diagnostik'!J9,"")</f>
        <v>45.83</v>
      </c>
      <c r="F9" s="92">
        <f>IF(D9="Lengkap",'Data Siklus I'!K9,"")</f>
        <v>100</v>
      </c>
      <c r="G9" s="92">
        <f t="shared" si="0"/>
        <v>54.17</v>
      </c>
      <c r="H9" s="81" t="str">
        <f>IF(D9="Lengkap",'Data Diagnostik'!K9,"")</f>
        <v>Belum Tuntas</v>
      </c>
      <c r="I9" s="81" t="str">
        <f>IF(D9="Lengkap",'Data Siklus I'!L9,"")</f>
        <v>Tuntas</v>
      </c>
      <c r="J9" s="81" t="str">
        <f t="shared" si="1"/>
        <v>Menjadi Tuntas</v>
      </c>
      <c r="K9" s="92">
        <f>IF('Obs Kemandirian S1'!L9="Lengkap",'Observasi Kemandirian'!I9,"")</f>
        <v>2</v>
      </c>
      <c r="L9" s="92">
        <f>IF('Obs Kemandirian S1'!L9="Lengkap",'Obs Kemandirian S1'!J9,"")</f>
        <v>3</v>
      </c>
      <c r="M9" s="92">
        <f t="shared" si="2"/>
        <v>1</v>
      </c>
      <c r="N9" s="76"/>
      <c r="O9" s="84"/>
      <c r="P9" s="73" t="s">
        <v>47</v>
      </c>
      <c r="Q9" s="87">
        <f>IF(COUNTIF('Data Siklus I'!$M$5:$M$50,"Lengkap")=0,"",ROUND(AVERAGEIF('Data Siklus I'!$M$5:$M$50,"Lengkap",'Data Diagnostik'!$G$5:$G$50),2))</f>
        <v>1.1200000000000001</v>
      </c>
      <c r="R9" s="87">
        <f>IF(COUNTIF('Data Siklus I'!$M$5:$M$50,"Lengkap")=0,"",ROUND(AVERAGEIF('Data Siklus I'!$M$5:$M$50,"Lengkap",'Data Siklus I'!$H$5:$H$50),2))</f>
        <v>2.9</v>
      </c>
      <c r="S9" s="87">
        <f t="shared" si="3"/>
        <v>1.78</v>
      </c>
      <c r="T9" s="88">
        <f>'Petunjuk Siklus I'!$B$10</f>
        <v>2.5</v>
      </c>
    </row>
    <row r="10" spans="1:20">
      <c r="A10" s="80">
        <f>'Data Siklus I'!A10</f>
        <v>6</v>
      </c>
      <c r="B10" s="81" t="str">
        <f>'Data Siklus I'!B10</f>
        <v>X5-06</v>
      </c>
      <c r="C10" s="81" t="str">
        <f>'Data Siklus I'!C10</f>
        <v>Hadir</v>
      </c>
      <c r="D10" s="81" t="str">
        <f>'Data Siklus I'!M10</f>
        <v>Lengkap</v>
      </c>
      <c r="E10" s="92">
        <f>IF(D10="Lengkap",'Data Diagnostik'!J10,"")</f>
        <v>25</v>
      </c>
      <c r="F10" s="92">
        <f>IF(D10="Lengkap",'Data Siklus I'!K10,"")</f>
        <v>75</v>
      </c>
      <c r="G10" s="92">
        <f t="shared" si="0"/>
        <v>50</v>
      </c>
      <c r="H10" s="81" t="str">
        <f>IF(D10="Lengkap",'Data Diagnostik'!K10,"")</f>
        <v>Belum Tuntas</v>
      </c>
      <c r="I10" s="81" t="str">
        <f>IF(D10="Lengkap",'Data Siklus I'!L10,"")</f>
        <v>Tuntas</v>
      </c>
      <c r="J10" s="81" t="str">
        <f t="shared" si="1"/>
        <v>Menjadi Tuntas</v>
      </c>
      <c r="K10" s="92">
        <f>IF('Obs Kemandirian S1'!L10="Lengkap",'Observasi Kemandirian'!I10,"")</f>
        <v>1.8</v>
      </c>
      <c r="L10" s="92">
        <f>IF('Obs Kemandirian S1'!L10="Lengkap",'Obs Kemandirian S1'!J10,"")</f>
        <v>2.8</v>
      </c>
      <c r="M10" s="92">
        <f t="shared" si="2"/>
        <v>1</v>
      </c>
      <c r="N10" s="76"/>
      <c r="O10" s="84"/>
      <c r="P10" s="74" t="s">
        <v>48</v>
      </c>
      <c r="Q10" s="89">
        <f>IF(COUNTIF('Data Siklus I'!$M$5:$M$50,"Lengkap")=0,"",ROUND(AVERAGEIF('Data Siklus I'!$M$5:$M$50,"Lengkap",'Data Diagnostik'!$H$5:$H$50),2))</f>
        <v>1.68</v>
      </c>
      <c r="R10" s="89">
        <f>IF(COUNTIF('Data Siklus I'!$M$5:$M$50,"Lengkap")=0,"",ROUND(AVERAGEIF('Data Siklus I'!$M$5:$M$50,"Lengkap",'Data Siklus I'!$I$5:$I$50),2))</f>
        <v>2.5099999999999998</v>
      </c>
      <c r="S10" s="89">
        <f t="shared" si="3"/>
        <v>0.83</v>
      </c>
      <c r="T10" s="90" t="s">
        <v>221</v>
      </c>
    </row>
    <row r="11" spans="1:20">
      <c r="A11" s="80">
        <f>'Data Siklus I'!A11</f>
        <v>7</v>
      </c>
      <c r="B11" s="81" t="str">
        <f>'Data Siklus I'!B11</f>
        <v>X5-07</v>
      </c>
      <c r="C11" s="81" t="str">
        <f>'Data Siklus I'!C11</f>
        <v>Hadir</v>
      </c>
      <c r="D11" s="81" t="str">
        <f>'Data Siklus I'!M11</f>
        <v>Lengkap</v>
      </c>
      <c r="E11" s="92">
        <f>IF(D11="Lengkap",'Data Diagnostik'!J11,"")</f>
        <v>25</v>
      </c>
      <c r="F11" s="92">
        <f>IF(D11="Lengkap",'Data Siklus I'!K11,"")</f>
        <v>75</v>
      </c>
      <c r="G11" s="92">
        <f t="shared" si="0"/>
        <v>50</v>
      </c>
      <c r="H11" s="81" t="str">
        <f>IF(D11="Lengkap",'Data Diagnostik'!K11,"")</f>
        <v>Belum Tuntas</v>
      </c>
      <c r="I11" s="81" t="str">
        <f>IF(D11="Lengkap",'Data Siklus I'!L11,"")</f>
        <v>Tuntas</v>
      </c>
      <c r="J11" s="81" t="str">
        <f t="shared" si="1"/>
        <v>Menjadi Tuntas</v>
      </c>
      <c r="K11" s="92">
        <f>IF('Obs Kemandirian S1'!L11="Lengkap",'Observasi Kemandirian'!I11,"")</f>
        <v>2</v>
      </c>
      <c r="L11" s="92">
        <f>IF('Obs Kemandirian S1'!L11="Lengkap",'Obs Kemandirian S1'!J11,"")</f>
        <v>3</v>
      </c>
      <c r="M11" s="92">
        <f t="shared" si="2"/>
        <v>1</v>
      </c>
      <c r="N11" s="76"/>
      <c r="O11" s="84"/>
      <c r="P11" s="84"/>
      <c r="Q11" s="84"/>
      <c r="R11" s="84"/>
      <c r="S11" s="84"/>
      <c r="T11" s="84"/>
    </row>
    <row r="12" spans="1:20">
      <c r="A12" s="80">
        <f>'Data Siklus I'!A12</f>
        <v>8</v>
      </c>
      <c r="B12" s="81" t="str">
        <f>'Data Siklus I'!B12</f>
        <v>X5-08</v>
      </c>
      <c r="C12" s="81" t="str">
        <f>'Data Siklus I'!C12</f>
        <v>Hadir</v>
      </c>
      <c r="D12" s="81" t="str">
        <f>'Data Siklus I'!M12</f>
        <v>Lengkap</v>
      </c>
      <c r="E12" s="92">
        <f>IF(D12="Lengkap",'Data Diagnostik'!J12,"")</f>
        <v>41.67</v>
      </c>
      <c r="F12" s="92">
        <f>IF(D12="Lengkap",'Data Siklus I'!K12,"")</f>
        <v>58.33</v>
      </c>
      <c r="G12" s="92">
        <f t="shared" si="0"/>
        <v>16.66</v>
      </c>
      <c r="H12" s="81" t="str">
        <f>IF(D12="Lengkap",'Data Diagnostik'!K12,"")</f>
        <v>Belum Tuntas</v>
      </c>
      <c r="I12" s="81" t="str">
        <f>IF(D12="Lengkap",'Data Siklus I'!L12,"")</f>
        <v>Belum Tuntas</v>
      </c>
      <c r="J12" s="81" t="str">
        <f t="shared" si="1"/>
        <v>Tetap Belum Tuntas</v>
      </c>
      <c r="K12" s="92">
        <f>IF('Obs Kemandirian S1'!L12="Lengkap",'Observasi Kemandirian'!I12,"")</f>
        <v>2.2000000000000002</v>
      </c>
      <c r="L12" s="92">
        <f>IF('Obs Kemandirian S1'!L12="Lengkap",'Obs Kemandirian S1'!J12,"")</f>
        <v>3.2</v>
      </c>
      <c r="M12" s="92">
        <f t="shared" si="2"/>
        <v>1</v>
      </c>
      <c r="N12" s="76"/>
      <c r="O12" s="84"/>
      <c r="P12" s="84"/>
      <c r="Q12" s="84"/>
      <c r="R12" s="84"/>
      <c r="S12" s="84"/>
      <c r="T12" s="84"/>
    </row>
    <row r="13" spans="1:20">
      <c r="A13" s="80">
        <f>'Data Siklus I'!A13</f>
        <v>9</v>
      </c>
      <c r="B13" s="81" t="str">
        <f>'Data Siklus I'!B13</f>
        <v>X5-09</v>
      </c>
      <c r="C13" s="81" t="str">
        <f>'Data Siklus I'!C13</f>
        <v>Hadir</v>
      </c>
      <c r="D13" s="81" t="str">
        <f>'Data Siklus I'!M13</f>
        <v>Lengkap</v>
      </c>
      <c r="E13" s="92">
        <f>IF(D13="Lengkap",'Data Diagnostik'!J13,"")</f>
        <v>41.67</v>
      </c>
      <c r="F13" s="92">
        <f>IF(D13="Lengkap",'Data Siklus I'!K13,"")</f>
        <v>95.83</v>
      </c>
      <c r="G13" s="92">
        <f t="shared" si="0"/>
        <v>54.16</v>
      </c>
      <c r="H13" s="81" t="str">
        <f>IF(D13="Lengkap",'Data Diagnostik'!K13,"")</f>
        <v>Belum Tuntas</v>
      </c>
      <c r="I13" s="81" t="str">
        <f>IF(D13="Lengkap",'Data Siklus I'!L13,"")</f>
        <v>Tuntas</v>
      </c>
      <c r="J13" s="81" t="str">
        <f t="shared" si="1"/>
        <v>Menjadi Tuntas</v>
      </c>
      <c r="K13" s="92">
        <f>IF('Obs Kemandirian S1'!L13="Lengkap",'Observasi Kemandirian'!I13,"")</f>
        <v>2</v>
      </c>
      <c r="L13" s="92">
        <f>IF('Obs Kemandirian S1'!L13="Lengkap",'Obs Kemandirian S1'!J13,"")</f>
        <v>3</v>
      </c>
      <c r="M13" s="92">
        <f t="shared" si="2"/>
        <v>1</v>
      </c>
      <c r="N13" s="76"/>
      <c r="O13" s="84"/>
      <c r="P13" s="84"/>
      <c r="Q13" s="84"/>
      <c r="R13" s="84"/>
      <c r="S13" s="84"/>
      <c r="T13" s="84"/>
    </row>
    <row r="14" spans="1:20">
      <c r="A14" s="80">
        <f>'Data Siklus I'!A14</f>
        <v>10</v>
      </c>
      <c r="B14" s="81" t="str">
        <f>'Data Siklus I'!B14</f>
        <v>X5-10</v>
      </c>
      <c r="C14" s="81" t="str">
        <f>'Data Siklus I'!C14</f>
        <v>Hadir</v>
      </c>
      <c r="D14" s="81" t="str">
        <f>'Data Siklus I'!M14</f>
        <v>Lengkap</v>
      </c>
      <c r="E14" s="92">
        <f>IF(D14="Lengkap",'Data Diagnostik'!J14,"")</f>
        <v>45.83</v>
      </c>
      <c r="F14" s="92">
        <f>IF(D14="Lengkap",'Data Siklus I'!K14,"")</f>
        <v>58.33</v>
      </c>
      <c r="G14" s="92">
        <f t="shared" si="0"/>
        <v>12.5</v>
      </c>
      <c r="H14" s="81" t="str">
        <f>IF(D14="Lengkap",'Data Diagnostik'!K14,"")</f>
        <v>Belum Tuntas</v>
      </c>
      <c r="I14" s="81" t="str">
        <f>IF(D14="Lengkap",'Data Siklus I'!L14,"")</f>
        <v>Belum Tuntas</v>
      </c>
      <c r="J14" s="81" t="str">
        <f t="shared" si="1"/>
        <v>Tetap Belum Tuntas</v>
      </c>
      <c r="K14" s="92">
        <f>IF('Obs Kemandirian S1'!L14="Lengkap",'Observasi Kemandirian'!I14,"")</f>
        <v>2.2000000000000002</v>
      </c>
      <c r="L14" s="92">
        <f>IF('Obs Kemandirian S1'!L14="Lengkap",'Obs Kemandirian S1'!J14,"")</f>
        <v>3.2</v>
      </c>
      <c r="M14" s="92">
        <f t="shared" si="2"/>
        <v>1</v>
      </c>
      <c r="N14" s="76"/>
      <c r="O14" s="84"/>
      <c r="P14" s="84"/>
      <c r="Q14" s="84"/>
      <c r="R14" s="84"/>
      <c r="S14" s="84"/>
      <c r="T14" s="84"/>
    </row>
    <row r="15" spans="1:20">
      <c r="A15" s="80">
        <f>'Data Siklus I'!A15</f>
        <v>11</v>
      </c>
      <c r="B15" s="81" t="str">
        <f>'Data Siklus I'!B15</f>
        <v>X5-11</v>
      </c>
      <c r="C15" s="81" t="str">
        <f>'Data Siklus I'!C15</f>
        <v>Hadir</v>
      </c>
      <c r="D15" s="81" t="str">
        <f>'Data Siklus I'!M15</f>
        <v>Lengkap</v>
      </c>
      <c r="E15" s="92">
        <f>IF(D15="Lengkap",'Data Diagnostik'!J15,"")</f>
        <v>37.5</v>
      </c>
      <c r="F15" s="92">
        <f>IF(D15="Lengkap",'Data Siklus I'!K15,"")</f>
        <v>58.33</v>
      </c>
      <c r="G15" s="92">
        <f t="shared" si="0"/>
        <v>20.83</v>
      </c>
      <c r="H15" s="81" t="str">
        <f>IF(D15="Lengkap",'Data Diagnostik'!K15,"")</f>
        <v>Belum Tuntas</v>
      </c>
      <c r="I15" s="81" t="str">
        <f>IF(D15="Lengkap",'Data Siklus I'!L15,"")</f>
        <v>Belum Tuntas</v>
      </c>
      <c r="J15" s="81" t="str">
        <f t="shared" si="1"/>
        <v>Tetap Belum Tuntas</v>
      </c>
      <c r="K15" s="92">
        <f>IF('Obs Kemandirian S1'!L15="Lengkap",'Observasi Kemandirian'!I15,"")</f>
        <v>2</v>
      </c>
      <c r="L15" s="92">
        <f>IF('Obs Kemandirian S1'!L15="Lengkap",'Obs Kemandirian S1'!J15,"")</f>
        <v>3</v>
      </c>
      <c r="M15" s="92">
        <f t="shared" si="2"/>
        <v>1</v>
      </c>
      <c r="N15" s="76"/>
      <c r="O15" s="84"/>
      <c r="P15" s="84"/>
      <c r="Q15" s="84"/>
      <c r="R15" s="84"/>
      <c r="S15" s="84"/>
      <c r="T15" s="84"/>
    </row>
    <row r="16" spans="1:20">
      <c r="A16" s="80">
        <f>'Data Siklus I'!A16</f>
        <v>12</v>
      </c>
      <c r="B16" s="81" t="str">
        <f>'Data Siklus I'!B16</f>
        <v>X5-12</v>
      </c>
      <c r="C16" s="81" t="str">
        <f>'Data Siklus I'!C16</f>
        <v>Hadir</v>
      </c>
      <c r="D16" s="81" t="str">
        <f>'Data Siklus I'!M16</f>
        <v>Lengkap</v>
      </c>
      <c r="E16" s="92">
        <f>IF(D16="Lengkap",'Data Diagnostik'!J16,"")</f>
        <v>37.5</v>
      </c>
      <c r="F16" s="92">
        <f>IF(D16="Lengkap",'Data Siklus I'!K16,"")</f>
        <v>79.17</v>
      </c>
      <c r="G16" s="92">
        <f t="shared" si="0"/>
        <v>41.67</v>
      </c>
      <c r="H16" s="81" t="str">
        <f>IF(D16="Lengkap",'Data Diagnostik'!K16,"")</f>
        <v>Belum Tuntas</v>
      </c>
      <c r="I16" s="81" t="str">
        <f>IF(D16="Lengkap",'Data Siklus I'!L16,"")</f>
        <v>Tuntas</v>
      </c>
      <c r="J16" s="81" t="str">
        <f t="shared" si="1"/>
        <v>Menjadi Tuntas</v>
      </c>
      <c r="K16" s="92">
        <f>IF('Obs Kemandirian S1'!L16="Lengkap",'Observasi Kemandirian'!I16,"")</f>
        <v>2.2000000000000002</v>
      </c>
      <c r="L16" s="92">
        <f>IF('Obs Kemandirian S1'!L16="Lengkap",'Obs Kemandirian S1'!J16,"")</f>
        <v>3.2</v>
      </c>
      <c r="M16" s="92">
        <f t="shared" si="2"/>
        <v>1</v>
      </c>
      <c r="N16" s="76"/>
      <c r="O16" s="84"/>
      <c r="P16" s="84"/>
      <c r="Q16" s="84"/>
      <c r="R16" s="84"/>
      <c r="S16" s="84"/>
      <c r="T16" s="84"/>
    </row>
    <row r="17" spans="1:20">
      <c r="A17" s="80">
        <f>'Data Siklus I'!A17</f>
        <v>13</v>
      </c>
      <c r="B17" s="81" t="str">
        <f>'Data Siklus I'!B17</f>
        <v>X5-13</v>
      </c>
      <c r="C17" s="81" t="str">
        <f>'Data Siklus I'!C17</f>
        <v>Hadir</v>
      </c>
      <c r="D17" s="81" t="str">
        <f>'Data Siklus I'!M17</f>
        <v>Lengkap</v>
      </c>
      <c r="E17" s="92">
        <f>IF(D17="Lengkap",'Data Diagnostik'!J17,"")</f>
        <v>45.83</v>
      </c>
      <c r="F17" s="92">
        <f>IF(D17="Lengkap",'Data Siklus I'!K17,"")</f>
        <v>79.17</v>
      </c>
      <c r="G17" s="92">
        <f t="shared" si="0"/>
        <v>33.340000000000003</v>
      </c>
      <c r="H17" s="81" t="str">
        <f>IF(D17="Lengkap",'Data Diagnostik'!K17,"")</f>
        <v>Belum Tuntas</v>
      </c>
      <c r="I17" s="81" t="str">
        <f>IF(D17="Lengkap",'Data Siklus I'!L17,"")</f>
        <v>Tuntas</v>
      </c>
      <c r="J17" s="81" t="str">
        <f t="shared" si="1"/>
        <v>Menjadi Tuntas</v>
      </c>
      <c r="K17" s="92">
        <f>IF('Obs Kemandirian S1'!L17="Lengkap",'Observasi Kemandirian'!I17,"")</f>
        <v>2.4</v>
      </c>
      <c r="L17" s="92">
        <f>IF('Obs Kemandirian S1'!L17="Lengkap",'Obs Kemandirian S1'!J17,"")</f>
        <v>3.4</v>
      </c>
      <c r="M17" s="92">
        <f t="shared" si="2"/>
        <v>1</v>
      </c>
      <c r="N17" s="76"/>
      <c r="O17" s="84"/>
      <c r="P17" s="84"/>
      <c r="Q17" s="84"/>
      <c r="R17" s="84"/>
      <c r="S17" s="84"/>
      <c r="T17" s="84"/>
    </row>
    <row r="18" spans="1:20">
      <c r="A18" s="80">
        <f>'Data Siklus I'!A18</f>
        <v>14</v>
      </c>
      <c r="B18" s="81" t="str">
        <f>'Data Siklus I'!B18</f>
        <v>X5-14</v>
      </c>
      <c r="C18" s="81" t="str">
        <f>'Data Siklus I'!C18</f>
        <v>Hadir</v>
      </c>
      <c r="D18" s="81" t="str">
        <f>'Data Siklus I'!M18</f>
        <v>Lengkap</v>
      </c>
      <c r="E18" s="92">
        <f>IF(D18="Lengkap",'Data Diagnostik'!J18,"")</f>
        <v>50</v>
      </c>
      <c r="F18" s="92">
        <f>IF(D18="Lengkap",'Data Siklus I'!K18,"")</f>
        <v>54.17</v>
      </c>
      <c r="G18" s="92">
        <f t="shared" si="0"/>
        <v>4.17</v>
      </c>
      <c r="H18" s="81" t="str">
        <f>IF(D18="Lengkap",'Data Diagnostik'!K18,"")</f>
        <v>Belum Tuntas</v>
      </c>
      <c r="I18" s="81" t="str">
        <f>IF(D18="Lengkap",'Data Siklus I'!L18,"")</f>
        <v>Belum Tuntas</v>
      </c>
      <c r="J18" s="81" t="str">
        <f t="shared" si="1"/>
        <v>Tetap Belum Tuntas</v>
      </c>
      <c r="K18" s="92">
        <f>IF('Obs Kemandirian S1'!L18="Lengkap",'Observasi Kemandirian'!I18,"")</f>
        <v>2</v>
      </c>
      <c r="L18" s="92">
        <f>IF('Obs Kemandirian S1'!L18="Lengkap",'Obs Kemandirian S1'!J18,"")</f>
        <v>3</v>
      </c>
      <c r="M18" s="92">
        <f t="shared" si="2"/>
        <v>1</v>
      </c>
      <c r="N18" s="76"/>
      <c r="O18" s="84"/>
      <c r="P18" s="84"/>
      <c r="Q18" s="84"/>
      <c r="R18" s="84"/>
      <c r="S18" s="84"/>
      <c r="T18" s="84"/>
    </row>
    <row r="19" spans="1:20">
      <c r="A19" s="80">
        <f>'Data Siklus I'!A19</f>
        <v>15</v>
      </c>
      <c r="B19" s="81" t="str">
        <f>'Data Siklus I'!B19</f>
        <v>X5-15</v>
      </c>
      <c r="C19" s="81" t="str">
        <f>'Data Siklus I'!C19</f>
        <v>Hadir</v>
      </c>
      <c r="D19" s="81" t="str">
        <f>'Data Siklus I'!M19</f>
        <v>Lengkap</v>
      </c>
      <c r="E19" s="92">
        <f>IF(D19="Lengkap",'Data Diagnostik'!J19,"")</f>
        <v>41.67</v>
      </c>
      <c r="F19" s="92">
        <f>IF(D19="Lengkap",'Data Siklus I'!K19,"")</f>
        <v>95.83</v>
      </c>
      <c r="G19" s="92">
        <f t="shared" si="0"/>
        <v>54.16</v>
      </c>
      <c r="H19" s="81" t="str">
        <f>IF(D19="Lengkap",'Data Diagnostik'!K19,"")</f>
        <v>Belum Tuntas</v>
      </c>
      <c r="I19" s="81" t="str">
        <f>IF(D19="Lengkap",'Data Siklus I'!L19,"")</f>
        <v>Tuntas</v>
      </c>
      <c r="J19" s="81" t="str">
        <f t="shared" si="1"/>
        <v>Menjadi Tuntas</v>
      </c>
      <c r="K19" s="92">
        <f>IF('Obs Kemandirian S1'!L19="Lengkap",'Observasi Kemandirian'!I19,"")</f>
        <v>2.4</v>
      </c>
      <c r="L19" s="92">
        <f>IF('Obs Kemandirian S1'!L19="Lengkap",'Obs Kemandirian S1'!J19,"")</f>
        <v>3.6</v>
      </c>
      <c r="M19" s="92">
        <f t="shared" si="2"/>
        <v>1.2</v>
      </c>
      <c r="N19" s="76"/>
      <c r="O19" s="84"/>
      <c r="P19" s="84"/>
      <c r="Q19" s="84"/>
      <c r="R19" s="84"/>
      <c r="S19" s="84"/>
      <c r="T19" s="84"/>
    </row>
    <row r="20" spans="1:20">
      <c r="A20" s="80">
        <f>'Data Siklus I'!A20</f>
        <v>16</v>
      </c>
      <c r="B20" s="81" t="str">
        <f>'Data Siklus I'!B20</f>
        <v>X5-16</v>
      </c>
      <c r="C20" s="81" t="str">
        <f>'Data Siklus I'!C20</f>
        <v>Hadir</v>
      </c>
      <c r="D20" s="81" t="str">
        <f>'Data Siklus I'!M20</f>
        <v>Lengkap</v>
      </c>
      <c r="E20" s="92">
        <f>IF(D20="Lengkap",'Data Diagnostik'!J20,"")</f>
        <v>29.17</v>
      </c>
      <c r="F20" s="92">
        <f>IF(D20="Lengkap",'Data Siklus I'!K20,"")</f>
        <v>70.83</v>
      </c>
      <c r="G20" s="92">
        <f t="shared" si="0"/>
        <v>41.66</v>
      </c>
      <c r="H20" s="81" t="str">
        <f>IF(D20="Lengkap",'Data Diagnostik'!K20,"")</f>
        <v>Belum Tuntas</v>
      </c>
      <c r="I20" s="81" t="str">
        <f>IF(D20="Lengkap",'Data Siklus I'!L20,"")</f>
        <v>Belum Tuntas</v>
      </c>
      <c r="J20" s="81" t="str">
        <f t="shared" si="1"/>
        <v>Tetap Belum Tuntas</v>
      </c>
      <c r="K20" s="92">
        <f>IF('Obs Kemandirian S1'!L20="Lengkap",'Observasi Kemandirian'!I20,"")</f>
        <v>2</v>
      </c>
      <c r="L20" s="92">
        <f>IF('Obs Kemandirian S1'!L20="Lengkap",'Obs Kemandirian S1'!J20,"")</f>
        <v>3</v>
      </c>
      <c r="M20" s="92">
        <f t="shared" si="2"/>
        <v>1</v>
      </c>
      <c r="N20" s="76"/>
      <c r="O20" s="84"/>
      <c r="P20" s="84"/>
      <c r="Q20" s="84"/>
      <c r="R20" s="84"/>
      <c r="S20" s="84"/>
      <c r="T20" s="84"/>
    </row>
    <row r="21" spans="1:20">
      <c r="A21" s="80">
        <f>'Data Siklus I'!A21</f>
        <v>17</v>
      </c>
      <c r="B21" s="81" t="str">
        <f>'Data Siklus I'!B21</f>
        <v>X5-17</v>
      </c>
      <c r="C21" s="81" t="str">
        <f>'Data Siklus I'!C21</f>
        <v>Hadir</v>
      </c>
      <c r="D21" s="81" t="str">
        <f>'Data Siklus I'!M21</f>
        <v>Lengkap</v>
      </c>
      <c r="E21" s="92">
        <f>IF(D21="Lengkap",'Data Diagnostik'!J21,"")</f>
        <v>25</v>
      </c>
      <c r="F21" s="92">
        <f>IF(D21="Lengkap",'Data Siklus I'!K21,"")</f>
        <v>66.67</v>
      </c>
      <c r="G21" s="92">
        <f t="shared" si="0"/>
        <v>41.67</v>
      </c>
      <c r="H21" s="81" t="str">
        <f>IF(D21="Lengkap",'Data Diagnostik'!K21,"")</f>
        <v>Belum Tuntas</v>
      </c>
      <c r="I21" s="81" t="str">
        <f>IF(D21="Lengkap",'Data Siklus I'!L21,"")</f>
        <v>Belum Tuntas</v>
      </c>
      <c r="J21" s="81" t="str">
        <f t="shared" si="1"/>
        <v>Tetap Belum Tuntas</v>
      </c>
      <c r="K21" s="92">
        <f>IF('Obs Kemandirian S1'!L21="Lengkap",'Observasi Kemandirian'!I21,"")</f>
        <v>1.8</v>
      </c>
      <c r="L21" s="92">
        <f>IF('Obs Kemandirian S1'!L21="Lengkap",'Obs Kemandirian S1'!J21,"")</f>
        <v>2.8</v>
      </c>
      <c r="M21" s="92">
        <f t="shared" si="2"/>
        <v>1</v>
      </c>
      <c r="N21" s="76"/>
      <c r="O21" s="84"/>
      <c r="P21" s="84"/>
      <c r="Q21" s="84"/>
      <c r="R21" s="84"/>
      <c r="S21" s="84"/>
      <c r="T21" s="84"/>
    </row>
    <row r="22" spans="1:20">
      <c r="A22" s="80">
        <f>'Data Siklus I'!A22</f>
        <v>18</v>
      </c>
      <c r="B22" s="81" t="str">
        <f>'Data Siklus I'!B22</f>
        <v>X5-18</v>
      </c>
      <c r="C22" s="81" t="str">
        <f>'Data Siklus I'!C22</f>
        <v>Hadir</v>
      </c>
      <c r="D22" s="81" t="str">
        <f>'Data Siklus I'!M22</f>
        <v>Lengkap</v>
      </c>
      <c r="E22" s="92">
        <f>IF(D22="Lengkap",'Data Diagnostik'!J22,"")</f>
        <v>25</v>
      </c>
      <c r="F22" s="92">
        <f>IF(D22="Lengkap",'Data Siklus I'!K22,"")</f>
        <v>75</v>
      </c>
      <c r="G22" s="92">
        <f t="shared" si="0"/>
        <v>50</v>
      </c>
      <c r="H22" s="81" t="str">
        <f>IF(D22="Lengkap",'Data Diagnostik'!K22,"")</f>
        <v>Belum Tuntas</v>
      </c>
      <c r="I22" s="81" t="str">
        <f>IF(D22="Lengkap",'Data Siklus I'!L22,"")</f>
        <v>Tuntas</v>
      </c>
      <c r="J22" s="81" t="str">
        <f t="shared" si="1"/>
        <v>Menjadi Tuntas</v>
      </c>
      <c r="K22" s="92">
        <f>IF('Obs Kemandirian S1'!L22="Lengkap",'Observasi Kemandirian'!I22,"")</f>
        <v>1.8</v>
      </c>
      <c r="L22" s="92">
        <f>IF('Obs Kemandirian S1'!L22="Lengkap",'Obs Kemandirian S1'!J22,"")</f>
        <v>2.8</v>
      </c>
      <c r="M22" s="92">
        <f t="shared" si="2"/>
        <v>1</v>
      </c>
      <c r="N22" s="76"/>
      <c r="O22" s="84"/>
      <c r="P22" s="84"/>
      <c r="Q22" s="84"/>
      <c r="R22" s="84"/>
      <c r="S22" s="84"/>
      <c r="T22" s="84"/>
    </row>
    <row r="23" spans="1:20">
      <c r="A23" s="80">
        <f>'Data Siklus I'!A23</f>
        <v>19</v>
      </c>
      <c r="B23" s="81" t="str">
        <f>'Data Siklus I'!B23</f>
        <v>X5-19</v>
      </c>
      <c r="C23" s="81" t="str">
        <f>'Data Siklus I'!C23</f>
        <v>Dispensasi</v>
      </c>
      <c r="D23" s="81" t="str">
        <f>'Data Siklus I'!M23</f>
        <v>Tidak Dianalisis</v>
      </c>
      <c r="E23" s="92" t="str">
        <f>IF(D23="Lengkap",'Data Diagnostik'!J23,"")</f>
        <v/>
      </c>
      <c r="F23" s="92" t="str">
        <f>IF(D23="Lengkap",'Data Siklus I'!K23,"")</f>
        <v/>
      </c>
      <c r="G23" s="92" t="str">
        <f t="shared" si="0"/>
        <v/>
      </c>
      <c r="H23" s="81" t="str">
        <f>IF(D23="Lengkap",'Data Diagnostik'!K23,"")</f>
        <v/>
      </c>
      <c r="I23" s="81" t="str">
        <f>IF(D23="Lengkap",'Data Siklus I'!L23,"")</f>
        <v/>
      </c>
      <c r="J23" s="81" t="str">
        <f t="shared" si="1"/>
        <v>Tidak Dianalisis</v>
      </c>
      <c r="K23" s="92" t="str">
        <f>IF('Obs Kemandirian S1'!L23="Lengkap",'Observasi Kemandirian'!I23,"")</f>
        <v/>
      </c>
      <c r="L23" s="92" t="str">
        <f>IF('Obs Kemandirian S1'!L23="Lengkap",'Obs Kemandirian S1'!J23,"")</f>
        <v/>
      </c>
      <c r="M23" s="92" t="str">
        <f t="shared" si="2"/>
        <v/>
      </c>
      <c r="N23" s="76"/>
      <c r="O23" s="84"/>
      <c r="P23" s="84"/>
      <c r="Q23" s="84"/>
      <c r="R23" s="84"/>
      <c r="S23" s="84"/>
      <c r="T23" s="84"/>
    </row>
    <row r="24" spans="1:20">
      <c r="A24" s="80">
        <f>'Data Siklus I'!A24</f>
        <v>20</v>
      </c>
      <c r="B24" s="81" t="str">
        <f>'Data Siklus I'!B24</f>
        <v>X5-20</v>
      </c>
      <c r="C24" s="81" t="str">
        <f>'Data Siklus I'!C24</f>
        <v>Hadir</v>
      </c>
      <c r="D24" s="81" t="str">
        <f>'Data Siklus I'!M24</f>
        <v>Lengkap</v>
      </c>
      <c r="E24" s="92">
        <f>IF(D24="Lengkap",'Data Diagnostik'!J24,"")</f>
        <v>41.67</v>
      </c>
      <c r="F24" s="92">
        <f>IF(D24="Lengkap",'Data Siklus I'!K24,"")</f>
        <v>37.5</v>
      </c>
      <c r="G24" s="92">
        <f t="shared" si="0"/>
        <v>-4.17</v>
      </c>
      <c r="H24" s="81" t="str">
        <f>IF(D24="Lengkap",'Data Diagnostik'!K24,"")</f>
        <v>Belum Tuntas</v>
      </c>
      <c r="I24" s="81" t="str">
        <f>IF(D24="Lengkap",'Data Siklus I'!L24,"")</f>
        <v>Belum Tuntas</v>
      </c>
      <c r="J24" s="81" t="str">
        <f t="shared" si="1"/>
        <v>Tetap Belum Tuntas</v>
      </c>
      <c r="K24" s="92">
        <f>IF('Obs Kemandirian S1'!L24="Lengkap",'Observasi Kemandirian'!I24,"")</f>
        <v>2</v>
      </c>
      <c r="L24" s="92">
        <f>IF('Obs Kemandirian S1'!L24="Lengkap",'Obs Kemandirian S1'!J24,"")</f>
        <v>3.6</v>
      </c>
      <c r="M24" s="92">
        <f t="shared" si="2"/>
        <v>1.6</v>
      </c>
      <c r="N24" s="76"/>
      <c r="O24" s="84"/>
      <c r="P24" s="84"/>
      <c r="Q24" s="84"/>
      <c r="R24" s="84"/>
      <c r="S24" s="84"/>
      <c r="T24" s="84"/>
    </row>
    <row r="25" spans="1:20">
      <c r="A25" s="80">
        <f>'Data Siklus I'!A25</f>
        <v>21</v>
      </c>
      <c r="B25" s="81" t="str">
        <f>'Data Siklus I'!B25</f>
        <v>X5-21</v>
      </c>
      <c r="C25" s="81" t="str">
        <f>'Data Siklus I'!C25</f>
        <v>Hadir</v>
      </c>
      <c r="D25" s="81" t="str">
        <f>'Data Siklus I'!M25</f>
        <v>Lengkap</v>
      </c>
      <c r="E25" s="92">
        <f>IF(D25="Lengkap",'Data Diagnostik'!J25,"")</f>
        <v>75</v>
      </c>
      <c r="F25" s="92">
        <f>IF(D25="Lengkap",'Data Siklus I'!K25,"")</f>
        <v>95.83</v>
      </c>
      <c r="G25" s="92">
        <f t="shared" si="0"/>
        <v>20.83</v>
      </c>
      <c r="H25" s="81" t="str">
        <f>IF(D25="Lengkap",'Data Diagnostik'!K25,"")</f>
        <v>Tuntas</v>
      </c>
      <c r="I25" s="81" t="str">
        <f>IF(D25="Lengkap",'Data Siklus I'!L25,"")</f>
        <v>Tuntas</v>
      </c>
      <c r="J25" s="81" t="str">
        <f t="shared" si="1"/>
        <v>Tetap Tuntas</v>
      </c>
      <c r="K25" s="92">
        <f>IF('Obs Kemandirian S1'!L25="Lengkap",'Observasi Kemandirian'!I25,"")</f>
        <v>3</v>
      </c>
      <c r="L25" s="92">
        <f>IF('Obs Kemandirian S1'!L25="Lengkap",'Obs Kemandirian S1'!J25,"")</f>
        <v>4</v>
      </c>
      <c r="M25" s="92">
        <f t="shared" si="2"/>
        <v>1</v>
      </c>
      <c r="N25" s="76"/>
      <c r="O25" s="84"/>
      <c r="P25" s="84"/>
      <c r="Q25" s="84"/>
      <c r="R25" s="84"/>
      <c r="S25" s="84"/>
      <c r="T25" s="84"/>
    </row>
    <row r="26" spans="1:20">
      <c r="A26" s="80">
        <f>'Data Siklus I'!A26</f>
        <v>22</v>
      </c>
      <c r="B26" s="81" t="str">
        <f>'Data Siklus I'!B26</f>
        <v>X5-22</v>
      </c>
      <c r="C26" s="81" t="str">
        <f>'Data Siklus I'!C26</f>
        <v>Dispensasi</v>
      </c>
      <c r="D26" s="81" t="str">
        <f>'Data Siklus I'!M26</f>
        <v>Tidak Dianalisis</v>
      </c>
      <c r="E26" s="92" t="str">
        <f>IF(D26="Lengkap",'Data Diagnostik'!J26,"")</f>
        <v/>
      </c>
      <c r="F26" s="92" t="str">
        <f>IF(D26="Lengkap",'Data Siklus I'!K26,"")</f>
        <v/>
      </c>
      <c r="G26" s="92" t="str">
        <f t="shared" si="0"/>
        <v/>
      </c>
      <c r="H26" s="81" t="str">
        <f>IF(D26="Lengkap",'Data Diagnostik'!K26,"")</f>
        <v/>
      </c>
      <c r="I26" s="81" t="str">
        <f>IF(D26="Lengkap",'Data Siklus I'!L26,"")</f>
        <v/>
      </c>
      <c r="J26" s="81" t="str">
        <f t="shared" si="1"/>
        <v>Tidak Dianalisis</v>
      </c>
      <c r="K26" s="92" t="str">
        <f>IF('Obs Kemandirian S1'!L26="Lengkap",'Observasi Kemandirian'!I26,"")</f>
        <v/>
      </c>
      <c r="L26" s="92" t="str">
        <f>IF('Obs Kemandirian S1'!L26="Lengkap",'Obs Kemandirian S1'!J26,"")</f>
        <v/>
      </c>
      <c r="M26" s="92" t="str">
        <f t="shared" si="2"/>
        <v/>
      </c>
      <c r="N26" s="76"/>
      <c r="O26" s="84"/>
      <c r="P26" s="84"/>
      <c r="Q26" s="84"/>
      <c r="R26" s="84"/>
      <c r="S26" s="84"/>
      <c r="T26" s="84"/>
    </row>
    <row r="27" spans="1:20">
      <c r="A27" s="80">
        <f>'Data Siklus I'!A27</f>
        <v>23</v>
      </c>
      <c r="B27" s="81" t="str">
        <f>'Data Siklus I'!B27</f>
        <v>X5-23</v>
      </c>
      <c r="C27" s="81" t="str">
        <f>'Data Siklus I'!C27</f>
        <v>Hadir</v>
      </c>
      <c r="D27" s="81" t="str">
        <f>'Data Siklus I'!M27</f>
        <v>Lengkap</v>
      </c>
      <c r="E27" s="92">
        <f>IF(D27="Lengkap",'Data Diagnostik'!J27,"")</f>
        <v>37.5</v>
      </c>
      <c r="F27" s="92">
        <f>IF(D27="Lengkap",'Data Siklus I'!K27,"")</f>
        <v>100</v>
      </c>
      <c r="G27" s="92">
        <f t="shared" si="0"/>
        <v>62.5</v>
      </c>
      <c r="H27" s="81" t="str">
        <f>IF(D27="Lengkap",'Data Diagnostik'!K27,"")</f>
        <v>Belum Tuntas</v>
      </c>
      <c r="I27" s="81" t="str">
        <f>IF(D27="Lengkap",'Data Siklus I'!L27,"")</f>
        <v>Tuntas</v>
      </c>
      <c r="J27" s="81" t="str">
        <f t="shared" si="1"/>
        <v>Menjadi Tuntas</v>
      </c>
      <c r="K27" s="92">
        <f>IF('Obs Kemandirian S1'!L27="Lengkap",'Observasi Kemandirian'!I27,"")</f>
        <v>2</v>
      </c>
      <c r="L27" s="92">
        <f>IF('Obs Kemandirian S1'!L27="Lengkap",'Obs Kemandirian S1'!J27,"")</f>
        <v>3.6</v>
      </c>
      <c r="M27" s="92">
        <f t="shared" si="2"/>
        <v>1.6</v>
      </c>
      <c r="N27" s="76"/>
      <c r="O27" s="84"/>
      <c r="P27" s="84"/>
      <c r="Q27" s="84"/>
      <c r="R27" s="84"/>
      <c r="S27" s="84"/>
      <c r="T27" s="84"/>
    </row>
    <row r="28" spans="1:20">
      <c r="A28" s="80">
        <f>'Data Siklus I'!A28</f>
        <v>24</v>
      </c>
      <c r="B28" s="81" t="str">
        <f>'Data Siklus I'!B28</f>
        <v>X5-24</v>
      </c>
      <c r="C28" s="81" t="str">
        <f>'Data Siklus I'!C28</f>
        <v>Hadir</v>
      </c>
      <c r="D28" s="81" t="str">
        <f>'Data Siklus I'!M28</f>
        <v>Lengkap</v>
      </c>
      <c r="E28" s="92">
        <f>IF(D28="Lengkap",'Data Diagnostik'!J28,"")</f>
        <v>37.5</v>
      </c>
      <c r="F28" s="92">
        <f>IF(D28="Lengkap",'Data Siklus I'!K28,"")</f>
        <v>75</v>
      </c>
      <c r="G28" s="92">
        <f t="shared" si="0"/>
        <v>37.5</v>
      </c>
      <c r="H28" s="81" t="str">
        <f>IF(D28="Lengkap",'Data Diagnostik'!K28,"")</f>
        <v>Belum Tuntas</v>
      </c>
      <c r="I28" s="81" t="str">
        <f>IF(D28="Lengkap",'Data Siklus I'!L28,"")</f>
        <v>Tuntas</v>
      </c>
      <c r="J28" s="81" t="str">
        <f t="shared" si="1"/>
        <v>Menjadi Tuntas</v>
      </c>
      <c r="K28" s="92">
        <f>IF('Obs Kemandirian S1'!L28="Lengkap",'Observasi Kemandirian'!I28,"")</f>
        <v>2</v>
      </c>
      <c r="L28" s="92">
        <f>IF('Obs Kemandirian S1'!L28="Lengkap",'Obs Kemandirian S1'!J28,"")</f>
        <v>3</v>
      </c>
      <c r="M28" s="92">
        <f t="shared" si="2"/>
        <v>1</v>
      </c>
      <c r="N28" s="76"/>
      <c r="O28" s="84"/>
      <c r="P28" s="84"/>
      <c r="Q28" s="84"/>
      <c r="R28" s="84"/>
      <c r="S28" s="84"/>
      <c r="T28" s="84"/>
    </row>
    <row r="29" spans="1:20">
      <c r="A29" s="80">
        <f>'Data Siklus I'!A29</f>
        <v>25</v>
      </c>
      <c r="B29" s="81" t="str">
        <f>'Data Siklus I'!B29</f>
        <v>X5-25</v>
      </c>
      <c r="C29" s="81" t="str">
        <f>'Data Siklus I'!C29</f>
        <v>Hadir</v>
      </c>
      <c r="D29" s="81" t="str">
        <f>'Data Siklus I'!M29</f>
        <v>Lengkap</v>
      </c>
      <c r="E29" s="92">
        <f>IF(D29="Lengkap",'Data Diagnostik'!J29,"")</f>
        <v>75</v>
      </c>
      <c r="F29" s="92">
        <f>IF(D29="Lengkap",'Data Siklus I'!K29,"")</f>
        <v>79.17</v>
      </c>
      <c r="G29" s="92">
        <f t="shared" si="0"/>
        <v>4.17</v>
      </c>
      <c r="H29" s="81" t="str">
        <f>IF(D29="Lengkap",'Data Diagnostik'!K29,"")</f>
        <v>Tuntas</v>
      </c>
      <c r="I29" s="81" t="str">
        <f>IF(D29="Lengkap",'Data Siklus I'!L29,"")</f>
        <v>Tuntas</v>
      </c>
      <c r="J29" s="81" t="str">
        <f t="shared" si="1"/>
        <v>Tetap Tuntas</v>
      </c>
      <c r="K29" s="92">
        <f>IF('Obs Kemandirian S1'!L29="Lengkap",'Observasi Kemandirian'!I29,"")</f>
        <v>3</v>
      </c>
      <c r="L29" s="92">
        <f>IF('Obs Kemandirian S1'!L29="Lengkap",'Obs Kemandirian S1'!J29,"")</f>
        <v>4</v>
      </c>
      <c r="M29" s="92">
        <f t="shared" si="2"/>
        <v>1</v>
      </c>
      <c r="N29" s="76"/>
      <c r="O29" s="84"/>
      <c r="P29" s="84"/>
      <c r="Q29" s="84"/>
      <c r="R29" s="84"/>
      <c r="S29" s="84"/>
      <c r="T29" s="84"/>
    </row>
    <row r="30" spans="1:20">
      <c r="A30" s="80">
        <f>'Data Siklus I'!A30</f>
        <v>26</v>
      </c>
      <c r="B30" s="81" t="str">
        <f>'Data Siklus I'!B30</f>
        <v>X5-26</v>
      </c>
      <c r="C30" s="81" t="str">
        <f>'Data Siklus I'!C30</f>
        <v>Hadir</v>
      </c>
      <c r="D30" s="81" t="str">
        <f>'Data Siklus I'!M30</f>
        <v>Lengkap</v>
      </c>
      <c r="E30" s="92">
        <f>IF(D30="Lengkap",'Data Diagnostik'!J30,"")</f>
        <v>25</v>
      </c>
      <c r="F30" s="92">
        <f>IF(D30="Lengkap",'Data Siklus I'!K30,"")</f>
        <v>87.5</v>
      </c>
      <c r="G30" s="92">
        <f t="shared" si="0"/>
        <v>62.5</v>
      </c>
      <c r="H30" s="81" t="str">
        <f>IF(D30="Lengkap",'Data Diagnostik'!K30,"")</f>
        <v>Belum Tuntas</v>
      </c>
      <c r="I30" s="81" t="str">
        <f>IF(D30="Lengkap",'Data Siklus I'!L30,"")</f>
        <v>Tuntas</v>
      </c>
      <c r="J30" s="81" t="str">
        <f t="shared" si="1"/>
        <v>Menjadi Tuntas</v>
      </c>
      <c r="K30" s="92">
        <f>IF('Obs Kemandirian S1'!L30="Lengkap",'Observasi Kemandirian'!I30,"")</f>
        <v>1.8</v>
      </c>
      <c r="L30" s="92">
        <f>IF('Obs Kemandirian S1'!L30="Lengkap",'Obs Kemandirian S1'!J30,"")</f>
        <v>2.8</v>
      </c>
      <c r="M30" s="92">
        <f t="shared" si="2"/>
        <v>1</v>
      </c>
      <c r="N30" s="76"/>
      <c r="O30" s="84"/>
      <c r="P30" s="84"/>
      <c r="Q30" s="84"/>
      <c r="R30" s="84"/>
      <c r="S30" s="84"/>
      <c r="T30" s="84"/>
    </row>
    <row r="31" spans="1:20">
      <c r="A31" s="80">
        <f>'Data Siklus I'!A31</f>
        <v>27</v>
      </c>
      <c r="B31" s="81" t="str">
        <f>'Data Siklus I'!B31</f>
        <v>X5-27</v>
      </c>
      <c r="C31" s="81" t="str">
        <f>'Data Siklus I'!C31</f>
        <v>Hadir</v>
      </c>
      <c r="D31" s="81" t="str">
        <f>'Data Siklus I'!M31</f>
        <v>Lengkap</v>
      </c>
      <c r="E31" s="92">
        <f>IF(D31="Lengkap",'Data Diagnostik'!J31,"")</f>
        <v>25</v>
      </c>
      <c r="F31" s="92">
        <f>IF(D31="Lengkap",'Data Siklus I'!K31,"")</f>
        <v>87.5</v>
      </c>
      <c r="G31" s="92">
        <f t="shared" si="0"/>
        <v>62.5</v>
      </c>
      <c r="H31" s="81" t="str">
        <f>IF(D31="Lengkap",'Data Diagnostik'!K31,"")</f>
        <v>Belum Tuntas</v>
      </c>
      <c r="I31" s="81" t="str">
        <f>IF(D31="Lengkap",'Data Siklus I'!L31,"")</f>
        <v>Tuntas</v>
      </c>
      <c r="J31" s="81" t="str">
        <f t="shared" si="1"/>
        <v>Menjadi Tuntas</v>
      </c>
      <c r="K31" s="92">
        <f>IF('Obs Kemandirian S1'!L31="Lengkap",'Observasi Kemandirian'!I31,"")</f>
        <v>1.8</v>
      </c>
      <c r="L31" s="92">
        <f>IF('Obs Kemandirian S1'!L31="Lengkap",'Obs Kemandirian S1'!J31,"")</f>
        <v>2.8</v>
      </c>
      <c r="M31" s="92">
        <f t="shared" si="2"/>
        <v>1</v>
      </c>
      <c r="N31" s="76"/>
      <c r="O31" s="84"/>
      <c r="P31" s="84"/>
      <c r="Q31" s="84"/>
      <c r="R31" s="84"/>
      <c r="S31" s="84"/>
      <c r="T31" s="84"/>
    </row>
    <row r="32" spans="1:20">
      <c r="A32" s="80">
        <f>'Data Siklus I'!A32</f>
        <v>28</v>
      </c>
      <c r="B32" s="81" t="str">
        <f>'Data Siklus I'!B32</f>
        <v>X5-28</v>
      </c>
      <c r="C32" s="81" t="str">
        <f>'Data Siklus I'!C32</f>
        <v>Hadir</v>
      </c>
      <c r="D32" s="81" t="str">
        <f>'Data Siklus I'!M32</f>
        <v>Lengkap</v>
      </c>
      <c r="E32" s="92">
        <f>IF(D32="Lengkap",'Data Diagnostik'!J32,"")</f>
        <v>45.83</v>
      </c>
      <c r="F32" s="92">
        <f>IF(D32="Lengkap",'Data Siklus I'!K32,"")</f>
        <v>100</v>
      </c>
      <c r="G32" s="92">
        <f t="shared" si="0"/>
        <v>54.17</v>
      </c>
      <c r="H32" s="81" t="str">
        <f>IF(D32="Lengkap",'Data Diagnostik'!K32,"")</f>
        <v>Belum Tuntas</v>
      </c>
      <c r="I32" s="81" t="str">
        <f>IF(D32="Lengkap",'Data Siklus I'!L32,"")</f>
        <v>Tuntas</v>
      </c>
      <c r="J32" s="81" t="str">
        <f t="shared" si="1"/>
        <v>Menjadi Tuntas</v>
      </c>
      <c r="K32" s="92">
        <f>IF('Obs Kemandirian S1'!L32="Lengkap",'Observasi Kemandirian'!I32,"")</f>
        <v>2</v>
      </c>
      <c r="L32" s="92">
        <f>IF('Obs Kemandirian S1'!L32="Lengkap",'Obs Kemandirian S1'!J32,"")</f>
        <v>3</v>
      </c>
      <c r="M32" s="92">
        <f t="shared" si="2"/>
        <v>1</v>
      </c>
      <c r="N32" s="76"/>
      <c r="O32" s="84"/>
      <c r="P32" s="84"/>
      <c r="Q32" s="84"/>
      <c r="R32" s="84"/>
      <c r="S32" s="84"/>
      <c r="T32" s="84"/>
    </row>
    <row r="33" spans="1:20">
      <c r="A33" s="80">
        <f>'Data Siklus I'!A33</f>
        <v>29</v>
      </c>
      <c r="B33" s="81" t="str">
        <f>'Data Siklus I'!B33</f>
        <v>X5-29</v>
      </c>
      <c r="C33" s="81" t="str">
        <f>'Data Siklus I'!C33</f>
        <v>Sakit</v>
      </c>
      <c r="D33" s="81" t="str">
        <f>'Data Siklus I'!M33</f>
        <v>Tidak Dianalisis</v>
      </c>
      <c r="E33" s="92" t="str">
        <f>IF(D33="Lengkap",'Data Diagnostik'!J33,"")</f>
        <v/>
      </c>
      <c r="F33" s="92" t="str">
        <f>IF(D33="Lengkap",'Data Siklus I'!K33,"")</f>
        <v/>
      </c>
      <c r="G33" s="92" t="str">
        <f t="shared" si="0"/>
        <v/>
      </c>
      <c r="H33" s="81" t="str">
        <f>IF(D33="Lengkap",'Data Diagnostik'!K33,"")</f>
        <v/>
      </c>
      <c r="I33" s="81" t="str">
        <f>IF(D33="Lengkap",'Data Siklus I'!L33,"")</f>
        <v/>
      </c>
      <c r="J33" s="81" t="str">
        <f t="shared" si="1"/>
        <v>Tidak Dianalisis</v>
      </c>
      <c r="K33" s="92" t="str">
        <f>IF('Obs Kemandirian S1'!L33="Lengkap",'Observasi Kemandirian'!I33,"")</f>
        <v/>
      </c>
      <c r="L33" s="92" t="str">
        <f>IF('Obs Kemandirian S1'!L33="Lengkap",'Obs Kemandirian S1'!J33,"")</f>
        <v/>
      </c>
      <c r="M33" s="92" t="str">
        <f t="shared" si="2"/>
        <v/>
      </c>
      <c r="N33" s="76"/>
      <c r="O33" s="84"/>
      <c r="P33" s="84"/>
      <c r="Q33" s="84"/>
      <c r="R33" s="84"/>
      <c r="S33" s="84"/>
      <c r="T33" s="84"/>
    </row>
    <row r="34" spans="1:20">
      <c r="A34" s="80">
        <f>'Data Siklus I'!A34</f>
        <v>30</v>
      </c>
      <c r="B34" s="81" t="str">
        <f>'Data Siklus I'!B34</f>
        <v>X5-30</v>
      </c>
      <c r="C34" s="81" t="str">
        <f>'Data Siklus I'!C34</f>
        <v>Sakit</v>
      </c>
      <c r="D34" s="81" t="str">
        <f>'Data Siklus I'!M34</f>
        <v>Tidak Dianalisis</v>
      </c>
      <c r="E34" s="92" t="str">
        <f>IF(D34="Lengkap",'Data Diagnostik'!J34,"")</f>
        <v/>
      </c>
      <c r="F34" s="92" t="str">
        <f>IF(D34="Lengkap",'Data Siklus I'!K34,"")</f>
        <v/>
      </c>
      <c r="G34" s="92" t="str">
        <f t="shared" si="0"/>
        <v/>
      </c>
      <c r="H34" s="81" t="str">
        <f>IF(D34="Lengkap",'Data Diagnostik'!K34,"")</f>
        <v/>
      </c>
      <c r="I34" s="81" t="str">
        <f>IF(D34="Lengkap",'Data Siklus I'!L34,"")</f>
        <v/>
      </c>
      <c r="J34" s="81" t="str">
        <f t="shared" si="1"/>
        <v>Tidak Dianalisis</v>
      </c>
      <c r="K34" s="92" t="str">
        <f>IF('Obs Kemandirian S1'!L34="Lengkap",'Observasi Kemandirian'!I34,"")</f>
        <v/>
      </c>
      <c r="L34" s="92" t="str">
        <f>IF('Obs Kemandirian S1'!L34="Lengkap",'Obs Kemandirian S1'!J34,"")</f>
        <v/>
      </c>
      <c r="M34" s="92" t="str">
        <f t="shared" si="2"/>
        <v/>
      </c>
      <c r="N34" s="76"/>
      <c r="O34" s="84"/>
      <c r="P34" s="84"/>
      <c r="Q34" s="84"/>
      <c r="R34" s="84"/>
      <c r="S34" s="84"/>
      <c r="T34" s="84"/>
    </row>
    <row r="35" spans="1:20">
      <c r="A35" s="80">
        <f>'Data Siklus I'!A35</f>
        <v>31</v>
      </c>
      <c r="B35" s="81" t="str">
        <f>'Data Siklus I'!B35</f>
        <v>X5-31</v>
      </c>
      <c r="C35" s="81" t="str">
        <f>'Data Siklus I'!C35</f>
        <v>Hadir</v>
      </c>
      <c r="D35" s="81" t="str">
        <f>'Data Siklus I'!M35</f>
        <v>Lengkap</v>
      </c>
      <c r="E35" s="92">
        <f>IF(D35="Lengkap",'Data Diagnostik'!J35,"")</f>
        <v>33.33</v>
      </c>
      <c r="F35" s="92">
        <f>IF(D35="Lengkap",'Data Siklus I'!K35,"")</f>
        <v>79.17</v>
      </c>
      <c r="G35" s="92">
        <f t="shared" si="0"/>
        <v>45.84</v>
      </c>
      <c r="H35" s="81" t="str">
        <f>IF(D35="Lengkap",'Data Diagnostik'!K35,"")</f>
        <v>Belum Tuntas</v>
      </c>
      <c r="I35" s="81" t="str">
        <f>IF(D35="Lengkap",'Data Siklus I'!L35,"")</f>
        <v>Tuntas</v>
      </c>
      <c r="J35" s="81" t="str">
        <f t="shared" si="1"/>
        <v>Menjadi Tuntas</v>
      </c>
      <c r="K35" s="92">
        <f>IF('Obs Kemandirian S1'!L35="Lengkap",'Observasi Kemandirian'!I35,"")</f>
        <v>2</v>
      </c>
      <c r="L35" s="92">
        <f>IF('Obs Kemandirian S1'!L35="Lengkap",'Obs Kemandirian S1'!J35,"")</f>
        <v>3</v>
      </c>
      <c r="M35" s="92">
        <f t="shared" si="2"/>
        <v>1</v>
      </c>
      <c r="N35" s="76"/>
      <c r="O35" s="84"/>
      <c r="P35" s="84"/>
      <c r="Q35" s="84"/>
      <c r="R35" s="84"/>
      <c r="S35" s="84"/>
      <c r="T35" s="84"/>
    </row>
    <row r="36" spans="1:20">
      <c r="A36" s="80">
        <f>'Data Siklus I'!A36</f>
        <v>32</v>
      </c>
      <c r="B36" s="81" t="str">
        <f>'Data Siklus I'!B36</f>
        <v>X5-32</v>
      </c>
      <c r="C36" s="81" t="str">
        <f>'Data Siklus I'!C36</f>
        <v>Hadir</v>
      </c>
      <c r="D36" s="81" t="str">
        <f>'Data Siklus I'!M36</f>
        <v>Lengkap</v>
      </c>
      <c r="E36" s="92">
        <f>IF(D36="Lengkap",'Data Diagnostik'!J36,"")</f>
        <v>75</v>
      </c>
      <c r="F36" s="92">
        <f>IF(D36="Lengkap",'Data Siklus I'!K36,"")</f>
        <v>91.67</v>
      </c>
      <c r="G36" s="92">
        <f t="shared" si="0"/>
        <v>16.670000000000002</v>
      </c>
      <c r="H36" s="81" t="str">
        <f>IF(D36="Lengkap",'Data Diagnostik'!K36,"")</f>
        <v>Tuntas</v>
      </c>
      <c r="I36" s="81" t="str">
        <f>IF(D36="Lengkap",'Data Siklus I'!L36,"")</f>
        <v>Tuntas</v>
      </c>
      <c r="J36" s="81" t="str">
        <f t="shared" si="1"/>
        <v>Tetap Tuntas</v>
      </c>
      <c r="K36" s="92">
        <f>IF('Obs Kemandirian S1'!L36="Lengkap",'Observasi Kemandirian'!I36,"")</f>
        <v>3</v>
      </c>
      <c r="L36" s="92">
        <f>IF('Obs Kemandirian S1'!L36="Lengkap",'Obs Kemandirian S1'!J36,"")</f>
        <v>3.8</v>
      </c>
      <c r="M36" s="92">
        <f t="shared" si="2"/>
        <v>0.8</v>
      </c>
      <c r="N36" s="76"/>
      <c r="O36" s="84"/>
      <c r="P36" s="84"/>
      <c r="Q36" s="84"/>
      <c r="R36" s="84"/>
      <c r="S36" s="84"/>
      <c r="T36" s="84"/>
    </row>
    <row r="37" spans="1:20">
      <c r="A37" s="80">
        <f>'Data Siklus I'!A37</f>
        <v>33</v>
      </c>
      <c r="B37" s="81" t="str">
        <f>'Data Siklus I'!B37</f>
        <v>X5-33</v>
      </c>
      <c r="C37" s="81" t="str">
        <f>'Data Siklus I'!C37</f>
        <v>Dispensasi</v>
      </c>
      <c r="D37" s="81" t="str">
        <f>'Data Siklus I'!M37</f>
        <v>Tidak Dianalisis</v>
      </c>
      <c r="E37" s="92" t="str">
        <f>IF(D37="Lengkap",'Data Diagnostik'!J37,"")</f>
        <v/>
      </c>
      <c r="F37" s="92" t="str">
        <f>IF(D37="Lengkap",'Data Siklus I'!K37,"")</f>
        <v/>
      </c>
      <c r="G37" s="92" t="str">
        <f t="shared" si="0"/>
        <v/>
      </c>
      <c r="H37" s="81" t="str">
        <f>IF(D37="Lengkap",'Data Diagnostik'!K37,"")</f>
        <v/>
      </c>
      <c r="I37" s="81" t="str">
        <f>IF(D37="Lengkap",'Data Siklus I'!L37,"")</f>
        <v/>
      </c>
      <c r="J37" s="81" t="str">
        <f t="shared" si="1"/>
        <v>Tidak Dianalisis</v>
      </c>
      <c r="K37" s="92" t="str">
        <f>IF('Obs Kemandirian S1'!L37="Lengkap",'Observasi Kemandirian'!I37,"")</f>
        <v/>
      </c>
      <c r="L37" s="92" t="str">
        <f>IF('Obs Kemandirian S1'!L37="Lengkap",'Obs Kemandirian S1'!J37,"")</f>
        <v/>
      </c>
      <c r="M37" s="92" t="str">
        <f t="shared" si="2"/>
        <v/>
      </c>
      <c r="N37" s="76"/>
      <c r="O37" s="84"/>
      <c r="P37" s="84"/>
      <c r="Q37" s="84"/>
      <c r="R37" s="84"/>
      <c r="S37" s="84"/>
      <c r="T37" s="84"/>
    </row>
    <row r="38" spans="1:20">
      <c r="A38" s="80">
        <f>'Data Siklus I'!A38</f>
        <v>34</v>
      </c>
      <c r="B38" s="81" t="str">
        <f>'Data Siklus I'!B38</f>
        <v>X5-34</v>
      </c>
      <c r="C38" s="81" t="str">
        <f>'Data Siklus I'!C38</f>
        <v>Hadir</v>
      </c>
      <c r="D38" s="81" t="str">
        <f>'Data Siklus I'!M38</f>
        <v>Lengkap</v>
      </c>
      <c r="E38" s="92">
        <f>IF(D38="Lengkap",'Data Diagnostik'!J38,"")</f>
        <v>45.83</v>
      </c>
      <c r="F38" s="92">
        <f>IF(D38="Lengkap",'Data Siklus I'!K38,"")</f>
        <v>58.33</v>
      </c>
      <c r="G38" s="92">
        <f t="shared" si="0"/>
        <v>12.5</v>
      </c>
      <c r="H38" s="81" t="str">
        <f>IF(D38="Lengkap",'Data Diagnostik'!K38,"")</f>
        <v>Belum Tuntas</v>
      </c>
      <c r="I38" s="81" t="str">
        <f>IF(D38="Lengkap",'Data Siklus I'!L38,"")</f>
        <v>Belum Tuntas</v>
      </c>
      <c r="J38" s="81" t="str">
        <f t="shared" si="1"/>
        <v>Tetap Belum Tuntas</v>
      </c>
      <c r="K38" s="92">
        <f>IF('Obs Kemandirian S1'!L38="Lengkap",'Observasi Kemandirian'!I38,"")</f>
        <v>2.2000000000000002</v>
      </c>
      <c r="L38" s="92">
        <f>IF('Obs Kemandirian S1'!L38="Lengkap",'Obs Kemandirian S1'!J38,"")</f>
        <v>3.2</v>
      </c>
      <c r="M38" s="92">
        <f t="shared" si="2"/>
        <v>1</v>
      </c>
      <c r="N38" s="76"/>
      <c r="O38" s="84"/>
      <c r="P38" s="84"/>
      <c r="Q38" s="84"/>
      <c r="R38" s="84"/>
      <c r="S38" s="84"/>
      <c r="T38" s="84"/>
    </row>
    <row r="39" spans="1:20">
      <c r="A39" s="80">
        <f>'Data Siklus I'!A39</f>
        <v>35</v>
      </c>
      <c r="B39" s="81" t="str">
        <f>'Data Siklus I'!B39</f>
        <v>X5-35</v>
      </c>
      <c r="C39" s="81" t="str">
        <f>'Data Siklus I'!C39</f>
        <v>Hadir</v>
      </c>
      <c r="D39" s="81" t="str">
        <f>'Data Siklus I'!M39</f>
        <v>Lengkap</v>
      </c>
      <c r="E39" s="92">
        <f>IF(D39="Lengkap",'Data Diagnostik'!J39,"")</f>
        <v>33.33</v>
      </c>
      <c r="F39" s="92">
        <f>IF(D39="Lengkap",'Data Siklus I'!K39,"")</f>
        <v>95.83</v>
      </c>
      <c r="G39" s="92">
        <f t="shared" si="0"/>
        <v>62.5</v>
      </c>
      <c r="H39" s="81" t="str">
        <f>IF(D39="Lengkap",'Data Diagnostik'!K39,"")</f>
        <v>Belum Tuntas</v>
      </c>
      <c r="I39" s="81" t="str">
        <f>IF(D39="Lengkap",'Data Siklus I'!L39,"")</f>
        <v>Tuntas</v>
      </c>
      <c r="J39" s="81" t="str">
        <f t="shared" si="1"/>
        <v>Menjadi Tuntas</v>
      </c>
      <c r="K39" s="92">
        <f>IF('Obs Kemandirian S1'!L39="Lengkap",'Observasi Kemandirian'!I39,"")</f>
        <v>2.2000000000000002</v>
      </c>
      <c r="L39" s="92">
        <f>IF('Obs Kemandirian S1'!L39="Lengkap",'Obs Kemandirian S1'!J39,"")</f>
        <v>3.6</v>
      </c>
      <c r="M39" s="92">
        <f t="shared" si="2"/>
        <v>1.4</v>
      </c>
      <c r="N39" s="76"/>
      <c r="O39" s="84"/>
      <c r="P39" s="84"/>
      <c r="Q39" s="84"/>
      <c r="R39" s="84"/>
      <c r="S39" s="84"/>
      <c r="T39" s="84"/>
    </row>
    <row r="40" spans="1:20">
      <c r="A40" s="80">
        <f>'Data Siklus I'!A40</f>
        <v>36</v>
      </c>
      <c r="B40" s="81" t="str">
        <f>'Data Siklus I'!B40</f>
        <v>X5-36</v>
      </c>
      <c r="C40" s="81" t="str">
        <f>'Data Siklus I'!C40</f>
        <v>Hadir</v>
      </c>
      <c r="D40" s="81" t="str">
        <f>'Data Siklus I'!M40</f>
        <v>Lengkap</v>
      </c>
      <c r="E40" s="92">
        <f>IF(D40="Lengkap",'Data Diagnostik'!J40,"")</f>
        <v>37.5</v>
      </c>
      <c r="F40" s="92">
        <f>IF(D40="Lengkap",'Data Siklus I'!K40,"")</f>
        <v>95.83</v>
      </c>
      <c r="G40" s="92">
        <f t="shared" si="0"/>
        <v>58.33</v>
      </c>
      <c r="H40" s="81" t="str">
        <f>IF(D40="Lengkap",'Data Diagnostik'!K40,"")</f>
        <v>Belum Tuntas</v>
      </c>
      <c r="I40" s="81" t="str">
        <f>IF(D40="Lengkap",'Data Siklus I'!L40,"")</f>
        <v>Tuntas</v>
      </c>
      <c r="J40" s="81" t="str">
        <f t="shared" si="1"/>
        <v>Menjadi Tuntas</v>
      </c>
      <c r="K40" s="92">
        <f>IF('Obs Kemandirian S1'!L40="Lengkap",'Observasi Kemandirian'!I40,"")</f>
        <v>2.2000000000000002</v>
      </c>
      <c r="L40" s="92">
        <f>IF('Obs Kemandirian S1'!L40="Lengkap",'Obs Kemandirian S1'!J40,"")</f>
        <v>3.6</v>
      </c>
      <c r="M40" s="92">
        <f t="shared" si="2"/>
        <v>1.4</v>
      </c>
      <c r="N40" s="76"/>
      <c r="O40" s="84"/>
      <c r="P40" s="84"/>
      <c r="Q40" s="84"/>
      <c r="R40" s="84"/>
      <c r="S40" s="84"/>
      <c r="T40" s="84"/>
    </row>
    <row r="41" spans="1:20">
      <c r="A41" s="80">
        <f>'Data Siklus I'!A41</f>
        <v>37</v>
      </c>
      <c r="B41" s="81" t="str">
        <f>'Data Siklus I'!B41</f>
        <v>X5-37</v>
      </c>
      <c r="C41" s="81" t="str">
        <f>'Data Siklus I'!C41</f>
        <v>Hadir</v>
      </c>
      <c r="D41" s="81" t="str">
        <f>'Data Siklus I'!M41</f>
        <v>Lengkap</v>
      </c>
      <c r="E41" s="92">
        <f>IF(D41="Lengkap",'Data Diagnostik'!J41,"")</f>
        <v>25</v>
      </c>
      <c r="F41" s="92">
        <f>IF(D41="Lengkap",'Data Siklus I'!K41,"")</f>
        <v>79.17</v>
      </c>
      <c r="G41" s="92">
        <f t="shared" si="0"/>
        <v>54.17</v>
      </c>
      <c r="H41" s="81" t="str">
        <f>IF(D41="Lengkap",'Data Diagnostik'!K41,"")</f>
        <v>Belum Tuntas</v>
      </c>
      <c r="I41" s="81" t="str">
        <f>IF(D41="Lengkap",'Data Siklus I'!L41,"")</f>
        <v>Tuntas</v>
      </c>
      <c r="J41" s="81" t="str">
        <f t="shared" si="1"/>
        <v>Menjadi Tuntas</v>
      </c>
      <c r="K41" s="92">
        <f>IF('Obs Kemandirian S1'!L41="Lengkap",'Observasi Kemandirian'!I41,"")</f>
        <v>1.8</v>
      </c>
      <c r="L41" s="92">
        <f>IF('Obs Kemandirian S1'!L41="Lengkap",'Obs Kemandirian S1'!J41,"")</f>
        <v>2.8</v>
      </c>
      <c r="M41" s="92">
        <f t="shared" si="2"/>
        <v>1</v>
      </c>
      <c r="N41" s="76"/>
      <c r="O41" s="84"/>
      <c r="P41" s="84"/>
      <c r="Q41" s="84"/>
      <c r="R41" s="84"/>
      <c r="S41" s="84"/>
      <c r="T41" s="84"/>
    </row>
    <row r="42" spans="1:20">
      <c r="A42" s="80">
        <f>'Data Siklus I'!A42</f>
        <v>38</v>
      </c>
      <c r="B42" s="81" t="str">
        <f>'Data Siklus I'!B42</f>
        <v>X5-38</v>
      </c>
      <c r="C42" s="81" t="str">
        <f>'Data Siklus I'!C42</f>
        <v>Hadir</v>
      </c>
      <c r="D42" s="81" t="str">
        <f>'Data Siklus I'!M42</f>
        <v>Lengkap</v>
      </c>
      <c r="E42" s="92">
        <f>IF(D42="Lengkap",'Data Diagnostik'!J42,"")</f>
        <v>25</v>
      </c>
      <c r="F42" s="92">
        <f>IF(D42="Lengkap",'Data Siklus I'!K42,"")</f>
        <v>58.33</v>
      </c>
      <c r="G42" s="92">
        <f t="shared" si="0"/>
        <v>33.33</v>
      </c>
      <c r="H42" s="81" t="str">
        <f>IF(D42="Lengkap",'Data Diagnostik'!K42,"")</f>
        <v>Belum Tuntas</v>
      </c>
      <c r="I42" s="81" t="str">
        <f>IF(D42="Lengkap",'Data Siklus I'!L42,"")</f>
        <v>Belum Tuntas</v>
      </c>
      <c r="J42" s="81" t="str">
        <f t="shared" si="1"/>
        <v>Tetap Belum Tuntas</v>
      </c>
      <c r="K42" s="92">
        <f>IF('Obs Kemandirian S1'!L42="Lengkap",'Observasi Kemandirian'!I42,"")</f>
        <v>1.8</v>
      </c>
      <c r="L42" s="92">
        <f>IF('Obs Kemandirian S1'!L42="Lengkap",'Obs Kemandirian S1'!J42,"")</f>
        <v>2.8</v>
      </c>
      <c r="M42" s="92">
        <f t="shared" si="2"/>
        <v>1</v>
      </c>
      <c r="N42" s="76"/>
      <c r="O42" s="84"/>
      <c r="P42" s="84"/>
      <c r="Q42" s="84"/>
      <c r="R42" s="84"/>
      <c r="S42" s="84"/>
      <c r="T42" s="84"/>
    </row>
    <row r="43" spans="1:20">
      <c r="A43" s="80">
        <f>'Data Siklus I'!A43</f>
        <v>39</v>
      </c>
      <c r="B43" s="81" t="str">
        <f>'Data Siklus I'!B43</f>
        <v>X5-39</v>
      </c>
      <c r="C43" s="81" t="str">
        <f>'Data Siklus I'!C43</f>
        <v>Hadir</v>
      </c>
      <c r="D43" s="81" t="str">
        <f>'Data Siklus I'!M43</f>
        <v>Lengkap</v>
      </c>
      <c r="E43" s="92">
        <f>IF(D43="Lengkap",'Data Diagnostik'!J43,"")</f>
        <v>33.33</v>
      </c>
      <c r="F43" s="92">
        <f>IF(D43="Lengkap",'Data Siklus I'!K43,"")</f>
        <v>100</v>
      </c>
      <c r="G43" s="92">
        <f t="shared" si="0"/>
        <v>66.67</v>
      </c>
      <c r="H43" s="81" t="str">
        <f>IF(D43="Lengkap",'Data Diagnostik'!K43,"")</f>
        <v>Belum Tuntas</v>
      </c>
      <c r="I43" s="81" t="str">
        <f>IF(D43="Lengkap",'Data Siklus I'!L43,"")</f>
        <v>Tuntas</v>
      </c>
      <c r="J43" s="81" t="str">
        <f t="shared" si="1"/>
        <v>Menjadi Tuntas</v>
      </c>
      <c r="K43" s="92">
        <f>IF('Obs Kemandirian S1'!L43="Lengkap",'Observasi Kemandirian'!I43,"")</f>
        <v>2.2000000000000002</v>
      </c>
      <c r="L43" s="92">
        <f>IF('Obs Kemandirian S1'!L43="Lengkap",'Obs Kemandirian S1'!J43,"")</f>
        <v>3.2</v>
      </c>
      <c r="M43" s="92">
        <f t="shared" si="2"/>
        <v>1</v>
      </c>
      <c r="N43" s="76"/>
      <c r="O43" s="84"/>
      <c r="P43" s="84"/>
      <c r="Q43" s="84"/>
      <c r="R43" s="84"/>
      <c r="S43" s="84"/>
      <c r="T43" s="84"/>
    </row>
    <row r="44" spans="1:20">
      <c r="A44" s="80">
        <f>'Data Siklus I'!A44</f>
        <v>40</v>
      </c>
      <c r="B44" s="81" t="str">
        <f>'Data Siklus I'!B44</f>
        <v>X5-40</v>
      </c>
      <c r="C44" s="81" t="str">
        <f>'Data Siklus I'!C44</f>
        <v>Hadir</v>
      </c>
      <c r="D44" s="81" t="str">
        <f>'Data Siklus I'!M44</f>
        <v>Lengkap</v>
      </c>
      <c r="E44" s="92">
        <f>IF(D44="Lengkap",'Data Diagnostik'!J44,"")</f>
        <v>37.5</v>
      </c>
      <c r="F44" s="92">
        <f>IF(D44="Lengkap",'Data Siklus I'!K44,"")</f>
        <v>79.17</v>
      </c>
      <c r="G44" s="92">
        <f t="shared" si="0"/>
        <v>41.67</v>
      </c>
      <c r="H44" s="81" t="str">
        <f>IF(D44="Lengkap",'Data Diagnostik'!K44,"")</f>
        <v>Belum Tuntas</v>
      </c>
      <c r="I44" s="81" t="str">
        <f>IF(D44="Lengkap",'Data Siklus I'!L44,"")</f>
        <v>Tuntas</v>
      </c>
      <c r="J44" s="81" t="str">
        <f t="shared" si="1"/>
        <v>Menjadi Tuntas</v>
      </c>
      <c r="K44" s="92">
        <f>IF('Obs Kemandirian S1'!L44="Lengkap",'Observasi Kemandirian'!I44,"")</f>
        <v>2.2000000000000002</v>
      </c>
      <c r="L44" s="92">
        <f>IF('Obs Kemandirian S1'!L44="Lengkap",'Obs Kemandirian S1'!J44,"")</f>
        <v>3.2</v>
      </c>
      <c r="M44" s="92">
        <f t="shared" si="2"/>
        <v>1</v>
      </c>
      <c r="N44" s="76"/>
      <c r="O44" s="84"/>
      <c r="P44" s="84"/>
      <c r="Q44" s="84"/>
      <c r="R44" s="84"/>
      <c r="S44" s="84"/>
      <c r="T44" s="84"/>
    </row>
    <row r="45" spans="1:20">
      <c r="A45" s="80">
        <f>'Data Siklus I'!A45</f>
        <v>41</v>
      </c>
      <c r="B45" s="81" t="str">
        <f>'Data Siklus I'!B45</f>
        <v>X5-41</v>
      </c>
      <c r="C45" s="81" t="str">
        <f>'Data Siklus I'!C45</f>
        <v>Hadir</v>
      </c>
      <c r="D45" s="81" t="str">
        <f>'Data Siklus I'!M45</f>
        <v>Lengkap</v>
      </c>
      <c r="E45" s="92">
        <f>IF(D45="Lengkap",'Data Diagnostik'!J45,"")</f>
        <v>33.33</v>
      </c>
      <c r="F45" s="92">
        <f>IF(D45="Lengkap",'Data Siklus I'!K45,"")</f>
        <v>75</v>
      </c>
      <c r="G45" s="92">
        <f t="shared" si="0"/>
        <v>41.67</v>
      </c>
      <c r="H45" s="81" t="str">
        <f>IF(D45="Lengkap",'Data Diagnostik'!K45,"")</f>
        <v>Belum Tuntas</v>
      </c>
      <c r="I45" s="81" t="str">
        <f>IF(D45="Lengkap",'Data Siklus I'!L45,"")</f>
        <v>Tuntas</v>
      </c>
      <c r="J45" s="81" t="str">
        <f t="shared" si="1"/>
        <v>Menjadi Tuntas</v>
      </c>
      <c r="K45" s="92">
        <f>IF('Obs Kemandirian S1'!L45="Lengkap",'Observasi Kemandirian'!I45,"")</f>
        <v>2.2000000000000002</v>
      </c>
      <c r="L45" s="92">
        <f>IF('Obs Kemandirian S1'!L45="Lengkap",'Obs Kemandirian S1'!J45,"")</f>
        <v>3.2</v>
      </c>
      <c r="M45" s="92">
        <f t="shared" si="2"/>
        <v>1</v>
      </c>
      <c r="N45" s="76"/>
      <c r="O45" s="84"/>
      <c r="P45" s="84"/>
      <c r="Q45" s="84"/>
      <c r="R45" s="84"/>
      <c r="S45" s="84"/>
      <c r="T45" s="84"/>
    </row>
    <row r="46" spans="1:20">
      <c r="A46" s="80">
        <f>'Data Siklus I'!A46</f>
        <v>42</v>
      </c>
      <c r="B46" s="81" t="str">
        <f>'Data Siklus I'!B46</f>
        <v>X5-42</v>
      </c>
      <c r="C46" s="81" t="str">
        <f>'Data Siklus I'!C46</f>
        <v>Hadir</v>
      </c>
      <c r="D46" s="81" t="str">
        <f>'Data Siklus I'!M46</f>
        <v>Lengkap</v>
      </c>
      <c r="E46" s="92">
        <f>IF(D46="Lengkap",'Data Diagnostik'!J46,"")</f>
        <v>75</v>
      </c>
      <c r="F46" s="92">
        <f>IF(D46="Lengkap",'Data Siklus I'!K46,"")</f>
        <v>91.67</v>
      </c>
      <c r="G46" s="92">
        <f t="shared" si="0"/>
        <v>16.670000000000002</v>
      </c>
      <c r="H46" s="81" t="str">
        <f>IF(D46="Lengkap",'Data Diagnostik'!K46,"")</f>
        <v>Tuntas</v>
      </c>
      <c r="I46" s="81" t="str">
        <f>IF(D46="Lengkap",'Data Siklus I'!L46,"")</f>
        <v>Tuntas</v>
      </c>
      <c r="J46" s="81" t="str">
        <f t="shared" si="1"/>
        <v>Tetap Tuntas</v>
      </c>
      <c r="K46" s="92">
        <f>IF('Obs Kemandirian S1'!L46="Lengkap",'Observasi Kemandirian'!I46,"")</f>
        <v>2.4</v>
      </c>
      <c r="L46" s="92">
        <f>IF('Obs Kemandirian S1'!L46="Lengkap",'Obs Kemandirian S1'!J46,"")</f>
        <v>3.6</v>
      </c>
      <c r="M46" s="92">
        <f t="shared" si="2"/>
        <v>1.2</v>
      </c>
      <c r="N46" s="76"/>
      <c r="O46" s="84"/>
      <c r="P46" s="84"/>
      <c r="Q46" s="84"/>
      <c r="R46" s="84"/>
      <c r="S46" s="84"/>
      <c r="T46" s="84"/>
    </row>
    <row r="47" spans="1:20">
      <c r="A47" s="80">
        <f>'Data Siklus I'!A47</f>
        <v>43</v>
      </c>
      <c r="B47" s="81" t="str">
        <f>'Data Siklus I'!B47</f>
        <v>X5-43</v>
      </c>
      <c r="C47" s="81" t="str">
        <f>'Data Siklus I'!C47</f>
        <v>Hadir</v>
      </c>
      <c r="D47" s="81" t="str">
        <f>'Data Siklus I'!M47</f>
        <v>Lengkap</v>
      </c>
      <c r="E47" s="92">
        <f>IF(D47="Lengkap",'Data Diagnostik'!J47,"")</f>
        <v>29.17</v>
      </c>
      <c r="F47" s="92">
        <f>IF(D47="Lengkap",'Data Siklus I'!K47,"")</f>
        <v>41.67</v>
      </c>
      <c r="G47" s="92">
        <f t="shared" si="0"/>
        <v>12.5</v>
      </c>
      <c r="H47" s="81" t="str">
        <f>IF(D47="Lengkap",'Data Diagnostik'!K47,"")</f>
        <v>Belum Tuntas</v>
      </c>
      <c r="I47" s="81" t="str">
        <f>IF(D47="Lengkap",'Data Siklus I'!L47,"")</f>
        <v>Belum Tuntas</v>
      </c>
      <c r="J47" s="81" t="str">
        <f t="shared" si="1"/>
        <v>Tetap Belum Tuntas</v>
      </c>
      <c r="K47" s="92">
        <f>IF('Obs Kemandirian S1'!L47="Lengkap",'Observasi Kemandirian'!I47,"")</f>
        <v>2.2000000000000002</v>
      </c>
      <c r="L47" s="92">
        <f>IF('Obs Kemandirian S1'!L47="Lengkap",'Obs Kemandirian S1'!J47,"")</f>
        <v>3.2</v>
      </c>
      <c r="M47" s="92">
        <f t="shared" si="2"/>
        <v>1</v>
      </c>
      <c r="N47" s="76"/>
      <c r="O47" s="84"/>
      <c r="P47" s="84"/>
      <c r="Q47" s="84"/>
      <c r="R47" s="84"/>
      <c r="S47" s="84"/>
      <c r="T47" s="84"/>
    </row>
    <row r="48" spans="1:20">
      <c r="A48" s="80">
        <f>'Data Siklus I'!A48</f>
        <v>44</v>
      </c>
      <c r="B48" s="81" t="str">
        <f>'Data Siklus I'!B48</f>
        <v>X5-44</v>
      </c>
      <c r="C48" s="81" t="str">
        <f>'Data Siklus I'!C48</f>
        <v>Hadir</v>
      </c>
      <c r="D48" s="81" t="str">
        <f>'Data Siklus I'!M48</f>
        <v>Lengkap</v>
      </c>
      <c r="E48" s="92">
        <f>IF(D48="Lengkap",'Data Diagnostik'!J48,"")</f>
        <v>25</v>
      </c>
      <c r="F48" s="92">
        <f>IF(D48="Lengkap",'Data Siklus I'!K48,"")</f>
        <v>75</v>
      </c>
      <c r="G48" s="92">
        <f t="shared" si="0"/>
        <v>50</v>
      </c>
      <c r="H48" s="81" t="str">
        <f>IF(D48="Lengkap",'Data Diagnostik'!K48,"")</f>
        <v>Belum Tuntas</v>
      </c>
      <c r="I48" s="81" t="str">
        <f>IF(D48="Lengkap",'Data Siklus I'!L48,"")</f>
        <v>Tuntas</v>
      </c>
      <c r="J48" s="81" t="str">
        <f t="shared" si="1"/>
        <v>Menjadi Tuntas</v>
      </c>
      <c r="K48" s="92">
        <f>IF('Obs Kemandirian S1'!L48="Lengkap",'Observasi Kemandirian'!I48,"")</f>
        <v>1.8</v>
      </c>
      <c r="L48" s="92">
        <f>IF('Obs Kemandirian S1'!L48="Lengkap",'Obs Kemandirian S1'!J48,"")</f>
        <v>2.8</v>
      </c>
      <c r="M48" s="92">
        <f t="shared" si="2"/>
        <v>1</v>
      </c>
      <c r="N48" s="76"/>
      <c r="O48" s="84"/>
      <c r="P48" s="84"/>
      <c r="Q48" s="84"/>
      <c r="R48" s="84"/>
      <c r="S48" s="84"/>
      <c r="T48" s="84"/>
    </row>
    <row r="49" spans="1:20">
      <c r="A49" s="80">
        <f>'Data Siklus I'!A49</f>
        <v>45</v>
      </c>
      <c r="B49" s="81" t="str">
        <f>'Data Siklus I'!B49</f>
        <v>X5-45</v>
      </c>
      <c r="C49" s="81" t="str">
        <f>'Data Siklus I'!C49</f>
        <v>Hadir</v>
      </c>
      <c r="D49" s="81" t="str">
        <f>'Data Siklus I'!M49</f>
        <v>Lengkap</v>
      </c>
      <c r="E49" s="92">
        <f>IF(D49="Lengkap",'Data Diagnostik'!J49,"")</f>
        <v>33.33</v>
      </c>
      <c r="F49" s="92">
        <f>IF(D49="Lengkap",'Data Siklus I'!K49,"")</f>
        <v>91.67</v>
      </c>
      <c r="G49" s="92">
        <f t="shared" si="0"/>
        <v>58.34</v>
      </c>
      <c r="H49" s="81" t="str">
        <f>IF(D49="Lengkap",'Data Diagnostik'!K49,"")</f>
        <v>Belum Tuntas</v>
      </c>
      <c r="I49" s="81" t="str">
        <f>IF(D49="Lengkap",'Data Siklus I'!L49,"")</f>
        <v>Tuntas</v>
      </c>
      <c r="J49" s="81" t="str">
        <f t="shared" si="1"/>
        <v>Menjadi Tuntas</v>
      </c>
      <c r="K49" s="92">
        <f>IF('Obs Kemandirian S1'!L49="Lengkap",'Observasi Kemandirian'!I49,"")</f>
        <v>2</v>
      </c>
      <c r="L49" s="92">
        <f>IF('Obs Kemandirian S1'!L49="Lengkap",'Obs Kemandirian S1'!J49,"")</f>
        <v>3.6</v>
      </c>
      <c r="M49" s="92">
        <f t="shared" si="2"/>
        <v>1.6</v>
      </c>
      <c r="N49" s="76"/>
      <c r="O49" s="84"/>
      <c r="P49" s="84"/>
      <c r="Q49" s="84"/>
      <c r="R49" s="84"/>
      <c r="S49" s="84"/>
      <c r="T49" s="84"/>
    </row>
    <row r="50" spans="1:20">
      <c r="A50" s="82">
        <f>'Data Siklus I'!A50</f>
        <v>46</v>
      </c>
      <c r="B50" s="83" t="str">
        <f>'Data Siklus I'!B50</f>
        <v>X5-46</v>
      </c>
      <c r="C50" s="83" t="str">
        <f>'Data Siklus I'!C50</f>
        <v>Hadir</v>
      </c>
      <c r="D50" s="83" t="str">
        <f>'Data Siklus I'!M50</f>
        <v>Lengkap</v>
      </c>
      <c r="E50" s="93">
        <f>IF(D50="Lengkap",'Data Diagnostik'!J50,"")</f>
        <v>75</v>
      </c>
      <c r="F50" s="93">
        <f>IF(D50="Lengkap",'Data Siklus I'!K50,"")</f>
        <v>91.67</v>
      </c>
      <c r="G50" s="93">
        <f t="shared" si="0"/>
        <v>16.670000000000002</v>
      </c>
      <c r="H50" s="83" t="str">
        <f>IF(D50="Lengkap",'Data Diagnostik'!K50,"")</f>
        <v>Tuntas</v>
      </c>
      <c r="I50" s="83" t="str">
        <f>IF(D50="Lengkap",'Data Siklus I'!L50,"")</f>
        <v>Tuntas</v>
      </c>
      <c r="J50" s="83" t="str">
        <f t="shared" si="1"/>
        <v>Tetap Tuntas</v>
      </c>
      <c r="K50" s="93">
        <f>IF('Obs Kemandirian S1'!L50="Lengkap",'Observasi Kemandirian'!I50,"")</f>
        <v>3</v>
      </c>
      <c r="L50" s="93">
        <f>IF('Obs Kemandirian S1'!L50="Lengkap",'Obs Kemandirian S1'!J50,"")</f>
        <v>3.6</v>
      </c>
      <c r="M50" s="93">
        <f t="shared" si="2"/>
        <v>0.6</v>
      </c>
      <c r="N50" s="77"/>
      <c r="O50" s="84"/>
      <c r="P50" s="84"/>
      <c r="Q50" s="84"/>
      <c r="R50" s="84"/>
      <c r="S50" s="84"/>
      <c r="T50" s="84"/>
    </row>
  </sheetData>
  <mergeCells count="2">
    <mergeCell ref="A1:T1"/>
    <mergeCell ref="A2:T2"/>
  </mergeCells>
  <conditionalFormatting sqref="G5:G50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M5:M50">
    <cfRule type="cellIs" dxfId="3" priority="3" operator="greaterThan">
      <formula>0</formula>
    </cfRule>
  </conditionalFormatting>
  <conditionalFormatting sqref="I5:I50">
    <cfRule type="expression" dxfId="2" priority="4">
      <formula>I5="Tuntas"</formula>
    </cfRule>
  </conditionalFormatting>
  <conditionalFormatting sqref="S5:S10">
    <cfRule type="dataBar" priority="5">
      <dataBar>
        <cfvo type="min"/>
        <cfvo type="max"/>
        <color rgb="FFA02B93"/>
      </dataBar>
    </cfRule>
  </conditionalFormatting>
  <conditionalFormatting sqref="S5:S10">
    <cfRule type="dataBar" priority="6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{D731F4B2-7D3B-E7FA-E487-0B4E8CAA4A1D}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31F4B2-7D3B-E7FA-E487-0B4E8CAA4A1D}">
            <x14:dataBar>
              <x14:cfvo type="min"/>
              <x14:cfvo type="max"/>
              <x14:negativeFillColor auto="1"/>
              <x14:axisColor auto="1"/>
            </x14:dataBar>
          </x14:cfRule>
          <xm:sqref>S5:S10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3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3.8"/>
  <cols>
    <col min="1" max="1" width="25" customWidth="1"/>
    <col min="2" max="3" width="15" customWidth="1"/>
    <col min="4" max="4" width="23" customWidth="1"/>
    <col min="5" max="5" width="20" customWidth="1"/>
    <col min="6" max="6" width="3" customWidth="1"/>
    <col min="7" max="7" width="22" customWidth="1"/>
    <col min="8" max="10" width="14" customWidth="1"/>
    <col min="11" max="12" width="12" customWidth="1"/>
  </cols>
  <sheetData>
    <row r="1" spans="1:12" ht="28.05" customHeight="1">
      <c r="A1" s="130" t="s">
        <v>222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1:1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30" customHeight="1">
      <c r="A3" s="46" t="s">
        <v>119</v>
      </c>
      <c r="B3" s="46" t="s">
        <v>50</v>
      </c>
      <c r="C3" s="45"/>
      <c r="D3" s="46" t="s">
        <v>223</v>
      </c>
      <c r="E3" s="46" t="s">
        <v>144</v>
      </c>
      <c r="F3" s="45"/>
      <c r="G3" s="46" t="s">
        <v>224</v>
      </c>
      <c r="H3" s="46" t="s">
        <v>217</v>
      </c>
      <c r="I3" s="46" t="s">
        <v>218</v>
      </c>
      <c r="J3" s="46" t="s">
        <v>225</v>
      </c>
      <c r="K3" s="45"/>
      <c r="L3" s="45"/>
    </row>
    <row r="4" spans="1:12">
      <c r="A4" s="47" t="s">
        <v>226</v>
      </c>
      <c r="B4" s="48">
        <f>'Petunjuk Siklus I'!B4</f>
        <v>46</v>
      </c>
      <c r="C4" s="45"/>
      <c r="D4" s="47" t="s">
        <v>227</v>
      </c>
      <c r="E4" s="48">
        <f>COUNTIF('Data Siklus I'!$C$5:$C$50,"Hadir")</f>
        <v>41</v>
      </c>
      <c r="F4" s="45"/>
      <c r="G4" s="47" t="s">
        <v>109</v>
      </c>
      <c r="H4" s="94">
        <f>IF(COUNTIF('Obs Kemandirian S1'!$L$5:$L$50,"Lengkap")=0,"",ROUND(AVERAGEIF('Obs Kemandirian S1'!$L$5:$L$50,"Lengkap",'Observasi Kemandirian'!$I$5:$I$50),2))</f>
        <v>2.15</v>
      </c>
      <c r="I4" s="94">
        <f>IF(COUNTIF('Obs Kemandirian S1'!$L$5:$L$50,"Lengkap")=0,"",ROUND(AVERAGEIF('Obs Kemandirian S1'!$L$5:$L$50,"Lengkap",'Obs Kemandirian S1'!$J$5:$J$50),2))</f>
        <v>3.2</v>
      </c>
      <c r="J4" s="95">
        <f>IF(OR(H4="",I4=""),"",ROUND(I4-H4,2))</f>
        <v>1.05</v>
      </c>
      <c r="K4" s="45"/>
      <c r="L4" s="45"/>
    </row>
    <row r="5" spans="1:12">
      <c r="A5" s="50" t="s">
        <v>12</v>
      </c>
      <c r="B5" s="51">
        <f>'Petunjuk Siklus I'!B5</f>
        <v>75</v>
      </c>
      <c r="C5" s="45"/>
      <c r="D5" s="50" t="s">
        <v>228</v>
      </c>
      <c r="E5" s="51">
        <f>COUNTIF('Data Siklus I'!$C$5:$C$50,"Sakit")</f>
        <v>2</v>
      </c>
      <c r="F5" s="45"/>
      <c r="G5" s="50" t="s">
        <v>139</v>
      </c>
      <c r="H5" s="96">
        <f>COUNTIFS('Obs Kemandirian S1'!$L$5:$L$50,"Lengkap",'Observasi Kemandirian'!$J$5:$J$50,"Sangat Mandiri")</f>
        <v>0</v>
      </c>
      <c r="I5" s="96">
        <f>COUNTIFS('Obs Kemandirian S1'!$L$5:$L$50,"Lengkap",'Obs Kemandirian S1'!$K$5:$K$50,"Sangat Mandiri")</f>
        <v>11</v>
      </c>
      <c r="J5" s="51">
        <f>IF(OR(H5="",I5=""),"",I5-H5)</f>
        <v>11</v>
      </c>
      <c r="K5" s="45"/>
      <c r="L5" s="45"/>
    </row>
    <row r="6" spans="1:12">
      <c r="A6" s="50" t="s">
        <v>229</v>
      </c>
      <c r="B6" s="53">
        <f>'Petunjuk Siklus I'!B7</f>
        <v>0.7</v>
      </c>
      <c r="C6" s="45"/>
      <c r="D6" s="50" t="s">
        <v>230</v>
      </c>
      <c r="E6" s="51">
        <f>COUNTIF('Data Siklus I'!$C$5:$C$50,"Izin")</f>
        <v>0</v>
      </c>
      <c r="F6" s="45"/>
      <c r="G6" s="50" t="s">
        <v>140</v>
      </c>
      <c r="H6" s="96">
        <f>COUNTIFS('Obs Kemandirian S1'!$L$5:$L$50,"Lengkap",'Observasi Kemandirian'!$J$5:$J$50,"Mandiri")</f>
        <v>4</v>
      </c>
      <c r="I6" s="96">
        <f>COUNTIFS('Obs Kemandirian S1'!$L$5:$L$50,"Lengkap",'Obs Kemandirian S1'!$K$5:$K$50,"Mandiri")</f>
        <v>30</v>
      </c>
      <c r="J6" s="51">
        <f>IF(OR(H6="",I6=""),"",I6-H6)</f>
        <v>26</v>
      </c>
      <c r="K6" s="45"/>
      <c r="L6" s="45"/>
    </row>
    <row r="7" spans="1:12">
      <c r="A7" s="50" t="s">
        <v>231</v>
      </c>
      <c r="B7" s="53">
        <f>'Petunjuk Siklus I'!B8</f>
        <v>0.8</v>
      </c>
      <c r="C7" s="45"/>
      <c r="D7" s="50" t="s">
        <v>232</v>
      </c>
      <c r="E7" s="51">
        <f>COUNTIF('Data Siklus I'!$C$5:$C$50,"Dispensasi")</f>
        <v>3</v>
      </c>
      <c r="F7" s="45"/>
      <c r="G7" s="50" t="s">
        <v>141</v>
      </c>
      <c r="H7" s="96">
        <f>COUNTIFS('Obs Kemandirian S1'!$L$5:$L$50,"Lengkap",'Observasi Kemandirian'!$J$5:$J$50,"Kurang Mandiri")</f>
        <v>37</v>
      </c>
      <c r="I7" s="96">
        <f>COUNTIFS('Obs Kemandirian S1'!$L$5:$L$50,"Lengkap",'Obs Kemandirian S1'!$K$5:$K$50,"Kurang Mandiri")</f>
        <v>0</v>
      </c>
      <c r="J7" s="51">
        <f>IF(OR(H7="",I7=""),"",I7-H7)</f>
        <v>-37</v>
      </c>
      <c r="K7" s="45"/>
      <c r="L7" s="45"/>
    </row>
    <row r="8" spans="1:12">
      <c r="A8" s="55" t="s">
        <v>233</v>
      </c>
      <c r="B8" s="57">
        <f>'Petunjuk Siklus I'!B9</f>
        <v>2.5</v>
      </c>
      <c r="C8" s="45"/>
      <c r="D8" s="50" t="s">
        <v>234</v>
      </c>
      <c r="E8" s="51">
        <f>COUNTIF('Data Siklus I'!$C$5:$C$50,"Alpa")</f>
        <v>0</v>
      </c>
      <c r="F8" s="45"/>
      <c r="G8" s="50" t="s">
        <v>142</v>
      </c>
      <c r="H8" s="96">
        <f>COUNTIFS('Obs Kemandirian S1'!$L$5:$L$50,"Lengkap",'Observasi Kemandirian'!$J$5:$J$50,"Belum Mandiri")</f>
        <v>0</v>
      </c>
      <c r="I8" s="96">
        <f>COUNTIFS('Obs Kemandirian S1'!$L$5:$L$50,"Lengkap",'Obs Kemandirian S1'!$K$5:$K$50,"Belum Mandiri")</f>
        <v>0</v>
      </c>
      <c r="J8" s="51">
        <f>IF(OR(H8="",I8=""),"",I8-H8)</f>
        <v>0</v>
      </c>
      <c r="K8" s="45"/>
      <c r="L8" s="45"/>
    </row>
    <row r="9" spans="1:12">
      <c r="A9" s="45"/>
      <c r="B9" s="45"/>
      <c r="C9" s="45"/>
      <c r="D9" s="55" t="s">
        <v>235</v>
      </c>
      <c r="E9" s="97">
        <f>COUNTIF('Data Siklus I'!$M$5:$M$50,"Lengkap")</f>
        <v>41</v>
      </c>
      <c r="F9" s="45"/>
      <c r="G9" s="55" t="s">
        <v>236</v>
      </c>
      <c r="H9" s="98">
        <f>COUNTIF('Obs Kemandirian S1'!$L$5:$L$50,"Lengkap")</f>
        <v>41</v>
      </c>
      <c r="I9" s="98">
        <f>H9</f>
        <v>41</v>
      </c>
      <c r="J9" s="97" t="s">
        <v>221</v>
      </c>
      <c r="K9" s="45"/>
      <c r="L9" s="45"/>
    </row>
    <row r="10" spans="1:12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</row>
    <row r="11" spans="1:12" ht="30" customHeight="1">
      <c r="A11" s="46" t="s">
        <v>237</v>
      </c>
      <c r="B11" s="46" t="s">
        <v>217</v>
      </c>
      <c r="C11" s="46" t="s">
        <v>218</v>
      </c>
      <c r="D11" s="46" t="s">
        <v>225</v>
      </c>
      <c r="E11" s="46" t="s">
        <v>143</v>
      </c>
      <c r="F11" s="45"/>
      <c r="G11" s="46" t="s">
        <v>27</v>
      </c>
      <c r="H11" s="46" t="s">
        <v>238</v>
      </c>
      <c r="I11" s="46" t="s">
        <v>218</v>
      </c>
      <c r="J11" s="46" t="s">
        <v>219</v>
      </c>
      <c r="K11" s="46" t="s">
        <v>239</v>
      </c>
      <c r="L11" s="45"/>
    </row>
    <row r="12" spans="1:12">
      <c r="A12" s="47" t="s">
        <v>240</v>
      </c>
      <c r="B12" s="94">
        <f>IF(E9=0,"",ROUND(AVERAGEIF('Data Siklus I'!$M$5:$M$50,"Lengkap",'Data Diagnostik'!$J$5:$J$50),2))</f>
        <v>39.94</v>
      </c>
      <c r="C12" s="94">
        <f>IF(E9=0,"",ROUND(AVERAGEIF('Data Siklus I'!$M$5:$M$50,"Lengkap",'Data Siklus I'!$K$5:$K$50),2))</f>
        <v>78.150000000000006</v>
      </c>
      <c r="D12" s="94">
        <f>IF(OR(B12="",C12=""),"",ROUND(C12-B12,2))</f>
        <v>38.21</v>
      </c>
      <c r="E12" s="48" t="str">
        <f>IF(D12="","",IF(D12&gt;0,"Meningkat","Belum Meningkat"))</f>
        <v>Meningkat</v>
      </c>
      <c r="F12" s="45"/>
      <c r="G12" s="47" t="str">
        <f>'Perbandingan Pra-S1'!P5</f>
        <v>IPO</v>
      </c>
      <c r="H12" s="94">
        <f>IF($E$9=0,"",'Perbandingan Pra-S1'!Q5)</f>
        <v>1.85</v>
      </c>
      <c r="I12" s="94">
        <f>IF($E$9=0,"",'Perbandingan Pra-S1'!R5)</f>
        <v>3.63</v>
      </c>
      <c r="J12" s="94">
        <f>IF($E$9=0,"",'Perbandingan Pra-S1'!S5)</f>
        <v>1.78</v>
      </c>
      <c r="K12" s="95" t="str">
        <f>IF($E$9=0,"",'Perbandingan Pra-S1'!T5)</f>
        <v>—</v>
      </c>
      <c r="L12" s="45"/>
    </row>
    <row r="13" spans="1:12">
      <c r="A13" s="50" t="s">
        <v>241</v>
      </c>
      <c r="B13" s="99">
        <f>IF(E9=0,"",COUNTIFS('Data Siklus I'!$M$5:$M$50,"Lengkap",'Data Diagnostik'!$J$5:$J$50,"&gt;="&amp;'Petunjuk Siklus I'!$B$5))</f>
        <v>5</v>
      </c>
      <c r="C13" s="99">
        <f>IF(E9=0,"",COUNTIFS('Data Siklus I'!$M$5:$M$50,"Lengkap",'Data Siklus I'!$K$5:$K$50,"&gt;="&amp;'Petunjuk Siklus I'!$B$5))</f>
        <v>30</v>
      </c>
      <c r="D13" s="99">
        <f>IF(OR(B13="",C13=""),"",C13-B13)</f>
        <v>25</v>
      </c>
      <c r="E13" s="51" t="str">
        <f>IF(C13="","",IF(C13&gt;=ROUNDUP(E9*'Petunjuk Siklus I'!$B$7,0),"Target Tercapai","Belum Tercapai"))</f>
        <v>Target Tercapai</v>
      </c>
      <c r="F13" s="45"/>
      <c r="G13" s="50" t="str">
        <f>'Perbandingan Pra-S1'!P6</f>
        <v>Algoritma</v>
      </c>
      <c r="H13" s="99">
        <f>IF($E$9=0,"",'Perbandingan Pra-S1'!Q6)</f>
        <v>2.17</v>
      </c>
      <c r="I13" s="99">
        <f>IF($E$9=0,"",'Perbandingan Pra-S1'!R6)</f>
        <v>3.46</v>
      </c>
      <c r="J13" s="99">
        <f>IF($E$9=0,"",'Perbandingan Pra-S1'!S6)</f>
        <v>1.29</v>
      </c>
      <c r="K13" s="54" t="str">
        <f>IF($E$9=0,"",'Perbandingan Pra-S1'!T6)</f>
        <v>—</v>
      </c>
      <c r="L13" s="45"/>
    </row>
    <row r="14" spans="1:12">
      <c r="A14" s="50" t="s">
        <v>129</v>
      </c>
      <c r="B14" s="100">
        <f>IF(E9=0,"",B13/E9)</f>
        <v>0.12195121951219512</v>
      </c>
      <c r="C14" s="100">
        <f>IF(E9=0,"",C13/E9)</f>
        <v>0.73170731707317072</v>
      </c>
      <c r="D14" s="100">
        <f>IF(OR(B14="",C14=""),"",C14-B14)</f>
        <v>0.6097560975609756</v>
      </c>
      <c r="E14" s="51" t="str">
        <f>IF(C14="","",IF(C14&gt;='Petunjuk Siklus I'!$B$7,"Target Tercapai","Belum Tercapai"))</f>
        <v>Target Tercapai</v>
      </c>
      <c r="F14" s="45"/>
      <c r="G14" s="50" t="str">
        <f>'Perbandingan Pra-S1'!P7</f>
        <v>Percabangan</v>
      </c>
      <c r="H14" s="99">
        <f>IF($E$9=0,"",'Perbandingan Pra-S1'!Q7)</f>
        <v>1.61</v>
      </c>
      <c r="I14" s="99">
        <f>IF($E$9=0,"",'Perbandingan Pra-S1'!R7)</f>
        <v>3.61</v>
      </c>
      <c r="J14" s="99">
        <f>IF($E$9=0,"",'Perbandingan Pra-S1'!S7)</f>
        <v>2</v>
      </c>
      <c r="K14" s="54" t="str">
        <f>IF($E$9=0,"",'Perbandingan Pra-S1'!T7)</f>
        <v>—</v>
      </c>
      <c r="L14" s="45"/>
    </row>
    <row r="15" spans="1:12">
      <c r="A15" s="50" t="s">
        <v>242</v>
      </c>
      <c r="B15" s="99">
        <f>'Perbandingan Pra-S1'!Q8</f>
        <v>1.1499999999999999</v>
      </c>
      <c r="C15" s="99">
        <f>'Perbandingan Pra-S1'!R8</f>
        <v>2.63</v>
      </c>
      <c r="D15" s="99">
        <f>'Perbandingan Pra-S1'!S8</f>
        <v>1.48</v>
      </c>
      <c r="E15" s="51" t="str">
        <f>IF(C15="","",IF(C15&gt;='Petunjuk Siklus I'!$B$9,"Target Tercapai","Belum Tercapai"))</f>
        <v>Target Tercapai</v>
      </c>
      <c r="F15" s="45"/>
      <c r="G15" s="50" t="str">
        <f>'Perbandingan Pra-S1'!P8</f>
        <v>Flowchart</v>
      </c>
      <c r="H15" s="99">
        <f>IF($E$9=0,"",'Perbandingan Pra-S1'!Q8)</f>
        <v>1.1499999999999999</v>
      </c>
      <c r="I15" s="99">
        <f>IF($E$9=0,"",'Perbandingan Pra-S1'!R8)</f>
        <v>2.63</v>
      </c>
      <c r="J15" s="99">
        <f>IF($E$9=0,"",'Perbandingan Pra-S1'!S8)</f>
        <v>1.48</v>
      </c>
      <c r="K15" s="54">
        <f>IF($E$9=0,"",'Perbandingan Pra-S1'!T8)</f>
        <v>2.5</v>
      </c>
      <c r="L15" s="45"/>
    </row>
    <row r="16" spans="1:12">
      <c r="A16" s="55" t="s">
        <v>243</v>
      </c>
      <c r="B16" s="101">
        <f>'Perbandingan Pra-S1'!Q9</f>
        <v>1.1200000000000001</v>
      </c>
      <c r="C16" s="101">
        <f>'Perbandingan Pra-S1'!R9</f>
        <v>2.9</v>
      </c>
      <c r="D16" s="101">
        <f>'Perbandingan Pra-S1'!S9</f>
        <v>1.78</v>
      </c>
      <c r="E16" s="97" t="str">
        <f>IF(C16="","",IF(C16&gt;='Petunjuk Siklus I'!$B$10,"Target Tercapai","Belum Tercapai"))</f>
        <v>Target Tercapai</v>
      </c>
      <c r="F16" s="45"/>
      <c r="G16" s="50" t="str">
        <f>'Perbandingan Pra-S1'!P9</f>
        <v>Pseudocode</v>
      </c>
      <c r="H16" s="99">
        <f>IF($E$9=0,"",'Perbandingan Pra-S1'!Q9)</f>
        <v>1.1200000000000001</v>
      </c>
      <c r="I16" s="99">
        <f>IF($E$9=0,"",'Perbandingan Pra-S1'!R9)</f>
        <v>2.9</v>
      </c>
      <c r="J16" s="99">
        <f>IF($E$9=0,"",'Perbandingan Pra-S1'!S9)</f>
        <v>1.78</v>
      </c>
      <c r="K16" s="54">
        <f>IF($E$9=0,"",'Perbandingan Pra-S1'!T9)</f>
        <v>2.5</v>
      </c>
      <c r="L16" s="45"/>
    </row>
    <row r="17" spans="1:12">
      <c r="A17" s="45"/>
      <c r="B17" s="45"/>
      <c r="C17" s="45"/>
      <c r="D17" s="45"/>
      <c r="E17" s="45"/>
      <c r="F17" s="45"/>
      <c r="G17" s="55" t="str">
        <f>'Perbandingan Pra-S1'!P10</f>
        <v>Debugging</v>
      </c>
      <c r="H17" s="101">
        <f>IF($E$9=0,"",'Perbandingan Pra-S1'!Q10)</f>
        <v>1.68</v>
      </c>
      <c r="I17" s="101">
        <f>IF($E$9=0,"",'Perbandingan Pra-S1'!R10)</f>
        <v>2.5099999999999998</v>
      </c>
      <c r="J17" s="101">
        <f>IF($E$9=0,"",'Perbandingan Pra-S1'!S10)</f>
        <v>0.83</v>
      </c>
      <c r="K17" s="57" t="str">
        <f>IF($E$9=0,"",'Perbandingan Pra-S1'!T10)</f>
        <v>—</v>
      </c>
      <c r="L17" s="45"/>
    </row>
    <row r="18" spans="1:12" ht="30" customHeight="1">
      <c r="A18" s="131" t="s">
        <v>244</v>
      </c>
      <c r="B18" s="131"/>
      <c r="C18" s="131"/>
      <c r="D18" s="131"/>
      <c r="E18" s="131"/>
      <c r="F18" s="45"/>
      <c r="G18" s="45"/>
      <c r="H18" s="45"/>
      <c r="I18" s="45"/>
      <c r="J18" s="45"/>
      <c r="K18" s="45"/>
      <c r="L18" s="45"/>
    </row>
    <row r="19" spans="1:12" ht="30" customHeight="1">
      <c r="A19" s="136" t="str">
        <f>IF(E9=0,"Belum ada data Siklus I.",IF(AND(C14&gt;='Petunjuk Siklus I'!$B$7,C12&gt;B12,C15&gt;='Petunjuk Siklus I'!$B$9,C16&gt;='Petunjuk Siklus I'!$B$10),"TINDAKAN MEMENUHI INDIKATOR KEBERHASILAN UTAMA","TINDAKAN BELUM MEMENUHI SELURUH INDIKATOR KEBERHASILAN UTAMA"))</f>
        <v>TINDAKAN MEMENUHI INDIKATOR KEBERHASILAN UTAMA</v>
      </c>
      <c r="B19" s="137"/>
      <c r="C19" s="137"/>
      <c r="D19" s="137"/>
      <c r="E19" s="138"/>
      <c r="F19" s="45"/>
      <c r="G19" s="131" t="s">
        <v>245</v>
      </c>
      <c r="H19" s="131"/>
      <c r="I19" s="131"/>
      <c r="J19" s="131"/>
      <c r="K19" s="131"/>
      <c r="L19" s="131"/>
    </row>
    <row r="20" spans="1:12">
      <c r="A20" s="139"/>
      <c r="B20" s="140"/>
      <c r="C20" s="140"/>
      <c r="D20" s="140"/>
      <c r="E20" s="141"/>
      <c r="F20" s="45"/>
      <c r="G20" s="142" t="s">
        <v>246</v>
      </c>
      <c r="H20" s="143"/>
      <c r="I20" s="143"/>
      <c r="J20" s="143"/>
      <c r="K20" s="143"/>
      <c r="L20" s="144"/>
    </row>
    <row r="21" spans="1:12">
      <c r="A21" s="45"/>
      <c r="B21" s="45"/>
      <c r="C21" s="45"/>
      <c r="D21" s="45"/>
      <c r="E21" s="45"/>
      <c r="F21" s="45"/>
      <c r="G21" s="145"/>
      <c r="H21" s="146"/>
      <c r="I21" s="146"/>
      <c r="J21" s="146"/>
      <c r="K21" s="146"/>
      <c r="L21" s="147"/>
    </row>
    <row r="22" spans="1:12">
      <c r="A22" s="45"/>
      <c r="B22" s="45"/>
      <c r="C22" s="45"/>
      <c r="D22" s="45"/>
      <c r="E22" s="45"/>
      <c r="F22" s="45"/>
      <c r="G22" s="145"/>
      <c r="H22" s="146"/>
      <c r="I22" s="146"/>
      <c r="J22" s="146"/>
      <c r="K22" s="146"/>
      <c r="L22" s="147"/>
    </row>
    <row r="23" spans="1:12">
      <c r="A23" s="45"/>
      <c r="B23" s="45"/>
      <c r="C23" s="45"/>
      <c r="D23" s="45"/>
      <c r="E23" s="45"/>
      <c r="F23" s="45"/>
      <c r="G23" s="148"/>
      <c r="H23" s="149"/>
      <c r="I23" s="149"/>
      <c r="J23" s="149"/>
      <c r="K23" s="149"/>
      <c r="L23" s="150"/>
    </row>
  </sheetData>
  <mergeCells count="5">
    <mergeCell ref="A1:L1"/>
    <mergeCell ref="A18:E18"/>
    <mergeCell ref="A19:E20"/>
    <mergeCell ref="G19:L19"/>
    <mergeCell ref="G20:L23"/>
  </mergeCells>
  <conditionalFormatting sqref="E12:E16">
    <cfRule type="expression" dxfId="1" priority="1">
      <formula>OR(E12="Target Tercapai",E12="Meningkat")</formula>
    </cfRule>
    <cfRule type="expression" dxfId="0" priority="2">
      <formula>OR(E12="Belum Tercapai",E12="Belum Meningkat")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Petunjuk</vt:lpstr>
      <vt:lpstr>Data Diagnostik</vt:lpstr>
      <vt:lpstr>Observasi Kemandirian</vt:lpstr>
      <vt:lpstr>Rekap &amp; Dashboard</vt:lpstr>
      <vt:lpstr>Petunjuk Siklus I</vt:lpstr>
      <vt:lpstr>Data Siklus I</vt:lpstr>
      <vt:lpstr>Obs Kemandirian S1</vt:lpstr>
      <vt:lpstr>Refleksi Siklus I</vt:lpstr>
      <vt:lpstr>Perbandingan Pra-S1</vt:lpstr>
      <vt:lpstr>Dashboard Siklus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Nursyifa</cp:lastModifiedBy>
  <dcterms:modified xsi:type="dcterms:W3CDTF">2026-10-18T00:52:30Z</dcterms:modified>
</cp:coreProperties>
</file>