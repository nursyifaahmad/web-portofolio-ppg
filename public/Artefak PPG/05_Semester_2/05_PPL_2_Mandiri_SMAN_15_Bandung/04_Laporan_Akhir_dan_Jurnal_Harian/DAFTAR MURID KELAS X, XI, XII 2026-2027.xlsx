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00. KESISWAAN\2026-2027\"/>
    </mc:Choice>
  </mc:AlternateContent>
  <xr:revisionPtr revIDLastSave="0" documentId="13_ncr:1_{536EAF05-CA78-40C9-8200-F7B035FB7A5E}" xr6:coauthVersionLast="47" xr6:coauthVersionMax="47" xr10:uidLastSave="{00000000-0000-0000-0000-000000000000}"/>
  <bookViews>
    <workbookView xWindow="-109" yWindow="-109" windowWidth="26301" windowHeight="14305" activeTab="1" xr2:uid="{00000000-000D-0000-FFFF-FFFF00000000}"/>
  </bookViews>
  <sheets>
    <sheet name="KELAS X" sheetId="1" r:id="rId1"/>
    <sheet name="KELAS XI" sheetId="2" r:id="rId2"/>
    <sheet name="KELAS XII" sheetId="3" r:id="rId3"/>
    <sheet name="Sheet1" sheetId="4" state="hidden" r:id="rId4"/>
    <sheet name="Sheet7" sheetId="5" state="hidden" r:id="rId5"/>
    <sheet name="SMATER" sheetId="6" state="hidden" r:id="rId6"/>
  </sheets>
  <definedNames>
    <definedName name="_xlnm.Print_Area" localSheetId="2">'KELAS XII'!$A$11:$N$58,'KELAS XII'!$A$60:$N$107,'KELAS XII'!$A$109:$N$157,'KELAS XII'!$A$159:$N$207,'KELAS XII'!$A$209:$N$257,'KELAS XII'!$A$259:$N$306,'KELAS XII'!$A$308:$N$355,'KELAS XII'!$A$357:$N$404,'KELAS XII'!$A$406:$N$453,'KELAS XII'!$A$455:$N$502,'KELAS XII'!$A$504:$N$551</definedName>
    <definedName name="_xlnm.Print_Titles" localSheetId="1">'KELAS XI'!$1:$10</definedName>
    <definedName name="_xlnm.Print_Titles" localSheetId="2">'KELAS XII'!$1:$10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1" i="2" l="1"/>
  <c r="G120" i="2"/>
  <c r="G61" i="2"/>
  <c r="G62" i="2"/>
  <c r="G142" i="6"/>
  <c r="G141" i="6"/>
  <c r="G143" i="6" s="1"/>
  <c r="A118" i="6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10" i="6"/>
  <c r="A111" i="6" s="1"/>
  <c r="A112" i="6" s="1"/>
  <c r="A113" i="6" s="1"/>
  <c r="A114" i="6" s="1"/>
  <c r="A115" i="6" s="1"/>
  <c r="A116" i="6" s="1"/>
  <c r="A117" i="6" s="1"/>
  <c r="A109" i="6"/>
  <c r="A108" i="6"/>
  <c r="G93" i="6"/>
  <c r="G92" i="6"/>
  <c r="A68" i="6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64" i="6"/>
  <c r="A65" i="6" s="1"/>
  <c r="A66" i="6" s="1"/>
  <c r="A67" i="6" s="1"/>
  <c r="A63" i="6"/>
  <c r="A62" i="6"/>
  <c r="G48" i="6"/>
  <c r="G47" i="6"/>
  <c r="A46" i="6"/>
  <c r="A24" i="6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20" i="6"/>
  <c r="A21" i="6" s="1"/>
  <c r="A22" i="6" s="1"/>
  <c r="A23" i="6" s="1"/>
  <c r="A16" i="6"/>
  <c r="A17" i="6" s="1"/>
  <c r="A18" i="6" s="1"/>
  <c r="A19" i="6" s="1"/>
  <c r="G544" i="3"/>
  <c r="G543" i="3"/>
  <c r="A509" i="3"/>
  <c r="A510" i="3" s="1"/>
  <c r="A511" i="3" s="1"/>
  <c r="A512" i="3" s="1"/>
  <c r="A513" i="3" s="1"/>
  <c r="A514" i="3" s="1"/>
  <c r="A515" i="3" s="1"/>
  <c r="A516" i="3" s="1"/>
  <c r="A517" i="3" s="1"/>
  <c r="A518" i="3" s="1"/>
  <c r="A519" i="3" s="1"/>
  <c r="A520" i="3" s="1"/>
  <c r="A521" i="3" s="1"/>
  <c r="A522" i="3" s="1"/>
  <c r="A523" i="3" s="1"/>
  <c r="A524" i="3" s="1"/>
  <c r="A525" i="3" s="1"/>
  <c r="A526" i="3" s="1"/>
  <c r="A527" i="3" s="1"/>
  <c r="A528" i="3" s="1"/>
  <c r="A529" i="3" s="1"/>
  <c r="A530" i="3" s="1"/>
  <c r="A531" i="3" s="1"/>
  <c r="A532" i="3" s="1"/>
  <c r="A533" i="3" s="1"/>
  <c r="A534" i="3" s="1"/>
  <c r="A535" i="3" s="1"/>
  <c r="A536" i="3" s="1"/>
  <c r="A537" i="3" s="1"/>
  <c r="A538" i="3" s="1"/>
  <c r="A539" i="3" s="1"/>
  <c r="A540" i="3" s="1"/>
  <c r="A541" i="3" s="1"/>
  <c r="A542" i="3" s="1"/>
  <c r="G495" i="3"/>
  <c r="G494" i="3"/>
  <c r="A460" i="3"/>
  <c r="A461" i="3" s="1"/>
  <c r="A462" i="3" s="1"/>
  <c r="A463" i="3" s="1"/>
  <c r="A464" i="3" s="1"/>
  <c r="A465" i="3" s="1"/>
  <c r="A466" i="3" s="1"/>
  <c r="A467" i="3" s="1"/>
  <c r="A468" i="3" s="1"/>
  <c r="A469" i="3" s="1"/>
  <c r="A470" i="3" s="1"/>
  <c r="A471" i="3" s="1"/>
  <c r="A472" i="3" s="1"/>
  <c r="A473" i="3" s="1"/>
  <c r="A474" i="3" s="1"/>
  <c r="A475" i="3" s="1"/>
  <c r="A476" i="3" s="1"/>
  <c r="A477" i="3" s="1"/>
  <c r="A478" i="3" s="1"/>
  <c r="A479" i="3" s="1"/>
  <c r="A480" i="3" s="1"/>
  <c r="A481" i="3" s="1"/>
  <c r="A482" i="3" s="1"/>
  <c r="A483" i="3" s="1"/>
  <c r="A484" i="3" s="1"/>
  <c r="A485" i="3" s="1"/>
  <c r="A486" i="3" s="1"/>
  <c r="A487" i="3" s="1"/>
  <c r="A488" i="3" s="1"/>
  <c r="A489" i="3" s="1"/>
  <c r="A490" i="3" s="1"/>
  <c r="A491" i="3" s="1"/>
  <c r="A492" i="3" s="1"/>
  <c r="A493" i="3" s="1"/>
  <c r="G446" i="3"/>
  <c r="G445" i="3"/>
  <c r="G397" i="3"/>
  <c r="G396" i="3"/>
  <c r="A362" i="3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G348" i="3"/>
  <c r="G347" i="3"/>
  <c r="A313" i="3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G299" i="3"/>
  <c r="G298" i="3"/>
  <c r="G300" i="3" s="1"/>
  <c r="A264" i="3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G250" i="3"/>
  <c r="G249" i="3"/>
  <c r="A214" i="3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G200" i="3"/>
  <c r="G199" i="3"/>
  <c r="A164" i="3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G150" i="3"/>
  <c r="G149" i="3"/>
  <c r="A114" i="3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G101" i="3"/>
  <c r="G100" i="3"/>
  <c r="A65" i="3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G52" i="3"/>
  <c r="G51" i="3"/>
  <c r="A16" i="3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G718" i="2"/>
  <c r="G717" i="2"/>
  <c r="G719" i="2" s="1"/>
  <c r="A671" i="2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G658" i="2"/>
  <c r="G657" i="2"/>
  <c r="A627" i="2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11" i="2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G596" i="2"/>
  <c r="G595" i="2"/>
  <c r="G597" i="2" s="1"/>
  <c r="G539" i="2"/>
  <c r="G538" i="2"/>
  <c r="G537" i="2"/>
  <c r="A492" i="2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G478" i="2"/>
  <c r="G477" i="2"/>
  <c r="A431" i="2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G417" i="2"/>
  <c r="G416" i="2"/>
  <c r="G418" i="2" s="1"/>
  <c r="A370" i="2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G356" i="2"/>
  <c r="G355" i="2"/>
  <c r="G357" i="2" s="1"/>
  <c r="A311" i="2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G297" i="2"/>
  <c r="G296" i="2"/>
  <c r="G298" i="2" s="1"/>
  <c r="A250" i="2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192" i="2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G178" i="2"/>
  <c r="G177" i="2"/>
  <c r="G179" i="2" s="1"/>
  <c r="A135" i="2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34" i="2"/>
  <c r="A76" i="2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6" i="2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G716" i="1"/>
  <c r="G715" i="1"/>
  <c r="G714" i="1"/>
  <c r="A669" i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668" i="1"/>
  <c r="A667" i="1"/>
  <c r="G655" i="1"/>
  <c r="G654" i="1"/>
  <c r="G656" i="1" s="1"/>
  <c r="A607" i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G594" i="1"/>
  <c r="G593" i="1"/>
  <c r="G592" i="1"/>
  <c r="G540" i="1"/>
  <c r="G539" i="1"/>
  <c r="G538" i="1"/>
  <c r="A500" i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496" i="1"/>
  <c r="A497" i="1" s="1"/>
  <c r="A498" i="1" s="1"/>
  <c r="A499" i="1" s="1"/>
  <c r="A492" i="1"/>
  <c r="A493" i="1" s="1"/>
  <c r="A494" i="1" s="1"/>
  <c r="A495" i="1" s="1"/>
  <c r="A491" i="1"/>
  <c r="G477" i="1"/>
  <c r="G476" i="1"/>
  <c r="G478" i="1" s="1"/>
  <c r="A432" i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31" i="1"/>
  <c r="G417" i="1"/>
  <c r="G416" i="1"/>
  <c r="G418" i="1" s="1"/>
  <c r="A379" i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375" i="1"/>
  <c r="A376" i="1" s="1"/>
  <c r="A377" i="1" s="1"/>
  <c r="A378" i="1" s="1"/>
  <c r="A371" i="1"/>
  <c r="A372" i="1" s="1"/>
  <c r="A373" i="1" s="1"/>
  <c r="A374" i="1" s="1"/>
  <c r="A370" i="1"/>
  <c r="B359" i="1"/>
  <c r="B358" i="1"/>
  <c r="G357" i="1"/>
  <c r="B357" i="1"/>
  <c r="G356" i="1"/>
  <c r="G358" i="1" s="1"/>
  <c r="B356" i="1"/>
  <c r="A312" i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09" i="1"/>
  <c r="A310" i="1" s="1"/>
  <c r="A311" i="1" s="1"/>
  <c r="G297" i="1"/>
  <c r="G296" i="1"/>
  <c r="G295" i="1"/>
  <c r="A249" i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48" i="1"/>
  <c r="G234" i="1"/>
  <c r="G233" i="1"/>
  <c r="G235" i="1" s="1"/>
  <c r="A197" i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194" i="1"/>
  <c r="A195" i="1" s="1"/>
  <c r="A196" i="1" s="1"/>
  <c r="B183" i="1"/>
  <c r="B182" i="1"/>
  <c r="B181" i="1"/>
  <c r="G180" i="1"/>
  <c r="B180" i="1"/>
  <c r="G179" i="1"/>
  <c r="B179" i="1"/>
  <c r="A134" i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G122" i="1"/>
  <c r="G121" i="1"/>
  <c r="G120" i="1"/>
  <c r="A77" i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76" i="1"/>
  <c r="A75" i="1"/>
  <c r="G62" i="1"/>
  <c r="G61" i="1"/>
  <c r="G63" i="1" s="1"/>
  <c r="U31" i="1"/>
  <c r="W30" i="1"/>
  <c r="V30" i="1"/>
  <c r="U30" i="1"/>
  <c r="W29" i="1"/>
  <c r="V29" i="1"/>
  <c r="U29" i="1"/>
  <c r="V28" i="1"/>
  <c r="V31" i="1" s="1"/>
  <c r="U28" i="1"/>
  <c r="W28" i="1" s="1"/>
  <c r="V24" i="1"/>
  <c r="U24" i="1"/>
  <c r="W24" i="1" s="1"/>
  <c r="W23" i="1"/>
  <c r="W22" i="1"/>
  <c r="U21" i="1"/>
  <c r="W21" i="1" s="1"/>
  <c r="V17" i="1"/>
  <c r="W16" i="1"/>
  <c r="U16" i="1"/>
  <c r="U15" i="1"/>
  <c r="W15" i="1" s="1"/>
  <c r="W14" i="1"/>
  <c r="U14" i="1"/>
  <c r="U17" i="1" s="1"/>
  <c r="W17" i="1" s="1"/>
  <c r="G122" i="2" l="1"/>
  <c r="G479" i="2"/>
  <c r="G63" i="2"/>
  <c r="G102" i="3"/>
  <c r="G201" i="3"/>
  <c r="G251" i="3"/>
  <c r="G545" i="3"/>
  <c r="G349" i="3"/>
  <c r="G53" i="3"/>
  <c r="G151" i="3"/>
  <c r="G447" i="3"/>
  <c r="G398" i="3"/>
  <c r="W31" i="1"/>
  <c r="G181" i="1"/>
  <c r="G659" i="2"/>
  <c r="G496" i="3"/>
  <c r="G94" i="6"/>
  <c r="G49" i="6"/>
</calcChain>
</file>

<file path=xl/sharedStrings.xml><?xml version="1.0" encoding="utf-8"?>
<sst xmlns="http://schemas.openxmlformats.org/spreadsheetml/2006/main" count="4306" uniqueCount="1889">
  <si>
    <t>ANDHIKA HERMANSYAH</t>
  </si>
  <si>
    <t>L</t>
  </si>
  <si>
    <t>ANNISA AULIA KURNIAWAN</t>
  </si>
  <si>
    <t>P</t>
  </si>
  <si>
    <t>ARKAN MUHAMMAD HUJJATUL ISLAM</t>
  </si>
  <si>
    <t>ARSYA REFLIANDRA HERMAWAN</t>
  </si>
  <si>
    <t>AURA KHAIRA SURGA</t>
  </si>
  <si>
    <t>AZKA AMALIA AHSANI</t>
  </si>
  <si>
    <t>BALVIN IKDAN MALIKI</t>
  </si>
  <si>
    <t>DIA AL-HAMMANI DISASTRA</t>
  </si>
  <si>
    <t>FARUQ HAZIMULFIKRI</t>
  </si>
  <si>
    <t>HAFIZH PERDANA KUSUMAH</t>
  </si>
  <si>
    <t>HUSNUL AHMAD DARMAWAN</t>
  </si>
  <si>
    <t>JOANA KARTIKA WULANDARI</t>
  </si>
  <si>
    <t>KALILA PUTRI IVANCA</t>
  </si>
  <si>
    <t>KHALDA DAENUL HANIFA</t>
  </si>
  <si>
    <t>LAZIVA LAKAMA PASSA</t>
  </si>
  <si>
    <t>MUCHAMAD RYAN TRIANA</t>
  </si>
  <si>
    <t>MUH. FAZA FAUZAN YUDHISTIRA</t>
  </si>
  <si>
    <t>MUHAMAD FARHAN MALIKA</t>
  </si>
  <si>
    <t>MUHAMMAD ARIQ HAMZAH</t>
  </si>
  <si>
    <t>MUHAMMAD ARY NURIL ANWAR</t>
  </si>
  <si>
    <t>NABILA GHINAA R</t>
  </si>
  <si>
    <t>NAILAH SITI ZULFA</t>
  </si>
  <si>
    <t>NAJLA AURA NADISHA</t>
  </si>
  <si>
    <t>NAJMA FADZIA ANANDA RIVAI</t>
  </si>
  <si>
    <t>RAFFI NATANEGARA</t>
  </si>
  <si>
    <t>RAHMANISA RAMADHANI</t>
  </si>
  <si>
    <t>SAFA PRAWIRA CAHYA AKBAR</t>
  </si>
  <si>
    <t>PEMERINTAH DAERAH PROVINSI JAWA BARAT</t>
  </si>
  <si>
    <t>SALSABILA ADISTY PUTRI RAMADHANI</t>
  </si>
  <si>
    <t>SENI ARIANI AZALIA</t>
  </si>
  <si>
    <t>TORIANZAH AL FATHIR PERMANA PUTRA</t>
  </si>
  <si>
    <t>WILDANYAH ASSHOLOHAT SHAHIRA</t>
  </si>
  <si>
    <t>YUSTIANY TALITA BILQIS</t>
  </si>
  <si>
    <t>DINAS PENDIDIKAN</t>
  </si>
  <si>
    <t>CABANG DINAS PENDIDIKAN WILAYAH VII</t>
  </si>
  <si>
    <t>SMA NEGERI 15 KOTA BANDUNG</t>
  </si>
  <si>
    <t>Jalan Sarimanis I No. 1 Bandung, Telp (022) 2011975</t>
  </si>
  <si>
    <t>ADRIAN MAULANA SINAGA</t>
  </si>
  <si>
    <t>ALISYA INTAN APRILIYANTI</t>
  </si>
  <si>
    <t>ALZAHRA FITRIA WIBAWA</t>
  </si>
  <si>
    <t>AURA FLORESIANA</t>
  </si>
  <si>
    <t>AURA SYIFA ANISTIA</t>
  </si>
  <si>
    <t>BOBY REFY FEBRIAN</t>
  </si>
  <si>
    <t>FAHMI FIRMANSYAH</t>
  </si>
  <si>
    <t>website: www.sman15bdg.net - email: sman15bdg@yahoo.com</t>
  </si>
  <si>
    <t>FAISAL RIZKY RAMADANDI</t>
  </si>
  <si>
    <t>FAJRI PADILAH</t>
  </si>
  <si>
    <t>FATHIYA NUURRAHMAH</t>
  </si>
  <si>
    <t>FIRLY NASYWA EKA PUTRI</t>
  </si>
  <si>
    <t>HALIMA SYADIAH</t>
  </si>
  <si>
    <t>HAUNA MUTIARA NISA</t>
  </si>
  <si>
    <t>INTAN MAULIDINA</t>
  </si>
  <si>
    <t>LEISA IQLIMA YUNIARDI</t>
  </si>
  <si>
    <t>MOCHAMAD MUBIN SYAIFULLAH</t>
  </si>
  <si>
    <t>MUCHAMAD ADITYA ARDIVA</t>
  </si>
  <si>
    <t>MUHAMAD FARIZ NUR PRATAMA</t>
  </si>
  <si>
    <t>MUHAMAD RIDWAN</t>
  </si>
  <si>
    <t>MUHAMMAD ALFA SAVERO</t>
  </si>
  <si>
    <t>NABIL SHAFWAN ARYA PUTRA</t>
  </si>
  <si>
    <t>NAIRA FERISHA</t>
  </si>
  <si>
    <t>NICKO FARAZ CHIERDY ARKAS</t>
  </si>
  <si>
    <t>NISRINA SALSABILA</t>
  </si>
  <si>
    <t>NUFAN MAULANA ARFRISA</t>
  </si>
  <si>
    <t>PUSPITANINGRUM ANNISAMURTI</t>
  </si>
  <si>
    <t>PUTRI SILVIANI</t>
  </si>
  <si>
    <t>QUEENTANA INDY AZZAHRA</t>
  </si>
  <si>
    <t>REYNA SYAFHIRA SUKMAYADI</t>
  </si>
  <si>
    <t>DAFTAR HADIR MURID</t>
  </si>
  <si>
    <t>SANDY ADITYA</t>
  </si>
  <si>
    <t>SIFA NUR RAHAYU</t>
  </si>
  <si>
    <t>SILVI OKTAVIANI</t>
  </si>
  <si>
    <t>SYALWA NOVELINE MERDIANA</t>
  </si>
  <si>
    <t>TIAN VARIK HINDARA</t>
  </si>
  <si>
    <t>TIARA INDAH LESTARI</t>
  </si>
  <si>
    <t>MATA PELAJARAN</t>
  </si>
  <si>
    <t>:</t>
  </si>
  <si>
    <t xml:space="preserve">SEMESTER : </t>
  </si>
  <si>
    <t>KELAS</t>
  </si>
  <si>
    <t>: XII 1</t>
  </si>
  <si>
    <t>: XI 1</t>
  </si>
  <si>
    <t>TAHUN PELAJARAN 2026/2027</t>
  </si>
  <si>
    <t>: X 1</t>
  </si>
  <si>
    <t>NOMOR</t>
  </si>
  <si>
    <t>NAMA SISWA</t>
  </si>
  <si>
    <t>JK</t>
  </si>
  <si>
    <t>TANGGAL/BULAN</t>
  </si>
  <si>
    <t>KET</t>
  </si>
  <si>
    <t>REGULER</t>
  </si>
  <si>
    <t>ABS</t>
  </si>
  <si>
    <t>INDUK</t>
  </si>
  <si>
    <t>KETERANGAN SISWA</t>
  </si>
  <si>
    <t>ADARA FAEYZA RAQILLA</t>
  </si>
  <si>
    <t>JUMLAH</t>
  </si>
  <si>
    <t>ROMBEL</t>
  </si>
  <si>
    <t>RASIO SISWA/KELAS</t>
  </si>
  <si>
    <t>AILEEN RAQILLA HALIM</t>
  </si>
  <si>
    <t>ANISA CITRA NURGHANIY</t>
  </si>
  <si>
    <t>DAFTAR HADIR SISWA</t>
  </si>
  <si>
    <t xml:space="preserve"> </t>
  </si>
  <si>
    <t>AURELIA HENDRO SALSABILA</t>
  </si>
  <si>
    <t>kelas X</t>
  </si>
  <si>
    <t>ALANA MALIKA SYAFIQ</t>
  </si>
  <si>
    <t>BINTANG ASHAR MAULANA</t>
  </si>
  <si>
    <t>ALGHIFARI PUTRA HAKIM</t>
  </si>
  <si>
    <t>ABYAN ATHALLAH MARVA</t>
  </si>
  <si>
    <t>: XI 13</t>
  </si>
  <si>
    <t>TAHUN PELAJARAN 2024/2025</t>
  </si>
  <si>
    <t>CALISTA KIRANA PHELIA</t>
  </si>
  <si>
    <t>KELAS XI</t>
  </si>
  <si>
    <t>ALIFA SAKINA</t>
  </si>
  <si>
    <t>AKEELA GHANIA MUTAQIN</t>
  </si>
  <si>
    <t>CHELSEA A STEFANIE NEPPA SIMANUNGKALIT</t>
  </si>
  <si>
    <t>ALYA NAJWA ILMI</t>
  </si>
  <si>
    <t>KELAS XII</t>
  </si>
  <si>
    <t>DAFFA HAFIZH FIRDAUS SUDANDIH</t>
  </si>
  <si>
    <t>T232410446</t>
  </si>
  <si>
    <t>ADAMGY POLMA HERLANDA</t>
  </si>
  <si>
    <t>ASWA NAINA JANETA</t>
  </si>
  <si>
    <t>DISTIRA LAILA AGUSTIA PUTRI</t>
  </si>
  <si>
    <t>ARKAN USMAN TEBE</t>
  </si>
  <si>
    <t>TOTAL</t>
  </si>
  <si>
    <t>T232410448</t>
  </si>
  <si>
    <t>AKHMAD</t>
  </si>
  <si>
    <t>ATHIFA MURIEL KHOTIMAH</t>
  </si>
  <si>
    <t>ERLITA INTAN PURNAMASARI</t>
  </si>
  <si>
    <t>ATAYA FIKRI RIZKULOH</t>
  </si>
  <si>
    <t>T232410451</t>
  </si>
  <si>
    <t>ALIYANDI PRATAMA PUTRA</t>
  </si>
  <si>
    <t>FARIDA NAILASYIFA</t>
  </si>
  <si>
    <t>AZKA RIZKY AL-JAUZAQI</t>
  </si>
  <si>
    <t>TERBUKA</t>
  </si>
  <si>
    <t>T232410452</t>
  </si>
  <si>
    <t>ANNISA SALSABILA</t>
  </si>
  <si>
    <t>CANDRA ADI SAPUTRA</t>
  </si>
  <si>
    <t>FAUZIAH NUR AN-NISSA</t>
  </si>
  <si>
    <t>BIANCA ADHYANA WIJAYA</t>
  </si>
  <si>
    <t>T232410456</t>
  </si>
  <si>
    <t>AULIA SABIRA</t>
  </si>
  <si>
    <t>DAFFA AL-FIQRI IBRAHIM</t>
  </si>
  <si>
    <t>GIGHA GHINA KLAVIANY</t>
  </si>
  <si>
    <t>CHARISSA SAVANA ARTHATYA</t>
  </si>
  <si>
    <t>T232410457</t>
  </si>
  <si>
    <t>DONI</t>
  </si>
  <si>
    <t>DIKA ARDIANSYAH RAMADHAN</t>
  </si>
  <si>
    <t>T232410458</t>
  </si>
  <si>
    <t>DINAR SAVAIRA RIZQIN</t>
  </si>
  <si>
    <t>FAREL PADILAH</t>
  </si>
  <si>
    <t>HIA MAJIIUR RIZQA NOFRIDA</t>
  </si>
  <si>
    <t>T232410460</t>
  </si>
  <si>
    <t>FIKRI HAIKAL SURYA LESMANA</t>
  </si>
  <si>
    <t>DZAKIYYAH HASNAA MUSTOFA</t>
  </si>
  <si>
    <t>JAMES RYAN PENALEMNTA BARUS</t>
  </si>
  <si>
    <t>T232410464</t>
  </si>
  <si>
    <t>IRA WARDINI</t>
  </si>
  <si>
    <t>DWI PUTRI IQRIMAH</t>
  </si>
  <si>
    <t>T232410465</t>
  </si>
  <si>
    <t>LIVIA ANASTASIA</t>
  </si>
  <si>
    <t>KAIRA MEI LAPPA</t>
  </si>
  <si>
    <t>DZAKY HARUN</t>
  </si>
  <si>
    <t>T232410466</t>
  </si>
  <si>
    <t>LUSIANA DESINTA</t>
  </si>
  <si>
    <t>FAISAL MAULANA KHALFANI</t>
  </si>
  <si>
    <t>DZIKRI ZANNATA BACHTIAR</t>
  </si>
  <si>
    <t>KEISHA HANA RASHEDA</t>
  </si>
  <si>
    <t>T232410467</t>
  </si>
  <si>
    <t>MUH. SYAFIRUDDIN RASYA</t>
  </si>
  <si>
    <t>FAJAR MILADI</t>
  </si>
  <si>
    <t>T232410468</t>
  </si>
  <si>
    <t>MUHAMAD FIRZY ANDHIKA</t>
  </si>
  <si>
    <t>MAIZA ZULAIKA AKBAR</t>
  </si>
  <si>
    <t>FAIZ FATHURRAHMAN MAULANA</t>
  </si>
  <si>
    <t>T232410469</t>
  </si>
  <si>
    <t>MUHAMAD RAFLI</t>
  </si>
  <si>
    <t>MARIYAM FALIHAH NAILATUSY SYARAFAH</t>
  </si>
  <si>
    <t>FAKHIRA NAFISAH</t>
  </si>
  <si>
    <t>FAKHRI EKA SANTOSO</t>
  </si>
  <si>
    <t>T232410474</t>
  </si>
  <si>
    <t>MUHAMAD RAMDHAN P</t>
  </si>
  <si>
    <t>TOTAL keseluruhan</t>
  </si>
  <si>
    <t>T232410476</t>
  </si>
  <si>
    <t>MUHAMMAD EGI SETIAWAN</t>
  </si>
  <si>
    <t>MELODY ALEGRA KUSUMOHANDOYO</t>
  </si>
  <si>
    <t>HAFIIDAH ASYHAR DIAN AL MARDI</t>
  </si>
  <si>
    <t>FATHIR SALMAN HAFIZH</t>
  </si>
  <si>
    <t>T232410478</t>
  </si>
  <si>
    <t>MUHAMMAD RAIHAN AL AZHAR</t>
  </si>
  <si>
    <t>HIDAYATUL ILMA KAMILA</t>
  </si>
  <si>
    <t>MUHAMMAD RASYA NOOR FAUZAN</t>
  </si>
  <si>
    <t>T232410480</t>
  </si>
  <si>
    <t>NAUPAL ARID BASHOR</t>
  </si>
  <si>
    <t>T232410481</t>
  </si>
  <si>
    <t>PAUZI ANGGIA NUGRAHA</t>
  </si>
  <si>
    <t>ILHAM RAI RADITYA</t>
  </si>
  <si>
    <t>FITRIANI MUTMAINAH</t>
  </si>
  <si>
    <t>MUHAMMAD RIZKI TRIANDANO</t>
  </si>
  <si>
    <t>T232410497</t>
  </si>
  <si>
    <t>RANGGA ADITHYA KURNIAWAN</t>
  </si>
  <si>
    <t>GAFRINA RAMADHANI ACHMAD</t>
  </si>
  <si>
    <t>JAZIRA AZZAHRA ROCHMAT</t>
  </si>
  <si>
    <t>MUHAMMAD SHOBIR PADLURROHMAN</t>
  </si>
  <si>
    <t>T232410498</t>
  </si>
  <si>
    <t>RIZQI ABDUL GHANI AL FADHIL</t>
  </si>
  <si>
    <t>T232410483</t>
  </si>
  <si>
    <t>NABIL DALFIANO FAUZI</t>
  </si>
  <si>
    <t>SALMAN FADILAH</t>
  </si>
  <si>
    <t>KEVIN RAFA RABBANI</t>
  </si>
  <si>
    <t>GITRA SYARIFA TRISANTI</t>
  </si>
  <si>
    <t>T232410486</t>
  </si>
  <si>
    <t>SALSABILA</t>
  </si>
  <si>
    <t>NANDA AULIA SEPTIANI</t>
  </si>
  <si>
    <t>KHALISHAH PUTRI ALFIYAH</t>
  </si>
  <si>
    <t>T232410488</t>
  </si>
  <si>
    <t>SATRIA MAULANA ALDEYANA</t>
  </si>
  <si>
    <t>HAFIZHAH ARVIOLITA</t>
  </si>
  <si>
    <t>PASCAL RIZKY AL RAMADHANI</t>
  </si>
  <si>
    <t>T232410489</t>
  </si>
  <si>
    <t>KHANZA DARIN FIRIAL</t>
  </si>
  <si>
    <t>SULTAN BULIANO BUDIMAN</t>
  </si>
  <si>
    <t>T232410493</t>
  </si>
  <si>
    <t>SYAHRUL PERMANA AKBAR SETIAWAN</t>
  </si>
  <si>
    <t>PERMANA ALDEBARAN LENGGANA RATOE</t>
  </si>
  <si>
    <t>HAURA DEWITA SARI</t>
  </si>
  <si>
    <t>KINANTI SUMINARINGTYAS</t>
  </si>
  <si>
    <t>T232410494</t>
  </si>
  <si>
    <t>WIRGI RIZKI MAULANA</t>
  </si>
  <si>
    <t>RAIHAN ZULFA SAPUTRA</t>
  </si>
  <si>
    <t>T232410495</t>
  </si>
  <si>
    <t>YAYAN RUDIANSAH</t>
  </si>
  <si>
    <t>LASZLO TRISHTAN ZHAFIR FIRDAUS</t>
  </si>
  <si>
    <t>IRFAN AL HAFIZ</t>
  </si>
  <si>
    <t>T232410496</t>
  </si>
  <si>
    <t>YUKE LESTARI</t>
  </si>
  <si>
    <t>REYISHA NUR RAHMAWATI</t>
  </si>
  <si>
    <t>T</t>
  </si>
  <si>
    <t>FARREL BINTANG NARAYA</t>
  </si>
  <si>
    <t>MAULANA TRI DJATMIKO</t>
  </si>
  <si>
    <t>JANDRIAN ARUN KISANA</t>
  </si>
  <si>
    <t>ROSI HERLINA PADLI</t>
  </si>
  <si>
    <t>PINDAHAN</t>
  </si>
  <si>
    <t>MUHAMMAD AL-BANNI AZHAR</t>
  </si>
  <si>
    <t>JASMINE APRIL ALIZKHA DHEAN</t>
  </si>
  <si>
    <t>SALMA PUTRI OKTAFIANI</t>
  </si>
  <si>
    <t>MUHAMMAD JHERRY OCTHAN</t>
  </si>
  <si>
    <t>KIMBERLY MALONA KAHIMANAWARI PARDEDE</t>
  </si>
  <si>
    <t>SALMA ROS YADAH</t>
  </si>
  <si>
    <t>LUKMAN NUR HUDA</t>
  </si>
  <si>
    <t>MUHAMMAD RAIHAN ZULFIKAR</t>
  </si>
  <si>
    <t>SATRIA PANJI PAMUNGKAS</t>
  </si>
  <si>
    <t>LYTHA RENATHA</t>
  </si>
  <si>
    <t>JML</t>
  </si>
  <si>
    <t>MUHAMMAD SALMAN FATURACHMAN</t>
  </si>
  <si>
    <t>SITI AIRA NOSALIA FIRDA</t>
  </si>
  <si>
    <t>Bandung,</t>
  </si>
  <si>
    <t>MUHAMAD RIZKAN RAFA PUTRA</t>
  </si>
  <si>
    <t>Guru Mata Pelajaran,</t>
  </si>
  <si>
    <t>NAFISAH NURHALIMAH</t>
  </si>
  <si>
    <t>SITI MARIA RAZAN AFIFAH</t>
  </si>
  <si>
    <t>MUHAMMAD AZILLA RADITYA</t>
  </si>
  <si>
    <t>NAJWA AZ ZAHRA</t>
  </si>
  <si>
    <t>TAUFAN KHAALID</t>
  </si>
  <si>
    <t>MUHAMMAD FADHILAH</t>
  </si>
  <si>
    <t>NAURA NURLILLAH</t>
  </si>
  <si>
    <t>THRESYA ERNELA ERYAWAN</t>
  </si>
  <si>
    <t>MUHAMMAD FARHAN</t>
  </si>
  <si>
    <t/>
  </si>
  <si>
    <t>QISHRA ZEETA MAULIDA</t>
  </si>
  <si>
    <t>MUHAMMAD JULIANSYAH ZAMZAMI</t>
  </si>
  <si>
    <t>: XI 14</t>
  </si>
  <si>
    <t>RAHMAN NURJATI</t>
  </si>
  <si>
    <t>MUHAMMAD RIO APRILIANSYAH</t>
  </si>
  <si>
    <t>NABIYYA ZIDNYY MAULIDYYA</t>
  </si>
  <si>
    <t>RAISYA MAHARANI SUHENDAR</t>
  </si>
  <si>
    <t>NASHITA ALIFA NURZARA</t>
  </si>
  <si>
    <t>Mengetahui :</t>
  </si>
  <si>
    <t>T232410445</t>
  </si>
  <si>
    <t>RAKYAN REKSA PERTALA</t>
  </si>
  <si>
    <t>ABDULRAHMAN KHAIRUL AZZAM</t>
  </si>
  <si>
    <t>ONI HANDIKA</t>
  </si>
  <si>
    <t>Wali Kelas,</t>
  </si>
  <si>
    <t>Guru BK</t>
  </si>
  <si>
    <t>T232410447</t>
  </si>
  <si>
    <t>AHMAD DANIS MAULANA</t>
  </si>
  <si>
    <t>RANISA AL HAMDA</t>
  </si>
  <si>
    <t>PRABU MANUMAYASA PUTRA GUMILAR</t>
  </si>
  <si>
    <t>KELUAR</t>
  </si>
  <si>
    <t>T232410449</t>
  </si>
  <si>
    <t>ANDRA MAULANA</t>
  </si>
  <si>
    <t>RIZKI MUHAMMAD SIDIQ</t>
  </si>
  <si>
    <t>QYFA ELVIA ANDIN PUTRI</t>
  </si>
  <si>
    <t>T232410453</t>
  </si>
  <si>
    <t>ARYA AKHMAD MAULANA</t>
  </si>
  <si>
    <t>SANI NAJLA FADIYAH</t>
  </si>
  <si>
    <t>RAKANZA PUTRA KHAEKARU</t>
  </si>
  <si>
    <t>T232410454</t>
  </si>
  <si>
    <t>AURA ASNI PRAYATA</t>
  </si>
  <si>
    <t>SHERLY APRILIA ROSDIANTI</t>
  </si>
  <si>
    <t xml:space="preserve"> Hj. Cicih Kurniasih, S.Pd</t>
  </si>
  <si>
    <t>T232410455</t>
  </si>
  <si>
    <t>Apep Hidayatulloh, S.Sos</t>
  </si>
  <si>
    <t>AZKA FAHMIDHIA IMAN</t>
  </si>
  <si>
    <t>RIZKY PUTRA</t>
  </si>
  <si>
    <t>SITI HANIFAH NURAZIZAH</t>
  </si>
  <si>
    <t>T232410499</t>
  </si>
  <si>
    <t>BILAL AFSAR AZIZULLAH</t>
  </si>
  <si>
    <t>SAFA ALZENA PRASETYO</t>
  </si>
  <si>
    <t>NIP. 196808091992012001</t>
  </si>
  <si>
    <t>NIP.199607042022211008</t>
  </si>
  <si>
    <t>T232410459</t>
  </si>
  <si>
    <t>DAMARA ISRA UTAMA</t>
  </si>
  <si>
    <t>SYIFA OLIVIA FITRIANI</t>
  </si>
  <si>
    <t>T232410461</t>
  </si>
  <si>
    <t>HUSNA DIANNI</t>
  </si>
  <si>
    <t>SALMAN SURYA PUTRA SAPAAT</t>
  </si>
  <si>
    <t>T232410462</t>
  </si>
  <si>
    <t>ICA NURAENI CAHYANI</t>
  </si>
  <si>
    <t>ULFIYAH AZMI PUTRI WAHYUDI</t>
  </si>
  <si>
    <t>: XII 2</t>
  </si>
  <si>
    <t>T232410463</t>
  </si>
  <si>
    <t>JONATHAN TORIPALU</t>
  </si>
  <si>
    <t>SAPUTRA RIDWAN MAULANA AZIZ</t>
  </si>
  <si>
    <t>T232410470</t>
  </si>
  <si>
    <t>KAHLIL ALVA MAGANI</t>
  </si>
  <si>
    <t>UMA KAMILAH</t>
  </si>
  <si>
    <t>T232410471</t>
  </si>
  <si>
    <t>LINA DWI RAHMADANI</t>
  </si>
  <si>
    <t>SELITA ANGGRAENA</t>
  </si>
  <si>
    <t>T232410472</t>
  </si>
  <si>
    <t>MUHAMMAD ARYA ADIWIJAYA</t>
  </si>
  <si>
    <t>ZULKARNAEN AHMAD</t>
  </si>
  <si>
    <t>SHAKYRA DEVANYA HUNTER</t>
  </si>
  <si>
    <t>T232410473</t>
  </si>
  <si>
    <t>MUHAMMAD FADHIL ABDILLAH</t>
  </si>
  <si>
    <t>T232410475</t>
  </si>
  <si>
    <t>MUHAMMAD FAQIH HAQIKI</t>
  </si>
  <si>
    <t>SYAMILA NUR HALIMAH</t>
  </si>
  <si>
    <t>T232410477</t>
  </si>
  <si>
    <t>MUHAMMAD NABIL SETIAWAN</t>
  </si>
  <si>
    <t>AMIRAH HUMAIRA</t>
  </si>
  <si>
    <t>T232410479</t>
  </si>
  <si>
    <t>MUHAMMAD RIZQI SIHABBUDIN</t>
  </si>
  <si>
    <t>SYIFA MUTHI`AH MARWA</t>
  </si>
  <si>
    <t>T232410500</t>
  </si>
  <si>
    <t>NADZIF LAUZA AL QOWI</t>
  </si>
  <si>
    <t>ANGGUN PERMATASARI</t>
  </si>
  <si>
    <t>T232410482</t>
  </si>
  <si>
    <t>TIRANIA ARLETA GANTINA</t>
  </si>
  <si>
    <t>NAILA SALSA SA'ADAH</t>
  </si>
  <si>
    <t>AZZIKRA NUR SHOLEHAH</t>
  </si>
  <si>
    <t>T232410484</t>
  </si>
  <si>
    <t>RAKHA RADITYA NOER</t>
  </si>
  <si>
    <t>YANITA IRA RAMADHANI</t>
  </si>
  <si>
    <t>T232410487</t>
  </si>
  <si>
    <t>RAYYA PUTRA ANANDYA</t>
  </si>
  <si>
    <t>CITRA PUTRI SOPHIA</t>
  </si>
  <si>
    <t>T232410490</t>
  </si>
  <si>
    <t>ROOZAN ARKAAN IBRAHIMOVIC</t>
  </si>
  <si>
    <t>YULIA MAHARANI</t>
  </si>
  <si>
    <t>T232410491</t>
  </si>
  <si>
    <t>SANDRA ANGGI RAMADAN</t>
  </si>
  <si>
    <t>DANISH HANANIA SHIDDIQ</t>
  </si>
  <si>
    <t>T232410492</t>
  </si>
  <si>
    <t>SANDY RIZKY APRILIAN</t>
  </si>
  <si>
    <t>DIVA ALIFIA RAMADANI</t>
  </si>
  <si>
    <t>T232410501</t>
  </si>
  <si>
    <t>Ratih Dinaryanti, S.Pd</t>
  </si>
  <si>
    <t>SENY SRIHARTINI</t>
  </si>
  <si>
    <t>Muflihana Imanisa, S.Pd., Gr.</t>
  </si>
  <si>
    <t>ZANDRA YUDHISTIRA HERMAWAN</t>
  </si>
  <si>
    <t>DOMINIC NAPHTALIE ANDREA</t>
  </si>
  <si>
    <t>NIP. 197511252024212002</t>
  </si>
  <si>
    <t>NIP.199208262022212009</t>
  </si>
  <si>
    <t>FALISHA DAANIAFFI</t>
  </si>
  <si>
    <t>GALIH ARYOTAMA PUTRA</t>
  </si>
  <si>
    <t>GHANI ALFARISI</t>
  </si>
  <si>
    <t>: XI 2</t>
  </si>
  <si>
    <t>HANISA JULIANA</t>
  </si>
  <si>
    <t>HAREL HAMONANGAN</t>
  </si>
  <si>
    <t>Eka Respationo, S.Pd</t>
  </si>
  <si>
    <t>Sartika Oktafiani, S.Pd.,Gr.</t>
  </si>
  <si>
    <t>KANIA KUSUMA DEWI</t>
  </si>
  <si>
    <t>NIP.197811092023211003</t>
  </si>
  <si>
    <t>NIP.199510092022212019</t>
  </si>
  <si>
    <t>KEYZHYA MUTIARA LESTARI</t>
  </si>
  <si>
    <t>AGATHA PUTRI RAMADHANI</t>
  </si>
  <si>
    <t>LADYSHA AZAHRA</t>
  </si>
  <si>
    <t>AKHYAR SALMAN GHIFARI</t>
  </si>
  <si>
    <t>: X 2</t>
  </si>
  <si>
    <t>LALLITTA NADYA SHAFIRA</t>
  </si>
  <si>
    <t>ALYA KHAIRUNISA</t>
  </si>
  <si>
    <t>LETITIA NOURA LAVIGNA RAHMA</t>
  </si>
  <si>
    <t>: XII 13</t>
  </si>
  <si>
    <t>AMIRA MAWLA NAFIZA MULYONO</t>
  </si>
  <si>
    <t>LUQYANA QANITA ALYA</t>
  </si>
  <si>
    <t>ANNISA MUMTAZA</t>
  </si>
  <si>
    <t>MALIKAH RAIHANA AZ-ZAHRA</t>
  </si>
  <si>
    <t>ARKAN ZAIDAN ABHINAYA</t>
  </si>
  <si>
    <t>MIEN RAIZHIKA KAMILA SYAFITRI</t>
  </si>
  <si>
    <t>T242510470</t>
  </si>
  <si>
    <t>ALIYYAH QONITA RAHMAN</t>
  </si>
  <si>
    <t>AUREL APRILIANI MORERA</t>
  </si>
  <si>
    <t>MUHAMAD FAHRI DIAS RAMDHANI</t>
  </si>
  <si>
    <t>ALIFFA GHINA NAIRA</t>
  </si>
  <si>
    <t>T242510477</t>
  </si>
  <si>
    <t>ALTHAF AN ATA ANWAR</t>
  </si>
  <si>
    <t>AVRIL MUGHNI RIZKIA</t>
  </si>
  <si>
    <t>NAJLA AULIA LUTHFIYAH</t>
  </si>
  <si>
    <t>T222310447</t>
  </si>
  <si>
    <t>ANDIRA PUTERI ANINDYA</t>
  </si>
  <si>
    <t>ALTHAVIA CILVANA PUTRI</t>
  </si>
  <si>
    <t>AZZAHRA PUTRIE DZAKIRAH</t>
  </si>
  <si>
    <t>T222310448</t>
  </si>
  <si>
    <t>ARIAN PUTRA DEWANGGA</t>
  </si>
  <si>
    <t>NARAYA ANNURA SHIDIQ</t>
  </si>
  <si>
    <t>T222310449</t>
  </si>
  <si>
    <t>AULIA RESTU AKBARI</t>
  </si>
  <si>
    <t>CHELSA LAKEISHA HAFIZH</t>
  </si>
  <si>
    <t>AMANDA PUTRI YUSTIAN</t>
  </si>
  <si>
    <t>T242510471</t>
  </si>
  <si>
    <t>AZKA AULIA</t>
  </si>
  <si>
    <t>NUR FARREL ARDIANSYAH</t>
  </si>
  <si>
    <t>T222310451</t>
  </si>
  <si>
    <t>AZZAHRA NAILA PUTRI</t>
  </si>
  <si>
    <t>CINDY SASKIA MECA</t>
  </si>
  <si>
    <t>ASYA ZIGY SAVANA</t>
  </si>
  <si>
    <t>NUR SARAH ANINDITA</t>
  </si>
  <si>
    <t>T242511478</t>
  </si>
  <si>
    <t>DEVISTA PUTRI ERLIANA SUSANTI</t>
  </si>
  <si>
    <t>CYNTHIA RAMADHANI</t>
  </si>
  <si>
    <t>RAIHAN ARVA SETIAWAN</t>
  </si>
  <si>
    <t>AUREL AYUDIA LESTARI</t>
  </si>
  <si>
    <t>T242511479</t>
  </si>
  <si>
    <t>DIKI FIRMANA</t>
  </si>
  <si>
    <t>DESALWA TSUSADIYYAH ARCHI</t>
  </si>
  <si>
    <t>T222310452</t>
  </si>
  <si>
    <t>FAHRUR ROZI</t>
  </si>
  <si>
    <t>RAIHAN ATHAHILLAAH SINAGA</t>
  </si>
  <si>
    <t>CYNARA ATIFAKALYCA AYASKARA SIREGAR</t>
  </si>
  <si>
    <t>T242510472</t>
  </si>
  <si>
    <t>FAIZIYYAH QONITA RAHMAN</t>
  </si>
  <si>
    <t>FAHRA FAZZILA KEIZAMSYA</t>
  </si>
  <si>
    <t>REZKY ADDZIKRA FIRDAUZAN</t>
  </si>
  <si>
    <t>T222310453</t>
  </si>
  <si>
    <t>FARIS NURUL HUDA</t>
  </si>
  <si>
    <t>DAFIYA SHAZA ANTA PUTRI</t>
  </si>
  <si>
    <t>T242510473</t>
  </si>
  <si>
    <t>FAUZI ABDILLAH RAMADHAN</t>
  </si>
  <si>
    <t>SAKYA LAIL WAHIDIN</t>
  </si>
  <si>
    <t>FAKHRY AKBAR FERDIANSYAH</t>
  </si>
  <si>
    <t>T222310454</t>
  </si>
  <si>
    <t>GINA RAHMA</t>
  </si>
  <si>
    <t>DANIEL NATALIUS SIMATUPANG</t>
  </si>
  <si>
    <t>FAKIH HAFIZH HAIDAR</t>
  </si>
  <si>
    <t>T222310455</t>
  </si>
  <si>
    <t>I KOMANG MEFIKA TRENGGANA WIDYASA MAS</t>
  </si>
  <si>
    <t>SANI MAHDINA</t>
  </si>
  <si>
    <t>T222310456</t>
  </si>
  <si>
    <t>MAULANA ARIEF</t>
  </si>
  <si>
    <t>DERIS CHANDRA EDITYA P.</t>
  </si>
  <si>
    <t>SATRIA PUTRA WAHYONO</t>
  </si>
  <si>
    <t>T222310457</t>
  </si>
  <si>
    <t>FARID YUSUF AL ABSYAR</t>
  </si>
  <si>
    <t>MUHAMAD FAISAL</t>
  </si>
  <si>
    <t>DIAN APRILIA PARY</t>
  </si>
  <si>
    <t>T222310459</t>
  </si>
  <si>
    <t>MUHAMMAD FANDY DARMAWAN</t>
  </si>
  <si>
    <t>SIDNEY ZAHIRAH PURNOMO</t>
  </si>
  <si>
    <t>FEEDO ALFIANO OCTAVIANDRA</t>
  </si>
  <si>
    <t>T222310460</t>
  </si>
  <si>
    <t>MUHAMMAD RAYHAN QOLYUBY</t>
  </si>
  <si>
    <t>ELORA IZZATUN HUWAIDA</t>
  </si>
  <si>
    <t>nomor smater terakhir</t>
  </si>
  <si>
    <t>T242510474</t>
  </si>
  <si>
    <t>MUHAMMAD ZAIDANIEL HAIDAR</t>
  </si>
  <si>
    <t>TALITA HASNA</t>
  </si>
  <si>
    <t>FIKRI MUFID ASLAM</t>
  </si>
  <si>
    <t>FADLAN RAFAN HIDAYAT</t>
  </si>
  <si>
    <t>T242510475</t>
  </si>
  <si>
    <t>NAJLA MUTIA PUTRI</t>
  </si>
  <si>
    <t>T222310461</t>
  </si>
  <si>
    <t>WAFA QORTU NADA</t>
  </si>
  <si>
    <t>NAJLAA DHIYAA AINII</t>
  </si>
  <si>
    <t>GEMA RAMADHAN PUTRA RUSTAWAN</t>
  </si>
  <si>
    <t>FATHIR NUR FALAH</t>
  </si>
  <si>
    <t>T222310462</t>
  </si>
  <si>
    <t>NANDA ADINDA PUTRI</t>
  </si>
  <si>
    <t>YOLANDA YULIA RAHMAWATI</t>
  </si>
  <si>
    <t>HAFY RASYAD AL BAIHAQI</t>
  </si>
  <si>
    <t>FISACILILLAH AMNA YULIAN</t>
  </si>
  <si>
    <t>T222310463</t>
  </si>
  <si>
    <t>PEBRI SAPUTRA</t>
  </si>
  <si>
    <t>ZAIDA AZ ZAHRA</t>
  </si>
  <si>
    <t>T232412004</t>
  </si>
  <si>
    <t>HANSA NAZHIFAH MULIA</t>
  </si>
  <si>
    <t>GHAISANI PUTRI MUSTOFA</t>
  </si>
  <si>
    <t>T222310464</t>
  </si>
  <si>
    <t>REDSA PUTRA PRIADI</t>
  </si>
  <si>
    <t>IMANUEL UNEDO LINGGOM</t>
  </si>
  <si>
    <t>IKHSAN SOFYAN</t>
  </si>
  <si>
    <t>T222310465</t>
  </si>
  <si>
    <t>REYHAN SURYA MAULANA</t>
  </si>
  <si>
    <t>T222310466</t>
  </si>
  <si>
    <t>RIZKI MAULANA IBRAHIM</t>
  </si>
  <si>
    <t>KIRA FELISYA PUTRI</t>
  </si>
  <si>
    <t>INDAH DAMAYANTI</t>
  </si>
  <si>
    <t>T222310467</t>
  </si>
  <si>
    <t>ROCHMAT SYARIF MUHIDIN</t>
  </si>
  <si>
    <t>MUHAMAD IRSYAD NASYABIL</t>
  </si>
  <si>
    <t>IRHAM ANDI PERKASA</t>
  </si>
  <si>
    <t>T242510476</t>
  </si>
  <si>
    <t>SITI TAZKIA ROFI ADILLAH</t>
  </si>
  <si>
    <t>T222310468</t>
  </si>
  <si>
    <t>SYELA NURHAYATI</t>
  </si>
  <si>
    <t>MUHAMMAD DZIKRI DZAKWAN</t>
  </si>
  <si>
    <t>KHAISYA NUR ADDZIKRI ARSSY JATNIKA</t>
  </si>
  <si>
    <t>T222310469</t>
  </si>
  <si>
    <t>YESI GITA MAHARANI</t>
  </si>
  <si>
    <t>MUHAMMAD FAUZAN NOVANDRA</t>
  </si>
  <si>
    <t>MALIKAL MULQI MAULI PERMANA</t>
  </si>
  <si>
    <t>MUHAMMAD HASBIYALLAH</t>
  </si>
  <si>
    <t>MAULANA AZMI ALFADIL</t>
  </si>
  <si>
    <t>NADYA HASNA PUTRI NUGRAHA</t>
  </si>
  <si>
    <t xml:space="preserve"> Eulis Rina, S. Pd</t>
  </si>
  <si>
    <t>MUHAMAD MIRJAM HASNAWI</t>
  </si>
  <si>
    <t xml:space="preserve">Devi Aditianingsih, S.Pd. </t>
  </si>
  <si>
    <t xml:space="preserve"> NIP. 197703232007012008</t>
  </si>
  <si>
    <t>NIP.199212182025212149</t>
  </si>
  <si>
    <t>NAJLA' MURFIDATUL WAFA'</t>
  </si>
  <si>
    <t>MUHAMMAD AGUNG FAISAL</t>
  </si>
  <si>
    <t>MUHAMMAD FADHIL FADLURAHMAN</t>
  </si>
  <si>
    <t>RAKA ADITYA PRAMANA</t>
  </si>
  <si>
    <t>: XII 3</t>
  </si>
  <si>
    <t>MUHAMMAD FATIH MUJAHID</t>
  </si>
  <si>
    <t>MUHAMMAD NAZRIEL ATTALA RACHMAN</t>
  </si>
  <si>
    <t>RAKA RAINRY KURNIAWAN</t>
  </si>
  <si>
    <t>MUHAMMAD RASYA AL JABBAR</t>
  </si>
  <si>
    <t>RANA ZHAAFIRAH SALMA</t>
  </si>
  <si>
    <t>ADLI MUHAMAD FARHAN</t>
  </si>
  <si>
    <t>MUHAMMAD RAYHAN ZAK GHALIB FAWWAZ</t>
  </si>
  <si>
    <t>RANU RAHMAH MAZAYA</t>
  </si>
  <si>
    <t>AFIFAH ALFINA AGUSTIN</t>
  </si>
  <si>
    <t>MUHAMMAD REVAN AIDIL</t>
  </si>
  <si>
    <t>RICKY SHALOM BREMA TARIGAN</t>
  </si>
  <si>
    <t>ALIEF ZAIN TAMBUNAN</t>
  </si>
  <si>
    <t>MUSTIKA SYAIRA</t>
  </si>
  <si>
    <t>RIFKI ZHILFILIA SURYA</t>
  </si>
  <si>
    <t>ALIKA KEISHA PUTRI</t>
  </si>
  <si>
    <t>NAYCILA PIANTI</t>
  </si>
  <si>
    <t>RIFKY NOVRIANSYAH RAFIDH</t>
  </si>
  <si>
    <t>ALMIRA BILQIS IMANI</t>
  </si>
  <si>
    <t>SAFA ASHIKA QAHIRA</t>
  </si>
  <si>
    <t>AMEL AULIA LESTARI</t>
  </si>
  <si>
    <t>NAYLA SRI KIRANI</t>
  </si>
  <si>
    <t>SANDY RAMDAN NURASA</t>
  </si>
  <si>
    <t>ANABELLA AIESHA ARTHA</t>
  </si>
  <si>
    <t>NAZZAR DWI MARVA FRATIK</t>
  </si>
  <si>
    <t>SHAFA AURELYA DHARMAWAN</t>
  </si>
  <si>
    <t>ARKA RAHADIAN SAPUTRA</t>
  </si>
  <si>
    <t>OLIVIA SEPTYAS GUNAWAN</t>
  </si>
  <si>
    <t>SITI ZAHRAULIA</t>
  </si>
  <si>
    <t>BEVAN MALIQ RAJENDRA</t>
  </si>
  <si>
    <t>RADITYA DWI PUTRA</t>
  </si>
  <si>
    <t>SYIFA NURHASANAH</t>
  </si>
  <si>
    <t>DINA RAHMAWATI</t>
  </si>
  <si>
    <t>RAISYAOLA ALENZA CLAUDIA JELITA HIDAYAT</t>
  </si>
  <si>
    <t>VALENT MECCA PUTRI GUNDARI</t>
  </si>
  <si>
    <t>ELANG BAGJA PRATAMA</t>
  </si>
  <si>
    <t>VILA ZULFITRI</t>
  </si>
  <si>
    <t>RAQY RIZQY AKBAR</t>
  </si>
  <si>
    <t>FAKHRI FAJARULLOH GUMANTI</t>
  </si>
  <si>
    <t>ZECHARY FAITH SETIADI</t>
  </si>
  <si>
    <t>RAYA ANASTA</t>
  </si>
  <si>
    <t>FASYA SAKINATUN NISA</t>
  </si>
  <si>
    <t>FATHIYA RIZQINA</t>
  </si>
  <si>
    <t>RAYHAN RIZKIAWAN ADRIAN PUTRA</t>
  </si>
  <si>
    <t>GIBRAN HALIM ARRASYID HARIYANTO</t>
  </si>
  <si>
    <t>RENA KRESNA</t>
  </si>
  <si>
    <t>KEY FATIH</t>
  </si>
  <si>
    <t>RENDI PERDINAN</t>
  </si>
  <si>
    <t>KEYLA SHABIRAH AGUSTINE</t>
  </si>
  <si>
    <t>LINTANG MOCHAMMAD FADILAH</t>
  </si>
  <si>
    <t>REVINA APRILIA PUTRI</t>
  </si>
  <si>
    <t>MAULIDA NUR QOLBIYA</t>
  </si>
  <si>
    <t>REZKY PRADITYA PERMANA</t>
  </si>
  <si>
    <t>MAZAYA AILSA RIVANA</t>
  </si>
  <si>
    <t>RIZKIA DIAZ PRATAMA</t>
  </si>
  <si>
    <t>MOURY SHIO ALDIANSYACH BANGUN</t>
  </si>
  <si>
    <t>TAHIRA HEIDI ALEXANDRA</t>
  </si>
  <si>
    <t>NAIRA PUTRI MAHARANI</t>
  </si>
  <si>
    <t>Safira Husnussiyaroh, S.Pd</t>
  </si>
  <si>
    <t>NENG SRI MULYANI</t>
  </si>
  <si>
    <t>VEMBRY JULI VERO</t>
  </si>
  <si>
    <t>NUR ISMI FAUZIYAH</t>
  </si>
  <si>
    <t>NUPTK. 8947777678230272</t>
  </si>
  <si>
    <t>OLIVIA DAMAYANTI</t>
  </si>
  <si>
    <t>PRISCILLA PUTRI HARIADI</t>
  </si>
  <si>
    <t>: XI 3</t>
  </si>
  <si>
    <t>RAHADI MAULANA NUGRAHA</t>
  </si>
  <si>
    <t>RASTRA GALUH KENCANA</t>
  </si>
  <si>
    <t>RIANTY SALSABILA PUTRI DEWAYANTI</t>
  </si>
  <si>
    <t>RIDHA SAVAIRA RIZQIN</t>
  </si>
  <si>
    <t>SALSABILA PUTRI DWI INDRAWATI</t>
  </si>
  <si>
    <t>Denis Suryaningsih, S.Pd., Gr</t>
  </si>
  <si>
    <t>ALMIRA REFASYA</t>
  </si>
  <si>
    <t>SANDI IRWANSYAH</t>
  </si>
  <si>
    <t>NIP. 199003162024212029</t>
  </si>
  <si>
    <t>SERRAVINA REZQUEENA IVANI FIRMANSYAH</t>
  </si>
  <si>
    <t>ALYA SUTTY RIANA WINARSENO</t>
  </si>
  <si>
    <t>SHENDI DESTA MAULANA</t>
  </si>
  <si>
    <t>AMMAR CHAIR KRISYANTO</t>
  </si>
  <si>
    <t>: X 3</t>
  </si>
  <si>
    <t>SILMI TSALISA NURLATHIFA</t>
  </si>
  <si>
    <t>YUDI SETIAWAN</t>
  </si>
  <si>
    <t>ANNISA LARASATI PUTRI DEWAYANTI</t>
  </si>
  <si>
    <t>ARYASATYA ABHIPRAYA PUTRA</t>
  </si>
  <si>
    <t>DAVIN ALETHEA SETIAWAN</t>
  </si>
  <si>
    <t>ABY MAULANA</t>
  </si>
  <si>
    <t>DESTYANI NUR AFIFAH</t>
  </si>
  <si>
    <t>FADHIL DZAKWAN HARGONO</t>
  </si>
  <si>
    <t>ADELLARD JEVERA ALBEISHYA ELLYAS</t>
  </si>
  <si>
    <t>FAHMI MIFTAHUL HIDAYAT</t>
  </si>
  <si>
    <t>ADHIE SETYA NUGRAHA</t>
  </si>
  <si>
    <t>FATIMATUZZAHRA ASYSYAHIDA</t>
  </si>
  <si>
    <t>AISYA FITRI RIZKI ARFIANI</t>
  </si>
  <si>
    <t>AKMAL ZAHRANA YUSWANA</t>
  </si>
  <si>
    <t>FIRLY OCTAVIANI ISTIADZAH</t>
  </si>
  <si>
    <t>PINDAH X-4</t>
  </si>
  <si>
    <t>FRITZ BENITO NATHANUEL</t>
  </si>
  <si>
    <t>ALISKA PRANINDITA PRAMESTI</t>
  </si>
  <si>
    <t xml:space="preserve"> Hj. Dwi Endah Herdijanti, S.Pd.</t>
  </si>
  <si>
    <t xml:space="preserve">Sartika Oktafiani, S.Pd.,Gr. </t>
  </si>
  <si>
    <t>ALUNA BERLIANA SHAGITA</t>
  </si>
  <si>
    <t>GHAZWAN ARSIL RAHMANSYAH</t>
  </si>
  <si>
    <t>NIP.197004062007012012</t>
  </si>
  <si>
    <t>NIP. 199510092022212019</t>
  </si>
  <si>
    <t>AMIRA KATIARA</t>
  </si>
  <si>
    <t>HAFSHAH ATHIFA MAHRAN</t>
  </si>
  <si>
    <t>: XII 4</t>
  </si>
  <si>
    <t>ANISA RUZQIYYAH DWI YANTI</t>
  </si>
  <si>
    <t>HUMAIRA NAILAH HASAN</t>
  </si>
  <si>
    <t>ARLAN PRAYATA KOESTIWAN</t>
  </si>
  <si>
    <t>ILMIRA RIZKY ALIYUVIANA</t>
  </si>
  <si>
    <t>AUDREY NAURA FADISTA</t>
  </si>
  <si>
    <t>JIHAN FAMELIA ALZENA</t>
  </si>
  <si>
    <t>KARIN ALLIYA NADIN</t>
  </si>
  <si>
    <t>CHANTIKA OKTA PUTRI</t>
  </si>
  <si>
    <t>ALGECIRAS GUINANDRA DIALGA</t>
  </si>
  <si>
    <t>DADAN PRAYOGI</t>
  </si>
  <si>
    <t>KHALISA ZAFIRIA RADINDA</t>
  </si>
  <si>
    <t>ATHALA GHAZY RABBANI</t>
  </si>
  <si>
    <t>DEFIAN NAZWANSYAH</t>
  </si>
  <si>
    <t>ATHAYA DHIA NADIFAH</t>
  </si>
  <si>
    <t>KHANZA MEYLIZA AZZAHRA</t>
  </si>
  <si>
    <t>DHAFINO DORDIANO</t>
  </si>
  <si>
    <t>AULIA ADI PRATAMA</t>
  </si>
  <si>
    <t>KIRANI ISMAWATI RASIDIN</t>
  </si>
  <si>
    <t>DIGORA SISEAN SIHOMBING</t>
  </si>
  <si>
    <t>CALISTA OLIVIA SAJID</t>
  </si>
  <si>
    <t>LAKEISHA LUNA PUTRI ISKANDAR</t>
  </si>
  <si>
    <t>DIMAS TRIADJI PUTRA DEWANTARA</t>
  </si>
  <si>
    <t>DAVA RIZKI NUGRAHA</t>
  </si>
  <si>
    <t>LUTFI SAKHI ZAIDAN</t>
  </si>
  <si>
    <t>DUDE SATRIA KINAYUNGAN</t>
  </si>
  <si>
    <t>EVANDRA RAJA DIAVA</t>
  </si>
  <si>
    <t>MARSHA DEVINA APRILIA RISTI</t>
  </si>
  <si>
    <t>FAHMI MALIK ROSYIDAN</t>
  </si>
  <si>
    <t>FRYTA AURELIA</t>
  </si>
  <si>
    <t>MELATI APRILYA</t>
  </si>
  <si>
    <t>GILANG ABIMANYU</t>
  </si>
  <si>
    <t>GEO RAMADAN ANWARI</t>
  </si>
  <si>
    <t>MELY SITI MALIATUL HAYAT</t>
  </si>
  <si>
    <t>GINA ZAHIRA SOPHA</t>
  </si>
  <si>
    <t>GHAIDA DZAKIYYAH</t>
  </si>
  <si>
    <t>HAZEL RIZKY SAMUDRA</t>
  </si>
  <si>
    <t>MOHAMAD RAY FARID FEBRIAN</t>
  </si>
  <si>
    <t>MUHAMMAD FAKHRI SANIRUSMAN</t>
  </si>
  <si>
    <t>KALYANA NAISHA CHAERUNNISA</t>
  </si>
  <si>
    <t>MOHAMMAD DAVA FAHREZA</t>
  </si>
  <si>
    <t>MUHAMMAD AJI NUGROHO</t>
  </si>
  <si>
    <t>KENZA AZURA WARDHANI</t>
  </si>
  <si>
    <t>MUHAMAD RIZKY NURSIDIK</t>
  </si>
  <si>
    <t>MUHAMMAD DARRELL PERMANA</t>
  </si>
  <si>
    <t>MUHAMMAD AKBAR KHALID</t>
  </si>
  <si>
    <t>MEISYA FEBRIYOSI</t>
  </si>
  <si>
    <t>MUHAMMAD FARREL ZAIDAN</t>
  </si>
  <si>
    <t>MIKHAILLOVA BORNALLURA EDITIS</t>
  </si>
  <si>
    <t>MUHAMMAD ARDHA RAHADIAN ADIMIHARJA</t>
  </si>
  <si>
    <t>MUHAMMAD FARDAN AR-RASHIF</t>
  </si>
  <si>
    <t>MUHAMMAD FIKI</t>
  </si>
  <si>
    <t>MUHAMMAD FATHIR NUR RIZKIANSYAH</t>
  </si>
  <si>
    <t>MUHAMMAD SIDQI ABDURRAHMAN HALIIM</t>
  </si>
  <si>
    <t>MUHAMMAD HASHIF AL HAFIZ</t>
  </si>
  <si>
    <t>NAILA NURUL AZKIA</t>
  </si>
  <si>
    <t>MUHAMMAD GHAZI AIZAR KAMIL</t>
  </si>
  <si>
    <t>MUHAMMAD IZZUDDIN`ALI ELQASSAM</t>
  </si>
  <si>
    <t>NALENDRA ULUNG</t>
  </si>
  <si>
    <t>NADIF GAISAN HANANIA</t>
  </si>
  <si>
    <t>NASHIWA HANIFA</t>
  </si>
  <si>
    <t>MUHAMMAD KENZIE KHAIRI NIRBAYA</t>
  </si>
  <si>
    <t>NAZLA NABILA GHAIDA</t>
  </si>
  <si>
    <t>NAURA RINDU AISYAH</t>
  </si>
  <si>
    <t>MUHAMMAD LINGGA PRADIPA</t>
  </si>
  <si>
    <t>QINTHARA KHALISHA KAMAL</t>
  </si>
  <si>
    <t>NAWFAL RAIHAN KAMIL</t>
  </si>
  <si>
    <t>RAKA AYDIN KHALFANI SYARIF</t>
  </si>
  <si>
    <t>MUHAMMAD RAFISYA SUGIATNA</t>
  </si>
  <si>
    <t>NAZRIL MAULANA TISNA</t>
  </si>
  <si>
    <t>RATIH JULIANITA WIJAYA</t>
  </si>
  <si>
    <t>NADINE SHALUNNA BILQIS</t>
  </si>
  <si>
    <t>PRABU ARNATHA SYAUKI ARIEF</t>
  </si>
  <si>
    <t>RAYA SHIMA KINARRA SULAEMAN</t>
  </si>
  <si>
    <t>NADIRA PHILANA HAPSARI</t>
  </si>
  <si>
    <t>RADEN ARIA ADIPATI MANIKMAYA HANIPRADJA</t>
  </si>
  <si>
    <t>REVANO NARENDRA MENALDY</t>
  </si>
  <si>
    <t>NEFERTARI EL ADARA</t>
  </si>
  <si>
    <t>RAFSANJANI JALU RAKSADIPA</t>
  </si>
  <si>
    <t>REVINA ILMI PUTRI</t>
  </si>
  <si>
    <t>RAKHA MALIK AL GHIFARI</t>
  </si>
  <si>
    <t>NELSA JAHARA PUTRI</t>
  </si>
  <si>
    <t>RHAYZAN ARVA FERDIKA</t>
  </si>
  <si>
    <t>RASYA RAMDHANI KARTOYO</t>
  </si>
  <si>
    <t>OKTIANY NADHIFAH</t>
  </si>
  <si>
    <t>RAYKA RAMADHAN NATADIDJAJA</t>
  </si>
  <si>
    <t>SALMAA NUR'AINI PUTRI KURNIA</t>
  </si>
  <si>
    <t>REGATTA TAMIMI RAHMAN</t>
  </si>
  <si>
    <t>RAFHA AJI</t>
  </si>
  <si>
    <t>SALWA ANAYA SOLIHATIN</t>
  </si>
  <si>
    <t>YAQUB ALIRSYAD</t>
  </si>
  <si>
    <t>SHARLEEN ZHAFIRA ALETHA</t>
  </si>
  <si>
    <t>RAISYA PRIYANKA QIRANA</t>
  </si>
  <si>
    <t>SYED HUGO HABIBULLAH</t>
  </si>
  <si>
    <t>YASMIN ALIA RAHMADINI</t>
  </si>
  <si>
    <t>REISHA AZZAHRA SALWALIYAH</t>
  </si>
  <si>
    <t>VANYA VARISHA</t>
  </si>
  <si>
    <t>YUSMAN FARISH TRIYADI</t>
  </si>
  <si>
    <t>RIVANY NUR KASAVANY</t>
  </si>
  <si>
    <t>ZAKI SURYA IBRAHIM</t>
  </si>
  <si>
    <t>RYU GIAS ALGHANI</t>
  </si>
  <si>
    <t>SAKHI SUKMA RAHMAWATY</t>
  </si>
  <si>
    <t>SENDY TRIANA SAPUTRA</t>
  </si>
  <si>
    <t>THEODORICK HAIDAR SISWOYO</t>
  </si>
  <si>
    <t>TIANCA SETYA WARDHANI</t>
  </si>
  <si>
    <t>Rika Andriani, S.Pd., MP.Mat</t>
  </si>
  <si>
    <t>Erin Nurfitriani, S.Pd.</t>
  </si>
  <si>
    <t>NIP.198208052006042008</t>
  </si>
  <si>
    <t>NIP. 199111122025212155</t>
  </si>
  <si>
    <t>Wida Komala Dewi, S.Ag.</t>
  </si>
  <si>
    <t>: XII 5</t>
  </si>
  <si>
    <t>NIP. 197406032023212002</t>
  </si>
  <si>
    <t>: XI 4</t>
  </si>
  <si>
    <t>ARFA RAZIQ ADAM</t>
  </si>
  <si>
    <t>ARGADITYA RAHMAN HIRACAHYA</t>
  </si>
  <si>
    <t>DAVIN RAISYA PRATAMA</t>
  </si>
  <si>
    <t>DAVINA CHERRYL AGIESYA</t>
  </si>
  <si>
    <t>ADRIAN GUSTAVE MAULANA</t>
  </si>
  <si>
    <t>FARHAN GARNADI</t>
  </si>
  <si>
    <t>AGUNG ROMANSYAH</t>
  </si>
  <si>
    <t>FARID NAUFAL IDLAN</t>
  </si>
  <si>
    <t>Alfredy Mervin Hutasoit, S.Pd.</t>
  </si>
  <si>
    <t>FRESHA INDAH ELVIANNISA</t>
  </si>
  <si>
    <t>AHMAD FAISAL ZAKY</t>
  </si>
  <si>
    <t>NIP.199501032024211008</t>
  </si>
  <si>
    <t>GHANI YAZID KHAIRY</t>
  </si>
  <si>
    <t>AJENG MAURAMADHANI ALKALIFA N.</t>
  </si>
  <si>
    <t>GUSNI RAMADANI</t>
  </si>
  <si>
    <t>HANIEF AWWAL ABDILLAH</t>
  </si>
  <si>
    <t>ALTHAF NAUFAL ZAIDAAN</t>
  </si>
  <si>
    <t>: X 4</t>
  </si>
  <si>
    <t>ANDI AIRA ALHAYANDI SYAHID</t>
  </si>
  <si>
    <t>JIBRIL AL FAUZAN PURNADI</t>
  </si>
  <si>
    <t>ATHYSSA GINTING</t>
  </si>
  <si>
    <t>JULVIKY ARUN KSATRIA</t>
  </si>
  <si>
    <t>AXEL AL FARIZZA</t>
  </si>
  <si>
    <t>DELA AULIA</t>
  </si>
  <si>
    <t>KANIA ALESHA RIFAYA</t>
  </si>
  <si>
    <t>ENRICO MILIAN NATANAEL LATUMAHINA</t>
  </si>
  <si>
    <t>LAKSAMANA DHIAZ LUKVI PUTRA</t>
  </si>
  <si>
    <t>FAUZI RAMDHANI</t>
  </si>
  <si>
    <t>LINTANG AKASHA DIPUTRA SULAIMAN</t>
  </si>
  <si>
    <t>ADRA SABIA NURAFSHAN</t>
  </si>
  <si>
    <t>FHADILLAH RAKA FAHREZA</t>
  </si>
  <si>
    <t>MARITZA JESSENIA ZAYYAN</t>
  </si>
  <si>
    <t>GAZALA RAIGHINA KLAVIANY</t>
  </si>
  <si>
    <t>AGRYNUSA ARWA ARRAFI`U</t>
  </si>
  <si>
    <t>MARVELINO YAKUB PANDAPOTAN ARITONANG</t>
  </si>
  <si>
    <t>GHAZI AHZA KHAIRAN</t>
  </si>
  <si>
    <t>ALMEERA RAISHA REZKY YULIANSYAH</t>
  </si>
  <si>
    <t>MOSES GABE PARULIAN BUTAR-BUTAR</t>
  </si>
  <si>
    <t>IKSAN SUPRIATNA</t>
  </si>
  <si>
    <t>ALWAN RAZAN AL GHANI</t>
  </si>
  <si>
    <t>MUHAMMAD AKMAL FIRDAUS</t>
  </si>
  <si>
    <t>KEIRA SAMIRA AZZAHRANI</t>
  </si>
  <si>
    <t>ANDHARA AZKIA PUTRI</t>
  </si>
  <si>
    <t>MUHAMMAD ARSYA SHIDQI ATTAYA</t>
  </si>
  <si>
    <t>LALITA DWI NUGRAHA</t>
  </si>
  <si>
    <t>ANDREIA RICHELLE QUINNAYAH</t>
  </si>
  <si>
    <t>MUHAMMAD DAFFA ABDILLAH</t>
  </si>
  <si>
    <t>MAITREYA ANANDA MANISHA</t>
  </si>
  <si>
    <t>MUHAMMAD HILMI AD-DZIKRI</t>
  </si>
  <si>
    <t>ANISA</t>
  </si>
  <si>
    <t>MUHAMMAD SYARIF ROMDHONI</t>
  </si>
  <si>
    <t>ARYA CHANDRA WIGUNA</t>
  </si>
  <si>
    <t>MOCHAMAD SYABIL ATHARI</t>
  </si>
  <si>
    <t>MUTIARA NUR SYIFA</t>
  </si>
  <si>
    <t>BAYU ANUGERAH RUSTANDI</t>
  </si>
  <si>
    <t>NABIL MOHAMMAD AZMII AKRAM</t>
  </si>
  <si>
    <t>DARIUS JECSEN PERDANA GULTOM</t>
  </si>
  <si>
    <t>MUCHAMAD ZAKY ALFIANO MURTHY</t>
  </si>
  <si>
    <t>NADINE GAZA AULYA</t>
  </si>
  <si>
    <t>FADHILLAH MUHAMMAD RAJABY</t>
  </si>
  <si>
    <t>NIRVANAZIA SARWAHITA AJIWARA</t>
  </si>
  <si>
    <t>MUHAMAD KHALIEF ZAENUDIN</t>
  </si>
  <si>
    <t>FAHREGA RAUDATULOH</t>
  </si>
  <si>
    <t>PARAS SANDERIANA ARDIAN</t>
  </si>
  <si>
    <t>FARHAN HABIB RIZKI</t>
  </si>
  <si>
    <t>MUHAMAD RIZKI ADITTIYA</t>
  </si>
  <si>
    <t>RAGIL SARASWATI</t>
  </si>
  <si>
    <t>MUHAMMAD FAJAR SAPUTRA</t>
  </si>
  <si>
    <t>FEBRIAN DWI SAPUTRA</t>
  </si>
  <si>
    <t>RAJWA DANISWARA RUSPANDI</t>
  </si>
  <si>
    <t>MUHAMMAD NIZAM SATRIADY MAGGA</t>
  </si>
  <si>
    <t>RITA MAY LUTVIYANI</t>
  </si>
  <si>
    <t>GANISYA ADHWAA</t>
  </si>
  <si>
    <t>RIZKYTA PRAWINA KUSUMA</t>
  </si>
  <si>
    <t>MUHAMMAD RAYHAN SAPUTRA</t>
  </si>
  <si>
    <t>GIO OCTAVIAN FIRDAUS</t>
  </si>
  <si>
    <t>RIZQI FEBRIAN</t>
  </si>
  <si>
    <t>NAAZIRA ALMIRA SYAHSHIVA</t>
  </si>
  <si>
    <t>SANDRIYA EKA ANDANI</t>
  </si>
  <si>
    <t>HAMIDA NURMAJIDAH</t>
  </si>
  <si>
    <t>NYCHA AURA LUZ KINANTHI</t>
  </si>
  <si>
    <t>YANUAR DAFFA NUR FAHRYAN</t>
  </si>
  <si>
    <t>ILHAM MAULANA</t>
  </si>
  <si>
    <t>OKTORA NAURA AL-NUR BAHAGIA</t>
  </si>
  <si>
    <t>YAUZA SASTRA YUSSITA</t>
  </si>
  <si>
    <t>INTAN AYUDYA INARA</t>
  </si>
  <si>
    <t>QIANI DWI SHAFINA</t>
  </si>
  <si>
    <t>JIBRIL HIBATULLAH ANANTO PUTRA</t>
  </si>
  <si>
    <t>RADEN MESYA SEKAR JULIANTI</t>
  </si>
  <si>
    <t>RAFFI FAKHRI RABBANI</t>
  </si>
  <si>
    <t>KARINA YULIANTI EFENDI</t>
  </si>
  <si>
    <t>RAISHA SYIFA RAMADHANI</t>
  </si>
  <si>
    <t>KEARA PARISYA RAYYAN SETIAWAN</t>
  </si>
  <si>
    <t>RIFA KHAILA SONJAYA</t>
  </si>
  <si>
    <t>KHEISYA PUTRI IRWAN SETIAWAN</t>
  </si>
  <si>
    <t>RUTH CAROLINE TALISA</t>
  </si>
  <si>
    <t>MAULANA MUHAMAD ILYAS</t>
  </si>
  <si>
    <t>SHAQILLA ALINA NUGROHO</t>
  </si>
  <si>
    <t>MIRSHANY WULANDARI</t>
  </si>
  <si>
    <t>SHIVA SYAFARANIE WIJAYA</t>
  </si>
  <si>
    <t>MUHAMMAD MULKI ASYAM SAPUTRA</t>
  </si>
  <si>
    <t>SILVIA NAPTALINE NUR ROHMAH</t>
  </si>
  <si>
    <t>MUHAMMAD RAZAN SARDONO</t>
  </si>
  <si>
    <t>SYAQRA NEYSA AMIRA</t>
  </si>
  <si>
    <t>NABILLAH PUTRI SASMITA</t>
  </si>
  <si>
    <t>SYIFA AULIA ZAKIYAH</t>
  </si>
  <si>
    <t>Desti Resnawati, S.Pd., M.M.</t>
  </si>
  <si>
    <t>NAJWA PUTRI SHAFIRA</t>
  </si>
  <si>
    <t>TEGAR FITRA DWI PAMUNGKAS</t>
  </si>
  <si>
    <t>NIP.197812292014102002</t>
  </si>
  <si>
    <t>NEMCOVA RAISYAH ARCOLLIN`S</t>
  </si>
  <si>
    <t>TYO JENARO WARDHONO</t>
  </si>
  <si>
    <t>NISA NUR AZIZAH</t>
  </si>
  <si>
    <t>: XII 6</t>
  </si>
  <si>
    <t>NURAZMI LATIFAH NARAYA</t>
  </si>
  <si>
    <t>WIKSA HAMAYUN ARRASYID</t>
  </si>
  <si>
    <t>RADEN DAMAR KURNIA LAKOSUN</t>
  </si>
  <si>
    <t>YUDHISTIRA PUTRA PRATAMA</t>
  </si>
  <si>
    <t>RADITYA KIAN NARARYA</t>
  </si>
  <si>
    <t>RESKY ALDIANA CANTONA</t>
  </si>
  <si>
    <t>ZULFA HASNA HANIFAH</t>
  </si>
  <si>
    <t>AISYA ANAVI NURDARIELA</t>
  </si>
  <si>
    <t>RIZKY FEBRIAN DWIPUTRA</t>
  </si>
  <si>
    <t>SALMAN RAISAL ALFARIZI SUHERMAN</t>
  </si>
  <si>
    <t>ALISHA ZAHRA APRILLIANI</t>
  </si>
  <si>
    <t>TEGAR RAMADHAN</t>
  </si>
  <si>
    <t>ARISDI KHAIRUZAN NATAWIJAYA ASMADIREDJA, Rd</t>
  </si>
  <si>
    <t>UNIQUE RAMADHANI PUTRI CAHYADI</t>
  </si>
  <si>
    <t>ARUMI CANTIKA PRATIWI</t>
  </si>
  <si>
    <t>ZAHIRA KHUMAIRRA</t>
  </si>
  <si>
    <t>AZZAHRA FERIZKA MAULANI RAHAYU</t>
  </si>
  <si>
    <t>BIANCA LEDINI PUTRI HIDAYAT</t>
  </si>
  <si>
    <t>CHIELYN KANYA MARETTA SIALLAGAN</t>
  </si>
  <si>
    <t>CUT FAHIRA ANINDYA SAKHI</t>
  </si>
  <si>
    <t>DAFFA BAGJA PUTRA SUDRAJAT</t>
  </si>
  <si>
    <t>DAVIA AINILAILYAWATI</t>
  </si>
  <si>
    <t>DAVIN FALIQ MUHAMMAD</t>
  </si>
  <si>
    <t>DENISA PUTRI MUTHMAINAH</t>
  </si>
  <si>
    <t xml:space="preserve"> Ahmad Sodik Arifin, M.Ag.</t>
  </si>
  <si>
    <t>Nurul Septiyani Ayu, M.Pd., Gr.</t>
  </si>
  <si>
    <t>FAUZAN ZAKY RAMDANI</t>
  </si>
  <si>
    <t>NUPTK.4338759661110053</t>
  </si>
  <si>
    <t>GEROME BISMARCK HOTASI MARBUN</t>
  </si>
  <si>
    <t>NIP.199309172024212025</t>
  </si>
  <si>
    <t>GUSTIA RAMADHANI</t>
  </si>
  <si>
    <t>HOLY CHRISTABELL LISAPALY</t>
  </si>
  <si>
    <t>: X 5</t>
  </si>
  <si>
    <t>HUJJAH LISHAUMI KIRANA</t>
  </si>
  <si>
    <t>: XI 5</t>
  </si>
  <si>
    <t>HUMAIRA HAMIDAH</t>
  </si>
  <si>
    <t>INTAN DWI ANDINI</t>
  </si>
  <si>
    <t>JULIA AL-MAQHRIVA</t>
  </si>
  <si>
    <t>ADELIA ANDINI RISTANTI</t>
  </si>
  <si>
    <t>KARLINA KARTIKA SARI</t>
  </si>
  <si>
    <t>ADINDA PRABANDARI KINASIH</t>
  </si>
  <si>
    <t>ADITIA PUTRA PRATAMA</t>
  </si>
  <si>
    <t>KEISYA SYIFA AULIA</t>
  </si>
  <si>
    <t>ALIFA MEYLANI SAFITRI</t>
  </si>
  <si>
    <t>ALBANY FAHRUROJI</t>
  </si>
  <si>
    <t>KIMISYAH AL FATH PUTRA ANDESTA</t>
  </si>
  <si>
    <t>AMALIA NURFADILAH</t>
  </si>
  <si>
    <t>LAURA HASNA PUTRI</t>
  </si>
  <si>
    <t>ALIIF RIZAL SYAWALUDIN</t>
  </si>
  <si>
    <t>LISA MAYUMI</t>
  </si>
  <si>
    <t>ARIA KUSUMAH</t>
  </si>
  <si>
    <t>AMELIA FAUZIANI</t>
  </si>
  <si>
    <t>MUHAMMAD MUAYADBILLAH YUDHA KUSUMAH</t>
  </si>
  <si>
    <t>AULIA KINASIH</t>
  </si>
  <si>
    <t>ANDREA GAYNELL ADHWA DWI POETRY</t>
  </si>
  <si>
    <t>NABILAH KAYLA RAMADHINA</t>
  </si>
  <si>
    <t>BALQIS FANIDA SORAYA</t>
  </si>
  <si>
    <t>ANNASYA QAYLA PUTRI FERNANDA</t>
  </si>
  <si>
    <t>NADIVA LESTARI NUR ERWINA PUTRI HERMAWAN</t>
  </si>
  <si>
    <t>CAHYA ISMAIL</t>
  </si>
  <si>
    <t>AUFHA TRI ANDANI</t>
  </si>
  <si>
    <t>NAURA SYADINA PUTRI</t>
  </si>
  <si>
    <t>CHIARA HASNA ZHAFIRA</t>
  </si>
  <si>
    <t>DENTAWYANJANA GHANIVA SAPUTRA</t>
  </si>
  <si>
    <t>RAZITA KHAIRULANIS</t>
  </si>
  <si>
    <t>DWIANDRU LORIAN BIBEN APRINADI</t>
  </si>
  <si>
    <t>RENGGANIS DENISHA BAGJA PHITALOKA</t>
  </si>
  <si>
    <t>DEVILIA AULIA PUTRI</t>
  </si>
  <si>
    <t>FATHIA ADARA SHABRINA</t>
  </si>
  <si>
    <t>SHABIRA ADILLA RAHMAT</t>
  </si>
  <si>
    <t>EGA YUDA NUGRAHA</t>
  </si>
  <si>
    <t>FATIH HIBATULLAH KAAMIL</t>
  </si>
  <si>
    <t>SITI ZAHRA FAUZIAH</t>
  </si>
  <si>
    <t>ELMIRA ZAHIYA RUSDI</t>
  </si>
  <si>
    <t>GITA APRILIA</t>
  </si>
  <si>
    <t>SURYA DZIFA MAULANA</t>
  </si>
  <si>
    <t>FAHRAN FATUROHMAN</t>
  </si>
  <si>
    <t>GUSTIAN ABDULAH RUKMANA</t>
  </si>
  <si>
    <t>WULAN DEVIYANI</t>
  </si>
  <si>
    <t>FAKHIRA SALWA NABILA</t>
  </si>
  <si>
    <t>HASYID HISYAM HERNAWAN</t>
  </si>
  <si>
    <t>FATHIYYA AMEERA QUEENNARRA EDWARD</t>
  </si>
  <si>
    <t>HATIM ILWAN ALHANIF</t>
  </si>
  <si>
    <t>FAUZAN SYAWAL PRATAMA</t>
  </si>
  <si>
    <t>HELLANDA FAUZIAH MUTAQIN</t>
  </si>
  <si>
    <t>GHEA RAHMAYANI</t>
  </si>
  <si>
    <t>IBNU HIKAM HASBIALLOH</t>
  </si>
  <si>
    <t>INTANIA RAMADANIA</t>
  </si>
  <si>
    <t>INDAH SHERNITA NAINGGOLAN</t>
  </si>
  <si>
    <t>JAUZA HANA NABILA</t>
  </si>
  <si>
    <t>JIHAN MAKAILA</t>
  </si>
  <si>
    <t>KEYSHA NUR RAHAYU</t>
  </si>
  <si>
    <t>KAYLA ANDROMEDA AMANDA</t>
  </si>
  <si>
    <t>LERIYAN RAMBANI KAIYSEN</t>
  </si>
  <si>
    <t>LEON ANDREAN TANYA</t>
  </si>
  <si>
    <t>MAHESYA LILY</t>
  </si>
  <si>
    <t xml:space="preserve"> Indah Lestari, M.Pd., Gr.</t>
  </si>
  <si>
    <t>LINTANG JANUAR NURYAKIN</t>
  </si>
  <si>
    <t>MALVIN AKSATRYA DANISWARA KUSMANA</t>
  </si>
  <si>
    <t>LUTHFIANA DALFIYAH</t>
  </si>
  <si>
    <t>NIP.198209192022212025</t>
  </si>
  <si>
    <t>MUHAMAD NAUFAL ATHALLAH</t>
  </si>
  <si>
    <t>MARWA NURHAA NAFIAH</t>
  </si>
  <si>
    <t>: XII 7</t>
  </si>
  <si>
    <t>MUHAMMAD AL-RIZKY SONA</t>
  </si>
  <si>
    <t>MIKAIL AL KAUTSAR SIMA PAWITRA</t>
  </si>
  <si>
    <t>MUHAMMAD ALLES SASTRA MANGGALA</t>
  </si>
  <si>
    <t>MUHAMMAD ARKHANSYAH WIGUNA</t>
  </si>
  <si>
    <t>MUHAMAD AGUNG RIVA RISQULOH</t>
  </si>
  <si>
    <t>MUHAMMAD RAMDHAN</t>
  </si>
  <si>
    <t>MUHAMAD FAJAR DWI PUTRA</t>
  </si>
  <si>
    <t>AHMAD NIZAR ALMANAF</t>
  </si>
  <si>
    <t>NALENDRA ARYA SUKMA</t>
  </si>
  <si>
    <t>MUHAMAD PAHMI PUTRA SANGGARA</t>
  </si>
  <si>
    <t>NAOMI FLORINT RIYANTO</t>
  </si>
  <si>
    <t>AIMA SEPTIANY METHA PUTRI</t>
  </si>
  <si>
    <t>MUHAMMAD AZRIL ILHAM</t>
  </si>
  <si>
    <t>X4</t>
  </si>
  <si>
    <t>ALHAIRA SYIFA KAMILA</t>
  </si>
  <si>
    <t>NENG JULIA SARI PUTRI</t>
  </si>
  <si>
    <t>MUHAMMAD KAFI AL-FATIH</t>
  </si>
  <si>
    <t>DASEP SAEPUL SAPUTRA</t>
  </si>
  <si>
    <t>NINNA KHANSA AMELIA</t>
  </si>
  <si>
    <t>MUHAMMAD KARIZA AL FAKHRI</t>
  </si>
  <si>
    <t>DHEFAN HAMMAN MUZAKI</t>
  </si>
  <si>
    <t>NUR ANNISA</t>
  </si>
  <si>
    <t>MUHAMMAD MAHIN</t>
  </si>
  <si>
    <t>FANI ANGGRAENI</t>
  </si>
  <si>
    <t>OKTAFIANY PARASYA PUSPA</t>
  </si>
  <si>
    <t>MUHAMMAD WILDAN FIRDAUS</t>
  </si>
  <si>
    <t>FEBIOLINDA SITIOGUN</t>
  </si>
  <si>
    <t>OLYNDA DEA NARDA</t>
  </si>
  <si>
    <t>NAILA DZIKRIA AZMI</t>
  </si>
  <si>
    <t>GHINA LATHIFA RABBANI</t>
  </si>
  <si>
    <t>RAJA ADDINA MANAYRA</t>
  </si>
  <si>
    <t>NAJLA DWI MUSTIKA</t>
  </si>
  <si>
    <t>HAPPY AMELIA</t>
  </si>
  <si>
    <t>RASYA OKTAFIANDY GIFANUR</t>
  </si>
  <si>
    <t>NANDA FAUZIAH SULISTIO</t>
  </si>
  <si>
    <t>INDIRA PUTRI NURUL ALISHA</t>
  </si>
  <si>
    <t>RAYHANA ZAHIRAH PUTRI</t>
  </si>
  <si>
    <t>NIZAM ALHABSI</t>
  </si>
  <si>
    <t>JOSUA FRANSICUS ARUAN</t>
  </si>
  <si>
    <t>RINJANI RAMADHAN SUTISNO</t>
  </si>
  <si>
    <t>PASCALIA PUTRI ISMAYA</t>
  </si>
  <si>
    <t>MOHAMAD AFRIZAL MAULANA</t>
  </si>
  <si>
    <t>RIZKY MUHAMAD RAFI</t>
  </si>
  <si>
    <t>PUTRI AULIA</t>
  </si>
  <si>
    <t>MUCHAMAD ADITYA RIZQY</t>
  </si>
  <si>
    <t>SATRIA BARI RIZKI SAIDA</t>
  </si>
  <si>
    <t>REDI RAHMANA</t>
  </si>
  <si>
    <t>MUHAMAD ALPI AR RASYD</t>
  </si>
  <si>
    <t>SATRIA PUTRA HASKA</t>
  </si>
  <si>
    <t>MUHAMAD ASFHA PRATAMA SIDIQ</t>
  </si>
  <si>
    <t>REYSHA PERMATA KASIH</t>
  </si>
  <si>
    <t>SHENA NAYARA RAHMADHANI</t>
  </si>
  <si>
    <t>MUHAMAD REZHA SUKMANA</t>
  </si>
  <si>
    <t>SURYA KUSUMAJATI WIDJAJA AMIARSA</t>
  </si>
  <si>
    <t>SAKHA FAWWAZUL FIKRI</t>
  </si>
  <si>
    <t>MUHAMMAD FAHRI AL BUHORI</t>
  </si>
  <si>
    <t>SYABIL FAUZAN ALTAAF</t>
  </si>
  <si>
    <t>MUHAMMAD FAUZAN RAMADHAN ASNIYANA</t>
  </si>
  <si>
    <t>TEMMY MUHAMMAD FADLI</t>
  </si>
  <si>
    <t>MUHAMMAD ZAKYUDIN ANANTYO</t>
  </si>
  <si>
    <t>TIARA SILVIA</t>
  </si>
  <si>
    <t>NABILA RHAMADHANI PUTRI FANDYA</t>
  </si>
  <si>
    <t>TRINANSYAH WIDYANA</t>
  </si>
  <si>
    <t>NAJWA NUR SHADRINA SUGANDA</t>
  </si>
  <si>
    <t>NASHEELA GHAIDA ANDHINI</t>
  </si>
  <si>
    <t>WENDRIK ISMAIL</t>
  </si>
  <si>
    <t>NATASYA ANGGITYA DECYANA PUTRI NURTITA</t>
  </si>
  <si>
    <t>NAYYARA RIANI KHAIRUNNISA</t>
  </si>
  <si>
    <t>YUSUF NAUFAL HABIBI</t>
  </si>
  <si>
    <t>RAEHAN ABDUL RAHMAN</t>
  </si>
  <si>
    <t>ZAHIRA NAFISSA</t>
  </si>
  <si>
    <t>RAHMA AYU ANJANI</t>
  </si>
  <si>
    <t>RAKA NAUFAL ADZDZIKRA</t>
  </si>
  <si>
    <t>RIVAL ARDIANSYAH</t>
  </si>
  <si>
    <t>Yenny Yuningsih, S.Pd</t>
  </si>
  <si>
    <t>SAPIRA SEPTIANI</t>
  </si>
  <si>
    <t>SALSA PUTRIYANA</t>
  </si>
  <si>
    <t>NIP.197606182007012016</t>
  </si>
  <si>
    <t>SATRIA FIRZATULLAH</t>
  </si>
  <si>
    <t>: XI 6</t>
  </si>
  <si>
    <t>TRAYODHASA AUGUSTE YASSER AL-GHONIM</t>
  </si>
  <si>
    <t>VALESKA RAIHAN HAFIZH SUGIANA</t>
  </si>
  <si>
    <t xml:space="preserve"> Moch. Maulana Hidayat, S.Pd.</t>
  </si>
  <si>
    <t>VEMBA LESMANA AL-QINDI</t>
  </si>
  <si>
    <t>NIP. 199011162024211011</t>
  </si>
  <si>
    <t>NIP.199111122025212155</t>
  </si>
  <si>
    <t>VIA SULISTIA WATI</t>
  </si>
  <si>
    <t>ABGHI NAZIRIEL QOLBY</t>
  </si>
  <si>
    <t>ALDY MULYA NUGRAHA</t>
  </si>
  <si>
    <t>: X 6</t>
  </si>
  <si>
    <t>ALMAILA NUR RIFA</t>
  </si>
  <si>
    <t>ARIS RIZKY MUHAMAD</t>
  </si>
  <si>
    <t>ARUNI DAMAR PUTRI</t>
  </si>
  <si>
    <t>DEBBYA HERBIANITA</t>
  </si>
  <si>
    <t>ADFA PRANATA</t>
  </si>
  <si>
    <t>DEINIRA REGIANA ABDIANI</t>
  </si>
  <si>
    <t>DIMAS HARISANTOSO</t>
  </si>
  <si>
    <t>AGIL ASKA MAULANA</t>
  </si>
  <si>
    <t>Lina Yulistian, M.Pd.</t>
  </si>
  <si>
    <t>ELVIRA SITI NURJANAH</t>
  </si>
  <si>
    <t>NIP. 198907282020122013</t>
  </si>
  <si>
    <t>AKHDAN HILMI AFZALURRAZAQ</t>
  </si>
  <si>
    <t>FAUZAN HASBY KHAIRY</t>
  </si>
  <si>
    <t>ALFAN AHMAD HUSNI FIRDAUS</t>
  </si>
  <si>
    <t>GUSTI MUHAMMAD FADHLI PUTRA AULIA</t>
  </si>
  <si>
    <t>: XII 8</t>
  </si>
  <si>
    <t>IRSALINA HASYA ADLINA</t>
  </si>
  <si>
    <t>ALIEF HARIST PRATAMA</t>
  </si>
  <si>
    <t>IRZA GHIFARI FAUZAN</t>
  </si>
  <si>
    <t>ALIKA FADILLAH PUTRI</t>
  </si>
  <si>
    <t>JAVIER RAFIF DARYAT</t>
  </si>
  <si>
    <t>AMIRAH RAHADATUL AISY HISANAH</t>
  </si>
  <si>
    <t>KALINDA YASMIN FATRIA</t>
  </si>
  <si>
    <t>ANI SANDRA PUTRI</t>
  </si>
  <si>
    <t>KHANSA PUTRI ANINDYA</t>
  </si>
  <si>
    <t>AHMAD HABIBI</t>
  </si>
  <si>
    <t>ATAYA ZHARFAN IZDIHAR</t>
  </si>
  <si>
    <t>KIRANA TALISA DWI ANDIKA</t>
  </si>
  <si>
    <t>AHSAN NAUFIL DZIAURRAHMAN</t>
  </si>
  <si>
    <t>MARSHYA SABILA</t>
  </si>
  <si>
    <t>AULIA ZAHRA RAMADHANI</t>
  </si>
  <si>
    <t>MUHAMAD AL FAKHRII</t>
  </si>
  <si>
    <t>AIRA DIVA SHABIRA</t>
  </si>
  <si>
    <t>AYASHA NAMIRA WISESA</t>
  </si>
  <si>
    <t>MUHAMAD ANDRYNO ABHINAYA</t>
  </si>
  <si>
    <t>ANNISA AOLIA KIRANI</t>
  </si>
  <si>
    <t>CINDY AZMI ASHILAH</t>
  </si>
  <si>
    <t>MUHAMAD NAJRIL OKTORA</t>
  </si>
  <si>
    <t>AULIA SITI KHODIJAH</t>
  </si>
  <si>
    <t>CLARISSA PUTRI YUWANSTA</t>
  </si>
  <si>
    <t>MUHAMAD RIFAL KEIS FIRDAUS</t>
  </si>
  <si>
    <t>BELINDA ASTARINA</t>
  </si>
  <si>
    <t>DIO ENDAGUNA NASRULHAK</t>
  </si>
  <si>
    <t>CINTA SUCI AS SYIFA</t>
  </si>
  <si>
    <t>MUHAMMAD DIAS PRAYOGA</t>
  </si>
  <si>
    <t>DISSA NAJLA SANIAH</t>
  </si>
  <si>
    <t>DANI RAHMADANI</t>
  </si>
  <si>
    <t>MUHAMMAD FAISAL GUMILANG</t>
  </si>
  <si>
    <t>FAHISH FARZAN IZZALDIN</t>
  </si>
  <si>
    <t>DEDE ADLI</t>
  </si>
  <si>
    <t>MUHAMMAD SYAHLAN PUTRA FIRMANSYAH</t>
  </si>
  <si>
    <t>FARREN ARSYABIAN PRIBADI</t>
  </si>
  <si>
    <t>DHIANDRA ADHISHAKIRA</t>
  </si>
  <si>
    <t>NADILA ANANDA AHMAD</t>
  </si>
  <si>
    <t>FELIKHA ULA HUMAIMA</t>
  </si>
  <si>
    <t>DINDA MAHARANY AGUSTINE</t>
  </si>
  <si>
    <t>NATASYA PUTRI ANDRIANSYAH</t>
  </si>
  <si>
    <t>FARELL ROSY SAPUTRA</t>
  </si>
  <si>
    <t>FITRI ANGGRAENI</t>
  </si>
  <si>
    <t>NAURA HARWA ITANIA</t>
  </si>
  <si>
    <t>FASYA ADITTYA RAMADAN</t>
  </si>
  <si>
    <t>GABBY SHAFA KAYLA</t>
  </si>
  <si>
    <t>smater</t>
  </si>
  <si>
    <t>HAIKAL MOCHAMMAD RAFIE</t>
  </si>
  <si>
    <t>NAZLA NUR AZIJAH</t>
  </si>
  <si>
    <t>HANIIFAH AZIZAH SYAKIRAH</t>
  </si>
  <si>
    <t>HUMAIRA AZZAHRA RACHMANI</t>
  </si>
  <si>
    <t>QUEENSHA SHAKIELA RAYSHA RAHARJO</t>
  </si>
  <si>
    <t>JIHAN HAZNA NABILA</t>
  </si>
  <si>
    <t>JIAHRA LATIPA</t>
  </si>
  <si>
    <t>RAFFA AZHA ARSHAVIN</t>
  </si>
  <si>
    <t>LINTANG ARDANA RACHMAWAN</t>
  </si>
  <si>
    <t>JULYSYA KHOIRUN NISSA</t>
  </si>
  <si>
    <t>RANGGA MAULANA</t>
  </si>
  <si>
    <t>MALIKA KIRANA PUTRI WICAKSONO</t>
  </si>
  <si>
    <t>REAPRILIANO HIBATUL FAYYADH WARDHANA</t>
  </si>
  <si>
    <t>KARISSA OCTAVIANI</t>
  </si>
  <si>
    <t>MUHAMAD DHIVA MAULANA</t>
  </si>
  <si>
    <t>RESTIA MUTIARA PUTRI</t>
  </si>
  <si>
    <t>MUHAMAD DZULFIQAR</t>
  </si>
  <si>
    <t>KHALISHA IZNY ROBBANI</t>
  </si>
  <si>
    <t>RIVALDY AHMAD NOVEBIAN</t>
  </si>
  <si>
    <t>MUHAMAD FAIZ BASTIAN</t>
  </si>
  <si>
    <t>MOCHAMAD IQBAL APRILIYANDI</t>
  </si>
  <si>
    <t>SELLI PUTRI TARYANI</t>
  </si>
  <si>
    <t>MUHAMAD NENDY QUADRO IBRAHIM</t>
  </si>
  <si>
    <t>MOCHAMAD NAUFAL RAFA GHAZALAH</t>
  </si>
  <si>
    <t>SINDI PUSPITA HAMDAYANI</t>
  </si>
  <si>
    <t>MUHAMAD REYHAN FADILAH</t>
  </si>
  <si>
    <t>MUHAMMAD AZRI SAGARMATHA ANANDYA</t>
  </si>
  <si>
    <t>SULTAN RAMADHAN PANGESTU</t>
  </si>
  <si>
    <t>MUHAMAD RIDA FAUZUL M</t>
  </si>
  <si>
    <t>MUHAMMAD DHIFA LUKVI PUTRA</t>
  </si>
  <si>
    <t>SYAFA NAZWA CAHYANI</t>
  </si>
  <si>
    <t>MUHAMMAD RIFKI PRATAMA</t>
  </si>
  <si>
    <t>MUHAMMAD RAFFI NUR SHOPIAN</t>
  </si>
  <si>
    <t>SYAFA QISMAH FADHILAH</t>
  </si>
  <si>
    <t>MUHAMMAD RYAN NURDIANSYAH</t>
  </si>
  <si>
    <t>MUHAMMAD RAIHAN MAULA DZIKRA</t>
  </si>
  <si>
    <t>NAUFAL ARARYA SETA</t>
  </si>
  <si>
    <t>SYAKILA QUANEISHA SASIKIRANA</t>
  </si>
  <si>
    <t>MUHAMMAD RIZKI FAUZI PRIHADI</t>
  </si>
  <si>
    <t>NAYLA RAHMA FEBRIANA</t>
  </si>
  <si>
    <t>WILDAN MUHAMAD ILYANSYAH</t>
  </si>
  <si>
    <t>NAFISA HUSNIA FARHANI</t>
  </si>
  <si>
    <t>WISHAL AURELLIA ZAKIRAH</t>
  </si>
  <si>
    <t>PASHA RAMADHAN</t>
  </si>
  <si>
    <t>NOVIRA AMANDA PUTRI</t>
  </si>
  <si>
    <t>ZAKI ANWAR</t>
  </si>
  <si>
    <t>PUTRI DAMAYANTI</t>
  </si>
  <si>
    <t>NYIMAS QEYLASEPTRIANI</t>
  </si>
  <si>
    <t>RAIHAN ADNAN ALFARISI</t>
  </si>
  <si>
    <t>QUEENAYA DELIMA NURI</t>
  </si>
  <si>
    <t>RENDI SETIAWAN</t>
  </si>
  <si>
    <t>RAFFA LITTY</t>
  </si>
  <si>
    <t>STIVEN PETRA WIBAWA</t>
  </si>
  <si>
    <t>RAJJENDRA ADNEY WIRA WIHARJA</t>
  </si>
  <si>
    <t>TAQIUDIN DHAFA</t>
  </si>
  <si>
    <t>RIZKY ASTRI APRILIA</t>
  </si>
  <si>
    <t>ULFAH JARONAH</t>
  </si>
  <si>
    <t>RIZQI MADANI ISKANDAR</t>
  </si>
  <si>
    <t>VELISHA NUR VAHIRA TANJUNG</t>
  </si>
  <si>
    <t xml:space="preserve">                                                                                                                                                                                                                       </t>
  </si>
  <si>
    <t>SALSA SEPTIANI</t>
  </si>
  <si>
    <t>SALWA FREDERYCKA PUTRIDINANTI PANGGABEAN</t>
  </si>
  <si>
    <t>SHAFIRA CHRISNITA WIJAYA</t>
  </si>
  <si>
    <t>Dara Aprilla, M.Pd., Gr.</t>
  </si>
  <si>
    <t>SITI MARYAM</t>
  </si>
  <si>
    <t>NIP.199404192022212008</t>
  </si>
  <si>
    <t>UNARA ANDINI TRI KUSNADI</t>
  </si>
  <si>
    <t>ZHAFIRAH ZAHRA</t>
  </si>
  <si>
    <t>: XI 7</t>
  </si>
  <si>
    <t>ZIVIO SAEFUL AL-FIKRI</t>
  </si>
  <si>
    <t>Dadang Yulianto, S.Pd., Gr.</t>
  </si>
  <si>
    <t>NIP.198205052023211003</t>
  </si>
  <si>
    <t>ADRYANSYAH FIRZA RASYID</t>
  </si>
  <si>
    <t>: XII 9</t>
  </si>
  <si>
    <t>AFRIZA AULA FAUZAN</t>
  </si>
  <si>
    <t>ALESTA NUROKTA TIRANI</t>
  </si>
  <si>
    <t>ALETTA CALISTA PUTERI</t>
  </si>
  <si>
    <t>ALISYA FAKHARANI IMTINAN</t>
  </si>
  <si>
    <t>AFNAN RASHEED PARSA</t>
  </si>
  <si>
    <t>Mujibudin Sholeh, S.Pd.</t>
  </si>
  <si>
    <t>ANINDYA KIRANI LESTARI</t>
  </si>
  <si>
    <t>AILEEN SHAZIA FITRAHEPTIAS</t>
  </si>
  <si>
    <t>AMANDA DE PANI PUTRI</t>
  </si>
  <si>
    <t>ASTRI SETIA RAHAYU</t>
  </si>
  <si>
    <t>NIP.199604152025211116</t>
  </si>
  <si>
    <t>AVRILA NADIEN DWI UTAMI</t>
  </si>
  <si>
    <t>AZZAHRA APRILLIA GARNIDA</t>
  </si>
  <si>
    <t>ATTAYA RAHMA SABILLA</t>
  </si>
  <si>
    <t>AZZURA NAFISAH RADWA</t>
  </si>
  <si>
    <t>BAGUS HENDRA HARDIANSYAH</t>
  </si>
  <si>
    <t>BILQIZ LABIBA MUNIRA</t>
  </si>
  <si>
    <t>: X 7</t>
  </si>
  <si>
    <t>BISMA DWI HADI</t>
  </si>
  <si>
    <t>CHERRYL AL DZIKRA PUTRIDIPRADJA</t>
  </si>
  <si>
    <t>BUNGA SYAIRA</t>
  </si>
  <si>
    <t>DELIA SUCI SEPTIANI</t>
  </si>
  <si>
    <t>CALLYSTA SHASHIA KHANSA FIRDAUS</t>
  </si>
  <si>
    <t>DIVA ALI ALDWAN</t>
  </si>
  <si>
    <t>DIAN SAHDA PUTRI YULIANA</t>
  </si>
  <si>
    <t>DIHAN ARWIDINA ROSYID</t>
  </si>
  <si>
    <t>DZAKI NAUFAL FARSYA RAMDHAN</t>
  </si>
  <si>
    <t>ELVANDI ARDYANSYAH</t>
  </si>
  <si>
    <t>ERVAN PUTRA DWI RASPATI</t>
  </si>
  <si>
    <t>ADI WIGUNA</t>
  </si>
  <si>
    <t>FAATHIR FIRDAUS FREDERYCKO PANGGABEAN</t>
  </si>
  <si>
    <t>FACHRI FADHILAH RAMADHANI</t>
  </si>
  <si>
    <t>FAHRINA RAISYA HERMAWAN</t>
  </si>
  <si>
    <t>FAIZAL HARI RAHAYU</t>
  </si>
  <si>
    <t>ADIVA STARLLA RAHAYU</t>
  </si>
  <si>
    <t>HAUNA AZKIA SYAHIDA</t>
  </si>
  <si>
    <t>FAJAR YUSUF ZAELANI</t>
  </si>
  <si>
    <t>KHANSA FITRIA</t>
  </si>
  <si>
    <t>ALFATH SATRIANUR SALAM</t>
  </si>
  <si>
    <t>FILKI ALJUNI HIDAYAT</t>
  </si>
  <si>
    <t>LINGGA ALENTA</t>
  </si>
  <si>
    <t>ANINDITA SHALIHA</t>
  </si>
  <si>
    <t>FITRI SAUMA</t>
  </si>
  <si>
    <t>MAHESHA PRATAMA PUTRA</t>
  </si>
  <si>
    <t>AQIL LUQMANUL HAKIM</t>
  </si>
  <si>
    <t>HAIKAL HAZIARI RAMADHAN</t>
  </si>
  <si>
    <t>MUHAMAD AKBAR FAUZAN</t>
  </si>
  <si>
    <t>HAIKAL MAULANA</t>
  </si>
  <si>
    <t>MUHAMMAD AFWAN RIDLWAN</t>
  </si>
  <si>
    <t>AULIYA NURLATIFAH</t>
  </si>
  <si>
    <t>MUHAMMAD HAEKAL SETIAWAN</t>
  </si>
  <si>
    <t>HANASHILA PUTRI MAULANA</t>
  </si>
  <si>
    <t>BILL KHEDIRA FELDER</t>
  </si>
  <si>
    <t>MUHAMMAD ISYRAQI AKMAL ABDURRAUF</t>
  </si>
  <si>
    <t>JIHAN SHAKIRA SALSABILA</t>
  </si>
  <si>
    <t>CARISSA RAYNA PUTRI JANIKA</t>
  </si>
  <si>
    <t>MUHAMMAD NAHL WIJAYA</t>
  </si>
  <si>
    <t>KEYSHA SAFHARAZ FACHRURIANI</t>
  </si>
  <si>
    <t>MOCHAMMAD REYHAN ISKANDAR</t>
  </si>
  <si>
    <t>MUHAMMAD RIZAL FADILAH</t>
  </si>
  <si>
    <t>CHANTICA RAMADANIA</t>
  </si>
  <si>
    <t>MUHAMAD AKBAR ALBANI</t>
  </si>
  <si>
    <t>DEVI RAYNA PUSPITA</t>
  </si>
  <si>
    <t>REYNITA</t>
  </si>
  <si>
    <t>MUHAMAD DELVIRIZKI SUHENDAR</t>
  </si>
  <si>
    <t>DHEA LESMANA</t>
  </si>
  <si>
    <t>SALSA SABILA</t>
  </si>
  <si>
    <t>MUHAMAD JULIAN AZ-ZIKRI</t>
  </si>
  <si>
    <t>DIKA CAHYADI</t>
  </si>
  <si>
    <t>MUHAMMAD ADLY FAIRUS</t>
  </si>
  <si>
    <t>SALSABILA SYA'BANIYAH</t>
  </si>
  <si>
    <t>FANY SYABANI</t>
  </si>
  <si>
    <t>MUHAMMAD ANDIKA SUHANI</t>
  </si>
  <si>
    <t>GIRI</t>
  </si>
  <si>
    <t>SAUMA RAMADHANI</t>
  </si>
  <si>
    <t>MUHAMMAD FURQON ALAMSYAH</t>
  </si>
  <si>
    <t>GRESSYA SURYA KINANTI</t>
  </si>
  <si>
    <t>SHIRA KANAKA YESAULIA</t>
  </si>
  <si>
    <t>NAISA KANSYA GHAISANI AVIANTORO</t>
  </si>
  <si>
    <t>HAFIDZ RAHMAN MALIK</t>
  </si>
  <si>
    <t>NAYLA SYIFA GHAISANI MALAHATI</t>
  </si>
  <si>
    <t>SILVIA MAHARANI PUTRI</t>
  </si>
  <si>
    <t>HASNA KHAIRUNISSA</t>
  </si>
  <si>
    <t>REHAN</t>
  </si>
  <si>
    <t>IRGI HAFIDZ ABDURRAHMAN</t>
  </si>
  <si>
    <t>SRI LESTARI JUANITA</t>
  </si>
  <si>
    <t>REYNA MARSYA NURFAZRIAN</t>
  </si>
  <si>
    <t>JIHAN NOVITA</t>
  </si>
  <si>
    <t>SUCY WULANDARY</t>
  </si>
  <si>
    <t>SANIATI KISHA NURKOMARA</t>
  </si>
  <si>
    <t>KAYSAN MALIKI EKAPUTRA</t>
  </si>
  <si>
    <t>TRI PUTRA VERNANDO</t>
  </si>
  <si>
    <t>SENA NAIRANI</t>
  </si>
  <si>
    <t>KHAIRUL IHSAN</t>
  </si>
  <si>
    <t>VISIA AGERA BERLIANA</t>
  </si>
  <si>
    <t>KHALISHA KHANSA AQILA</t>
  </si>
  <si>
    <t>SILVI ANGELINA WIBAWA</t>
  </si>
  <si>
    <t>ZHAFIRA DYANDRA RAMADHANI</t>
  </si>
  <si>
    <t>KINGGARA RHADITYA SAPUTRA</t>
  </si>
  <si>
    <t>SISKA RETNA NURIJATI</t>
  </si>
  <si>
    <t>SYIFA NUR ROHMAH</t>
  </si>
  <si>
    <t>LUBNA LATHIFAH</t>
  </si>
  <si>
    <t>SYIFA NURAINI FADILAH</t>
  </si>
  <si>
    <t>MOCH RIZKY JANUWAR</t>
  </si>
  <si>
    <t>WIDYA DEVA</t>
  </si>
  <si>
    <t>MOHAMMAD BAGAS DANENDRA</t>
  </si>
  <si>
    <t>WILDIANSYAH FAUZAN AZHIMA</t>
  </si>
  <si>
    <t>MUHAMAD DZIKRI LUTFANDRA</t>
  </si>
  <si>
    <t>ZARA EVANA NAJLA</t>
  </si>
  <si>
    <t>MUHAMAD RAHADIAN IKHTIRA</t>
  </si>
  <si>
    <t>MUHAMMAD RIVALDO</t>
  </si>
  <si>
    <t>MULQI AZMI</t>
  </si>
  <si>
    <t>NABILA DIATI PUTRI</t>
  </si>
  <si>
    <t>Neneng Hesti H.N., M.Pd.</t>
  </si>
  <si>
    <t>NATASYA MULYA TRILIYANI</t>
  </si>
  <si>
    <t>NIP.196804131991032004</t>
  </si>
  <si>
    <t>NAZWA AULIA PUTRI</t>
  </si>
  <si>
    <t>NURUL ULFA PUTRI</t>
  </si>
  <si>
    <t>: XII 10</t>
  </si>
  <si>
    <t>QAF FAIZAN MUHAFIZ IRAWADI</t>
  </si>
  <si>
    <t>RISMA PUSPITA</t>
  </si>
  <si>
    <t>RIZAL FIRDAUS HILMAN</t>
  </si>
  <si>
    <t>SAEFUL RAMDANA</t>
  </si>
  <si>
    <t>ALMYRA BILQIS DAYANA PUTRI</t>
  </si>
  <si>
    <t>SASKIA PUTRI APANKA</t>
  </si>
  <si>
    <t>AMEILIA AGRIYANTI</t>
  </si>
  <si>
    <t>ANDHARA JELITA KUSMANALIA</t>
  </si>
  <si>
    <t>Fitri Chintia Dewi, S.Pd.</t>
  </si>
  <si>
    <t>SATRIA AHMAD AL-FARIZI</t>
  </si>
  <si>
    <t>ARHA RAHADIAN</t>
  </si>
  <si>
    <t>NIP.198905042025212189</t>
  </si>
  <si>
    <t>SINDY ANJANI JULIANTI</t>
  </si>
  <si>
    <t>AURA AZHAFIRA PUTRI AULIA</t>
  </si>
  <si>
    <t>AURALITA BILQIS SYAELINDA</t>
  </si>
  <si>
    <t>: XI 8</t>
  </si>
  <si>
    <t>SITI IZZA TAMIMAH RAMADHAN</t>
  </si>
  <si>
    <t>BERLIANA MAHARANI</t>
  </si>
  <si>
    <t>CHANTIKA MARIANA</t>
  </si>
  <si>
    <t>SULAEMAN ALFAKHRI</t>
  </si>
  <si>
    <t>SYIFA DIANNY SALSABILA</t>
  </si>
  <si>
    <t>DENNIS KEANDRE ADITAMA</t>
  </si>
  <si>
    <t>TALITA INDRIYANI</t>
  </si>
  <si>
    <t>DIANA SINDITIA</t>
  </si>
  <si>
    <t>ABELLA PUTRI RAMADHANIA</t>
  </si>
  <si>
    <t>WAFDA NAFAN RAHMAN</t>
  </si>
  <si>
    <t>ELSI SELVIANA</t>
  </si>
  <si>
    <t>EMBUN DIRANA PUTRI</t>
  </si>
  <si>
    <t>AKMAL FAKRULLAH RAMADHAN</t>
  </si>
  <si>
    <t>FALAH AULIA DEWANTARY</t>
  </si>
  <si>
    <t>ALISA PUTRI</t>
  </si>
  <si>
    <t>GHITHA KAMILAH NURUL AZMI</t>
  </si>
  <si>
    <t>ALVANO VIKO PESHATAMA</t>
  </si>
  <si>
    <t>GIETSA GIVA GENAYA</t>
  </si>
  <si>
    <t>ARILHA MITHA LATIFAH</t>
  </si>
  <si>
    <t>HAIDAR BASYIR RAMADHAN</t>
  </si>
  <si>
    <t>AZALEA JULIANA RIZKY</t>
  </si>
  <si>
    <t>JESIKA FEBRIANI</t>
  </si>
  <si>
    <t>BIMA PUTRA PRATAMA</t>
  </si>
  <si>
    <t>KALEB ALEXANDER TENDEAN</t>
  </si>
  <si>
    <t>DANI WILANTARA</t>
  </si>
  <si>
    <t>LUTFYA NAYLA FEBIANTY</t>
  </si>
  <si>
    <t>DIAN MAHARANI</t>
  </si>
  <si>
    <t>MANDALA ADHIE PERMANA</t>
  </si>
  <si>
    <t>Magdaniar br Hutabarat, S. Mat. Gr.</t>
  </si>
  <si>
    <t>DINDA KANIA DEWI</t>
  </si>
  <si>
    <t>MICHAEL EDWARD SANDER BUDIMAN</t>
  </si>
  <si>
    <t>NIP.199505092022212018</t>
  </si>
  <si>
    <t>FATHAN AQILA RIZKUBIANSYAH</t>
  </si>
  <si>
    <t>MOCHAMMAD RADIT IRGI ARAFAT</t>
  </si>
  <si>
    <t>MUHAMMAD SYAHRUL RAMDANI</t>
  </si>
  <si>
    <t>FAUZAN MUBAROK</t>
  </si>
  <si>
    <t>NABILAH NUR AINI</t>
  </si>
  <si>
    <t>GENDIS DAFIKA PRASETYO</t>
  </si>
  <si>
    <t>: X 8</t>
  </si>
  <si>
    <t>NAMIRA NISYYAH KAPUTRA</t>
  </si>
  <si>
    <t>GHOZY GHAISAN ATHALLAH</t>
  </si>
  <si>
    <t>RAFLI FEBRIAN</t>
  </si>
  <si>
    <t>HALIMATUSSA'DIAH RAMADHANI</t>
  </si>
  <si>
    <t>RAINY ADISTY RAHMASARI</t>
  </si>
  <si>
    <t>RASIO CESAR GHASSANI</t>
  </si>
  <si>
    <t>HILLEL ZARATHUSTRA ZUHRIE</t>
  </si>
  <si>
    <t>REZA APRIYANTO</t>
  </si>
  <si>
    <t>AFZAAL HAFIZ SURAHMAN</t>
  </si>
  <si>
    <t>IMAM SETIAWAN</t>
  </si>
  <si>
    <t>RIBBY ALMAQHVIRA NUR AISYAH</t>
  </si>
  <si>
    <t>LIYLA AMELYA PUTRI</t>
  </si>
  <si>
    <t>AGHA SIRHANUDIN</t>
  </si>
  <si>
    <t>SALMA QIRANI HERMAWAN</t>
  </si>
  <si>
    <t>MUHAMAD ABIDIN ZEIN</t>
  </si>
  <si>
    <t>ALFI FARIDA QURROTULA`INI</t>
  </si>
  <si>
    <t>SANTI ANGRAENI</t>
  </si>
  <si>
    <t>MUHAMMAD AFI NURILLAH</t>
  </si>
  <si>
    <t>ALIYA NAJWA ANNABEL</t>
  </si>
  <si>
    <t>SARAH SA'ADAH</t>
  </si>
  <si>
    <t>NABILA PUTRI</t>
  </si>
  <si>
    <t>ALMAHYRA ZARA BATRISYA</t>
  </si>
  <si>
    <t>TIEFANNY ANGGITA NOVIANTI</t>
  </si>
  <si>
    <t>NAIFA FADIA RIFAYA</t>
  </si>
  <si>
    <t>ANANDA FEBRIYANTI HERMAWAN</t>
  </si>
  <si>
    <t>X8</t>
  </si>
  <si>
    <t>ZAINI ABDUL ROHMAN</t>
  </si>
  <si>
    <t>NASYWA SABILA</t>
  </si>
  <si>
    <t>BAGAS ILHAM SAPUTRA</t>
  </si>
  <si>
    <t>DESI APRIANA</t>
  </si>
  <si>
    <t>NESYA JENIA PUTRI</t>
  </si>
  <si>
    <t>DHAFINA WIDYA RAMADHANI</t>
  </si>
  <si>
    <t>PUTRI LAURA LETISYA</t>
  </si>
  <si>
    <t>DINDA FAUZIAH SULISTIO</t>
  </si>
  <si>
    <t>QUANEISHA EKA RAMDHANI</t>
  </si>
  <si>
    <t>FAHRIE LUTFIE PRATAMA</t>
  </si>
  <si>
    <t>RACHEL CHINDAGAMANDANI PRATGIAR</t>
  </si>
  <si>
    <t>FAJAR FAEYZA YULIANA</t>
  </si>
  <si>
    <t>RADITYA RAMADHAN</t>
  </si>
  <si>
    <t>FUTRY NURJANAH</t>
  </si>
  <si>
    <t>RAHMAT SETIA BUDI</t>
  </si>
  <si>
    <t>GHIFARI ARIZAN PUTRA ARIFIN</t>
  </si>
  <si>
    <t>RASYA SAPUTRA</t>
  </si>
  <si>
    <t>HASNA HALIMATUSYA`DIAH</t>
  </si>
  <si>
    <t>REFI MEISYAH REZA</t>
  </si>
  <si>
    <t>ILHAM RABBANI GUNAWAN</t>
  </si>
  <si>
    <t>KALIQ NATHIFA AZKA</t>
  </si>
  <si>
    <t>RIO PUTRA PRATAMA</t>
  </si>
  <si>
    <t>Dinni Khairunnisa, S.Pd.</t>
  </si>
  <si>
    <t>KEMAL RASYA FADILLAH HERMAWAN</t>
  </si>
  <si>
    <t>RONI FIRMANSYAH</t>
  </si>
  <si>
    <t xml:space="preserve">Muflihana Imanisa, S.Pd., Gr. </t>
  </si>
  <si>
    <t>NIP.199208022022212012</t>
  </si>
  <si>
    <t>KHAIRUL AL-RAZZAQ PUTRA KUSWENDY</t>
  </si>
  <si>
    <t xml:space="preserve">NIP. 199208262022212009 </t>
  </si>
  <si>
    <t>SATRIA ARKA PRATAMA</t>
  </si>
  <si>
    <t>SEPTI PUSPITA DEWI</t>
  </si>
  <si>
    <t>KHANZA NAILAH ANINDA PURNAMA</t>
  </si>
  <si>
    <t>: XII 11</t>
  </si>
  <si>
    <t>SHAVA AURINDA</t>
  </si>
  <si>
    <t>LUTHER TIMOTIUS SITANGGANG</t>
  </si>
  <si>
    <t>SUCI MAHARANI KUSUMAH</t>
  </si>
  <si>
    <t>SYAHNAZ ANDINI QUROTA AYUN</t>
  </si>
  <si>
    <t>M RIZKI RAMADHAN</t>
  </si>
  <si>
    <t>TIARA AULIA PUTRI</t>
  </si>
  <si>
    <t>MOHAMMED DIAR AL FATHAR</t>
  </si>
  <si>
    <t>ADINDA FIRZADYA MANSYUR</t>
  </si>
  <si>
    <t>VIENY APRILIA AZWAD</t>
  </si>
  <si>
    <t>MOHAMMED DIAZ AL FATHIR</t>
  </si>
  <si>
    <t>ADZFAR YUDHANAGARA JAYAPRAJA</t>
  </si>
  <si>
    <t>YANWAR FARRAS KAUTSAR</t>
  </si>
  <si>
    <t>MOZZA AMELIA PUTRI</t>
  </si>
  <si>
    <t>AZZURA ALIFIAH SHALSYABILA</t>
  </si>
  <si>
    <t>YERIKO SAKTIYAWAN</t>
  </si>
  <si>
    <t>MUHAMAD FIQRI RAMADHAN</t>
  </si>
  <si>
    <t>DIBA ADINDA TIYANI</t>
  </si>
  <si>
    <t>MUHAMMAD EIDSEN PIRLO PUTRA RAYHAN</t>
  </si>
  <si>
    <t>YUDHA DESTA PRATAMA</t>
  </si>
  <si>
    <t>DWIE NAZHWA ALFALISSA</t>
  </si>
  <si>
    <t>MUHAMMAD FAIZ RAIS RASYID</t>
  </si>
  <si>
    <t>ZALFA NADHIRA MUDHIARDI</t>
  </si>
  <si>
    <t>EXCEL PRATAMA PUTRA MEDHY</t>
  </si>
  <si>
    <t>MUHAMMAD FARIZ ALBARI</t>
  </si>
  <si>
    <t>FADLAN ADITYA</t>
  </si>
  <si>
    <t>MUHAMMAD NIZAR AROHMAN</t>
  </si>
  <si>
    <t>FADLI VADILAH SAPUTRA</t>
  </si>
  <si>
    <t>FAJRIAN GUMELAR</t>
  </si>
  <si>
    <t>MUHAMMAD NIZZAM MIKHROJUDIN SYIHAB</t>
  </si>
  <si>
    <t>FAKHRI THAMRIN ARIFIN</t>
  </si>
  <si>
    <t>NABILA KARIN FAIZA</t>
  </si>
  <si>
    <t>FERDIANSAH</t>
  </si>
  <si>
    <t>NAJWA NUR DZIKRIA</t>
  </si>
  <si>
    <t>JASICA FITRI</t>
  </si>
  <si>
    <t>ZAHIRA AL ABIDA</t>
  </si>
  <si>
    <t>JIHAN ALIFYA AZ-ZAHRA</t>
  </si>
  <si>
    <t>NOVIA PUTRI ISNAENI</t>
  </si>
  <si>
    <t>KANIRA RAMPAK MAYESA</t>
  </si>
  <si>
    <t>RAHMA NOER AINA</t>
  </si>
  <si>
    <t>KARLINA AGUSTIN</t>
  </si>
  <si>
    <t>RIZKY ZULFIKAR</t>
  </si>
  <si>
    <t>KAYLA RABBANI</t>
  </si>
  <si>
    <t>SALMA NAFISHA NURISKY</t>
  </si>
  <si>
    <t>KHANZA ANINDYA PUTRI SUKMAYA</t>
  </si>
  <si>
    <t>SAMUEL BENNY JUNIOR FRITZ WIBOWO</t>
  </si>
  <si>
    <t>LUTFI ARIANSYAH</t>
  </si>
  <si>
    <t xml:space="preserve"> Sri Wahyuningsih, S.Pd.</t>
  </si>
  <si>
    <t>MARSYA SUCI AGUSTIN</t>
  </si>
  <si>
    <t>SELPIA MAULIDA</t>
  </si>
  <si>
    <t>NIP.199703162025212118</t>
  </si>
  <si>
    <t>MEGA ALIA</t>
  </si>
  <si>
    <t>SHAHNAZ PUTRI ASYIFA</t>
  </si>
  <si>
    <t>MIKAIL EVAN SHANUBARY SAMUDERA</t>
  </si>
  <si>
    <t>SITI NURHALIZAH</t>
  </si>
  <si>
    <t>: XI 9</t>
  </si>
  <si>
    <t>MUHAMAD RIZQI AFRIZAL</t>
  </si>
  <si>
    <t>SYIFA REGINA PUTRI</t>
  </si>
  <si>
    <t>MUHAMMAD RAAFI INDAKUSUMAH</t>
  </si>
  <si>
    <t>MUHAMMAD RASYA AL-AFGHANI</t>
  </si>
  <si>
    <t>TINA TALISA MIRANDA</t>
  </si>
  <si>
    <t>MUTIA ZAHRA</t>
  </si>
  <si>
    <t>ZACKY MOCH. AL-GHOVIQ</t>
  </si>
  <si>
    <t>ADINDA NAYSILA DWI PUTRI S</t>
  </si>
  <si>
    <t>NADIA PURNAMA DEWI</t>
  </si>
  <si>
    <t>ZAHRA SALSABILA MYNE</t>
  </si>
  <si>
    <t>NANDA NUR'AINI</t>
  </si>
  <si>
    <t>ALIYA ALKIEZHA MIFTAHFAUZIAH</t>
  </si>
  <si>
    <t>NAZMIILA AULIA RASYID</t>
  </si>
  <si>
    <t>AMANDA REZKYTA NAWAWI</t>
  </si>
  <si>
    <t>PAWISTRI ASRI MULYANINGTYAS</t>
  </si>
  <si>
    <t>AMELIA LIANI</t>
  </si>
  <si>
    <t>PURWA CAKRA GUMELAR SUKMADAMARA</t>
  </si>
  <si>
    <t>ANDHIKA PUTRA SUNJAYA</t>
  </si>
  <si>
    <t>ROBBY SATRIO</t>
  </si>
  <si>
    <t>ANESQUE FARRAS QUEENSHA</t>
  </si>
  <si>
    <t>SAARAH KAMILLAH YUSUP</t>
  </si>
  <si>
    <t>ARRASYA VALENTINA FEBRIANY</t>
  </si>
  <si>
    <t>SAMUEL PRATAMA SUKMA MULALINDA</t>
  </si>
  <si>
    <t>AULYA NUGRAHA</t>
  </si>
  <si>
    <t>SYAVIRA WILYA PUTRI</t>
  </si>
  <si>
    <t>AURA LATHISA PUTRI SAFTHARI</t>
  </si>
  <si>
    <t>ZACKY ALMEIDA RIZKY NUROHMAN</t>
  </si>
  <si>
    <t>AZZAM SULAIMAN</t>
  </si>
  <si>
    <t>Ani Winarti, S.Pd., Gr</t>
  </si>
  <si>
    <t>NIP. 197902102024212008</t>
  </si>
  <si>
    <t>CANDRA ADITYA</t>
  </si>
  <si>
    <t>CHIRAN NURSY BADI UZZAMAN</t>
  </si>
  <si>
    <t>: X 9</t>
  </si>
  <si>
    <t>DIAN TRIMURTI</t>
  </si>
  <si>
    <t>DINI INDRIYANI</t>
  </si>
  <si>
    <t>DZAKIYAH RAFIFAH ARTANTI SETIAWAN</t>
  </si>
  <si>
    <t>AGIL ABDUL RIZIK</t>
  </si>
  <si>
    <t>ELVAN MARDIKA</t>
  </si>
  <si>
    <t>AINI GARDINA</t>
  </si>
  <si>
    <t>FADRIAN ALFARREZA FAWWAZI</t>
  </si>
  <si>
    <t>Tuti Artiyanti, S.Pd.</t>
  </si>
  <si>
    <t>AKBAR HADIF FAUZI</t>
  </si>
  <si>
    <t>FAHMI JUMANA PUTRA</t>
  </si>
  <si>
    <t>NIP.197101152023212001</t>
  </si>
  <si>
    <t>ALDI SETIAWAN</t>
  </si>
  <si>
    <t>FARIZKY MUHAMMAD NAZWAR</t>
  </si>
  <si>
    <t>ALYSHA CLARYNTA RATU ARIKHA</t>
  </si>
  <si>
    <t>FATHAN JANITRA ALKHALIFI</t>
  </si>
  <si>
    <t>ANDIKA PUTRA SENJAYA</t>
  </si>
  <si>
    <t>FEBISKA DEALADYN</t>
  </si>
  <si>
    <t>ARUNI NISWAH AZLIA</t>
  </si>
  <si>
    <t>IIS SITI MAEMUNAH</t>
  </si>
  <si>
    <t>ASHABUL KAHFI GAZA AL FATTAH</t>
  </si>
  <si>
    <t>ISMA FEBRIYANTI</t>
  </si>
  <si>
    <t>AZKA NABILA SYAKIRA PRATAMA</t>
  </si>
  <si>
    <t>JUAN PUTRA DWI PRAYOGA</t>
  </si>
  <si>
    <t>CHANDRA OKTAVIAN PUTRA ATMODJO</t>
  </si>
  <si>
    <t>KARISA PUTRI MAULIDAH</t>
  </si>
  <si>
    <t>CHIERA RABIYA AYANA MAMANGKEY</t>
  </si>
  <si>
    <t>KIKI MAHDAR</t>
  </si>
  <si>
    <t>KINANTI KANIA PUTRI</t>
  </si>
  <si>
    <t>CHOROLIES SYIFFA AURELLIA</t>
  </si>
  <si>
    <t>MESA OKTAVIANI PUTRI</t>
  </si>
  <si>
    <t>DEEAZ AKBAR KURNIAWAN</t>
  </si>
  <si>
    <t>MUHAMMAD HILMI SYAHIRAN</t>
  </si>
  <si>
    <t>MUHAMMAD NAJID RAISYAHPUTRA</t>
  </si>
  <si>
    <t>DELLYSYA PUTRI NATASYA</t>
  </si>
  <si>
    <t>MUHAMMAD ROBI PIL SAPUTRA</t>
  </si>
  <si>
    <t>DEVITA DIANDRA ZAHIRAH</t>
  </si>
  <si>
    <t>MUTIARA AZ ZAHRA</t>
  </si>
  <si>
    <t>FARRAS AFDHAL KENAS</t>
  </si>
  <si>
    <t>NABILA SOVIANTI</t>
  </si>
  <si>
    <t>FATHIYYA AZZARA QUEEN SHAFA EDWARD</t>
  </si>
  <si>
    <t>NADIA SALSABILA</t>
  </si>
  <si>
    <t>HILDA FAUZIYAH NURRAHMI</t>
  </si>
  <si>
    <t>NADINE OZORA BATUBARA</t>
  </si>
  <si>
    <t>IQLIMA HASYIM NI`MATUROHMAH</t>
  </si>
  <si>
    <t>NUR HALIMAH</t>
  </si>
  <si>
    <t>KHALISA LAVINIA ZAFIRA</t>
  </si>
  <si>
    <t>PUTRI KAMILAH</t>
  </si>
  <si>
    <t>LAILAA ZALFAA KAAMILIYYA</t>
  </si>
  <si>
    <t>RAYYAN MOHAMMED CALIPH</t>
  </si>
  <si>
    <t>LEDYANA AURELIA RAHARSYA</t>
  </si>
  <si>
    <t>RIDVANSYAH</t>
  </si>
  <si>
    <t>LEVIRA OCTHA CAHAYA BUDHI</t>
  </si>
  <si>
    <t>RIFA CHAYARA ALIMA</t>
  </si>
  <si>
    <t>MARINI DWINYNA</t>
  </si>
  <si>
    <t>RIFKI FADLIANSYAH</t>
  </si>
  <si>
    <t>MEGA MULYANI</t>
  </si>
  <si>
    <t>RUDI NURDIANSYAH</t>
  </si>
  <si>
    <t>MOCHAMAD ABHIZAR NURDIANSYAH</t>
  </si>
  <si>
    <t>SEKAR ANDINI</t>
  </si>
  <si>
    <t>MOCHAMAD ARJUNA PRIA GALUH</t>
  </si>
  <si>
    <t>SYAKIRA MARSYA AL GHUFRANI</t>
  </si>
  <si>
    <t>MOHAMAD SEPTIANA</t>
  </si>
  <si>
    <t>MUHAMAD ZAHRAN AL FAWWAZ</t>
  </si>
  <si>
    <t>MUHAMMAD FAHRI HIDAYAT</t>
  </si>
  <si>
    <t>MUHAMMAD GHAVINLEVI VALERIAN AKBAR</t>
  </si>
  <si>
    <t>MUHAMMAD ILHAM SAPUTRA</t>
  </si>
  <si>
    <t>NUR ANNISA SAEPUDIN</t>
  </si>
  <si>
    <t>NYIMAS AINUN RADEN AYU</t>
  </si>
  <si>
    <t>PANJI SATRIA PUTRA</t>
  </si>
  <si>
    <t>QOTRUNNADA</t>
  </si>
  <si>
    <t>RADEN ANINDYA ADISTI HANIPRADJA</t>
  </si>
  <si>
    <t>Fera Fadlilah Nurzaman, S.Pd., Gr.</t>
  </si>
  <si>
    <t>NIP. 199811122025212089</t>
  </si>
  <si>
    <t>RAIPHA AZEMA FEBRUARY</t>
  </si>
  <si>
    <t>RAMADHAN GUSTIAN HARIYANSYAH</t>
  </si>
  <si>
    <t>: XI 10</t>
  </si>
  <si>
    <t>RAMZY MEINENDI</t>
  </si>
  <si>
    <t>RAYHAN FADHIL LATIEF</t>
  </si>
  <si>
    <t>REYVAN ADITYA RAMADHAN</t>
  </si>
  <si>
    <t>RIZA ABDUL AZIZ</t>
  </si>
  <si>
    <t>ADELIA ZAHRA</t>
  </si>
  <si>
    <t>SAKTIA LUTFAN PUTRA PRATAMA</t>
  </si>
  <si>
    <t>ADRIAN SAPUTRA</t>
  </si>
  <si>
    <t>SANDI JANWAR</t>
  </si>
  <si>
    <t>AISA GANIA PUTRI SOLIHA</t>
  </si>
  <si>
    <t>ALQHIZA QHIRASYA LESMANA</t>
  </si>
  <si>
    <t>SATRIA MULYA PERKASA</t>
  </si>
  <si>
    <t>AURELIA AZZAHRA WAHYUDI</t>
  </si>
  <si>
    <t>SHIREEN AISYAH</t>
  </si>
  <si>
    <t>AWANGGA RIKSA NURZATI</t>
  </si>
  <si>
    <t>SINTA FITRIANI RUKMANA</t>
  </si>
  <si>
    <t>AZAHRA KHOIRUNNISA</t>
  </si>
  <si>
    <t>AZWAN FAIZA MAULANA</t>
  </si>
  <si>
    <t>BAYU</t>
  </si>
  <si>
    <t>CINDY PRISILIA</t>
  </si>
  <si>
    <t>DASTAN ARKANANTA PRIBADI</t>
  </si>
  <si>
    <t>DENDI JUARDI</t>
  </si>
  <si>
    <t>DIAZ SYAFA AZZAHRA</t>
  </si>
  <si>
    <t>ELVA YULYANTI</t>
  </si>
  <si>
    <t>Rossi Indriati, S.Sn., Gr.</t>
  </si>
  <si>
    <t>FASYAH PERASETIYA FADILAH</t>
  </si>
  <si>
    <t>NIP. 197702162022212007</t>
  </si>
  <si>
    <t>FAUZI NUR RAMADHAN</t>
  </si>
  <si>
    <t>: X 10</t>
  </si>
  <si>
    <t>FUJAS TUTI SALSABIL</t>
  </si>
  <si>
    <t>GHAISANI HAFILAH</t>
  </si>
  <si>
    <t>HAERANI NURROHMAH</t>
  </si>
  <si>
    <t>HAFIFA ULFAH</t>
  </si>
  <si>
    <t>ADRIAN JULIANSYAH</t>
  </si>
  <si>
    <t>JESIKA ANATASYA</t>
  </si>
  <si>
    <t>AL RUBY RASKHA SIRAS</t>
  </si>
  <si>
    <t>JUNIOR AHMAD REZKY PARENTA</t>
  </si>
  <si>
    <t>ANNASYA THIRTA JULIA CHANDRA</t>
  </si>
  <si>
    <t>KENSYA AULYA SEPTIANI</t>
  </si>
  <si>
    <t>ARKAAN AIMAN CANDELA</t>
  </si>
  <si>
    <t>MUHAMAD ARFA ROMADHONA</t>
  </si>
  <si>
    <t>ASKIA NURUL HIDAYAH</t>
  </si>
  <si>
    <t>MUHAMAD THORIQ AL FAJRI</t>
  </si>
  <si>
    <t>AZHAR IBNU HAKIM</t>
  </si>
  <si>
    <t>NATHAN FETRA BANUPRAKAS</t>
  </si>
  <si>
    <t>AZKA FATURRAKHMAN PUTRA</t>
  </si>
  <si>
    <t>AZZAM MUHAMMAD ADLII LATHIF</t>
  </si>
  <si>
    <t>RADIN HALIMAN</t>
  </si>
  <si>
    <t>BIANCA NAOMI JANEVA</t>
  </si>
  <si>
    <t>RENDI RAHMAN</t>
  </si>
  <si>
    <t>CITRA MEISYA SAPUTRI</t>
  </si>
  <si>
    <t>RIMBUN NUR HASANAH</t>
  </si>
  <si>
    <t>DEWANGSA ARDANA RACHMAWAN</t>
  </si>
  <si>
    <t>ERLANGGA</t>
  </si>
  <si>
    <t>ROBBY AHMAD KURNIADI</t>
  </si>
  <si>
    <t>ROBBY BUANSYAH</t>
  </si>
  <si>
    <t>EVI SITI SOFIYAH</t>
  </si>
  <si>
    <t>SAKHI ADNAN NASHIF</t>
  </si>
  <si>
    <t>FAKHRIZKY JIBRIL ALFAYYADH</t>
  </si>
  <si>
    <t>SALWA NUR SALSABILA</t>
  </si>
  <si>
    <t>KALINGGA DEWI SYAHRATRI</t>
  </si>
  <si>
    <t>SARAH FAZIRA NAFISAH</t>
  </si>
  <si>
    <t>KEI JOSEPH ZINAN GHAZANFAAR</t>
  </si>
  <si>
    <t>SEBY SEBASTIAN PITT</t>
  </si>
  <si>
    <t>KEITZA FATIHATUL IHSAN</t>
  </si>
  <si>
    <t>SELLIN MARLINA</t>
  </si>
  <si>
    <t>KEIZA NADIRA AYU</t>
  </si>
  <si>
    <t>KHALISA MAULIDINA AZMI</t>
  </si>
  <si>
    <t>SHAFIRA RAYSHA PUTRI</t>
  </si>
  <si>
    <t>KHARISA KARIMA</t>
  </si>
  <si>
    <t>SHYNTYA AYUNING TYAS RAMADHANI</t>
  </si>
  <si>
    <t>MARSYA FAJARINA</t>
  </si>
  <si>
    <t>SITI AQILAH ZAHIRAH</t>
  </si>
  <si>
    <t>MUHAMMAD AZKA FAUZAN</t>
  </si>
  <si>
    <t>MUHAMMAD AZRIEL FAUZI</t>
  </si>
  <si>
    <t>SITI NUR HASANAH</t>
  </si>
  <si>
    <t>MUHAMMAD TOPAN RAMADHAN</t>
  </si>
  <si>
    <t>SRI NUR SYABANIAH</t>
  </si>
  <si>
    <t>MUHAMMAD ZIKRI RIYADHI</t>
  </si>
  <si>
    <t>VANICHA RYSNA RACHMADIANI</t>
  </si>
  <si>
    <t>NAIMADA ARGYA FREDELLA</t>
  </si>
  <si>
    <t>ZAKIA WIDIASTUTI</t>
  </si>
  <si>
    <t>NAURA TAQIYYAH AL ARIFAH</t>
  </si>
  <si>
    <t>ZANEETA SACHIKIRANA</t>
  </si>
  <si>
    <t>NAYLA BERLIANA FIRMANSYAH</t>
  </si>
  <si>
    <t>NAYMA RENGGANIS RATNA MUSTIKA</t>
  </si>
  <si>
    <t>NAZWA SAFARINA</t>
  </si>
  <si>
    <t>RAISYA SAFYMEIRA SOPIAN</t>
  </si>
  <si>
    <t>RAKA PUTRA JUAN PRATAMA</t>
  </si>
  <si>
    <t>RASYA ADITYA WIGUNA</t>
  </si>
  <si>
    <t>REYNARD RAMADHAN WIJAYA</t>
  </si>
  <si>
    <t>RIFDAH MUMTAZ ALIA MUSA</t>
  </si>
  <si>
    <t>SACHIO ZAHIR HERAWAN</t>
  </si>
  <si>
    <t>SITI WULANDARI</t>
  </si>
  <si>
    <t>TRIPANDYA PRABU ADININGRAT</t>
  </si>
  <si>
    <t>VIVII REGNY RUBYGHANIYA</t>
  </si>
  <si>
    <t>Nuryati Yuli Wardani, S.Pd.</t>
  </si>
  <si>
    <t>ZAHIRA RAYHANA FAUZIAH</t>
  </si>
  <si>
    <t>NIP. 199107192024212028</t>
  </si>
  <si>
    <t>: XI 11</t>
  </si>
  <si>
    <t>Zhani Sri Rahayunika, S.Pd.</t>
  </si>
  <si>
    <t>NIP.199601262025212104</t>
  </si>
  <si>
    <t>AISHA CANTIKA PUTRI WIGUNA</t>
  </si>
  <si>
    <t>: X 11</t>
  </si>
  <si>
    <t>ALIF CANDRA ARDIANSYAH</t>
  </si>
  <si>
    <t>AMALIA DESTIANA</t>
  </si>
  <si>
    <t>ABIGAIL DAVIN SETIA ZULFIAN</t>
  </si>
  <si>
    <t>ANGGIT GUMILAR MURJANI</t>
  </si>
  <si>
    <t>ABRAR AHMAD ABRIALE</t>
  </si>
  <si>
    <t>ARYA AJI GHOPARANA</t>
  </si>
  <si>
    <t>ADELLIA PUTRI DESTIANTI</t>
  </si>
  <si>
    <t>AZZAHRA BRILLIANITA ISNAIN HIDAYAT</t>
  </si>
  <si>
    <t>ADILA IKA PERTIWI</t>
  </si>
  <si>
    <t>CALLYSTA DZAKIYATUNNISA</t>
  </si>
  <si>
    <t>AIFA YUNIA PUTRI SANTIKA</t>
  </si>
  <si>
    <t>CARISSA FIDELYA PUTRI</t>
  </si>
  <si>
    <t>ALKHA ARDITIAN FITRAHI WIBISANA</t>
  </si>
  <si>
    <t>DESI CAHAYA PUTRI</t>
  </si>
  <si>
    <t>ALMIRA NUR HANIFAH</t>
  </si>
  <si>
    <t>DIRHAM AURORA BACHARI</t>
  </si>
  <si>
    <t>ANANDA ELVAN ALFALAH</t>
  </si>
  <si>
    <t>ELLEN FUJI YANA</t>
  </si>
  <si>
    <t>ANINDYA INDRIYANI</t>
  </si>
  <si>
    <t>ELSA NOER SA'DIYAH</t>
  </si>
  <si>
    <t>ARFAN FADILAH AL IKHWAN</t>
  </si>
  <si>
    <t>AYOUTA AZAHRA</t>
  </si>
  <si>
    <t>FADZILA AURELIA GINALIH</t>
  </si>
  <si>
    <t>AZZAHRA KHAIRUNNISA</t>
  </si>
  <si>
    <t>GHITA AULIA NURHALISYAH</t>
  </si>
  <si>
    <t>BIYAN DRIYANA RIZKULLOH</t>
  </si>
  <si>
    <t>HIBBAN ALLAM RABBANI</t>
  </si>
  <si>
    <t>DABITH PUTRA ANUGRAH</t>
  </si>
  <si>
    <t>KEYLA REGINA EKSA PUTRI</t>
  </si>
  <si>
    <t>DAMYAN GHANIY RAZZAQ</t>
  </si>
  <si>
    <t>KEYSA RENJANI</t>
  </si>
  <si>
    <t>DAVINA ASLA JIHAN</t>
  </si>
  <si>
    <t>MUHAMMAD TAJRI WIRASIDIQ</t>
  </si>
  <si>
    <t>ELSA EDWINA PUTRI</t>
  </si>
  <si>
    <t>MUHAMAD ADI WIJAYA KUSUMAH</t>
  </si>
  <si>
    <t>FAHRI FATUROHIM</t>
  </si>
  <si>
    <t>MUHAMMAD DHIA MUFLIH HARDIAN</t>
  </si>
  <si>
    <t>FAITH NATHAN MUHAMMAD</t>
  </si>
  <si>
    <t>MUHAMMAD FAWWAZ AQIL HIBATULLAH</t>
  </si>
  <si>
    <t>MUHAMMAD NAZRYL ALIM</t>
  </si>
  <si>
    <t>FEBRIYANA AL GHOZI</t>
  </si>
  <si>
    <t>MUHAMMAD RIZAL NURFALLAH</t>
  </si>
  <si>
    <t>MUHAMMAD ZAHRAN BAIHAQI ADZ-DZAKIR</t>
  </si>
  <si>
    <t>HANIIFAH AZIZAH SAFIRAH</t>
  </si>
  <si>
    <t>HILAL SHAKTIAWAN</t>
  </si>
  <si>
    <t>NADIA NURAENI</t>
  </si>
  <si>
    <t>KARENI SUKMANA SABILILLAH</t>
  </si>
  <si>
    <t>NAYLA NURRAHMA AULIA PUTRI</t>
  </si>
  <si>
    <t>KEANU ARDHANA</t>
  </si>
  <si>
    <t>NURHASANAH APRILLIANI</t>
  </si>
  <si>
    <t>KENISA MAHARANI HAKIM</t>
  </si>
  <si>
    <t>NURMALA SARI</t>
  </si>
  <si>
    <t>KIARA PUTRI ANJANI</t>
  </si>
  <si>
    <t>PUSPITA ADE PUTRI</t>
  </si>
  <si>
    <t>RADIT ADITHYA PRATAMA</t>
  </si>
  <si>
    <t>LARKA HAFIDZ JOVANSYAH</t>
  </si>
  <si>
    <t>REFAN FIRJATULLAH RAMADHAN</t>
  </si>
  <si>
    <t>LIONELL MATHEW KARONGKONG</t>
  </si>
  <si>
    <t>RESTANIA NURUL AFIFAH</t>
  </si>
  <si>
    <t>RIZKA WIDI AMALIA</t>
  </si>
  <si>
    <t>MOHAMAD SALMAN SATRIAJI</t>
  </si>
  <si>
    <t>RUMAISHA ZAHRA HADI</t>
  </si>
  <si>
    <t>MUHAMMAD AZRIEL ANUGRAH B.</t>
  </si>
  <si>
    <t>SALWATUN'AISY QODARIAH</t>
  </si>
  <si>
    <t>MUHAMMAD ROBBY FAIZAL</t>
  </si>
  <si>
    <t>SATRIA RAMADAN ABDILAH</t>
  </si>
  <si>
    <t>NAZRIL FATAHILAH ANDREIA</t>
  </si>
  <si>
    <t>SAYKHAN RIZKI</t>
  </si>
  <si>
    <t>NAZWA SALSADILA LESTARI</t>
  </si>
  <si>
    <t>SYIFA ZAHIRA PUTRI</t>
  </si>
  <si>
    <t>NOVASYA DIRAWAN</t>
  </si>
  <si>
    <t>TANZILA SAPUTRA</t>
  </si>
  <si>
    <t>PANCA SYABANI MANDANI PUTRA</t>
  </si>
  <si>
    <t>TARAFA HASIB ALBAQAYLAN</t>
  </si>
  <si>
    <t>PUTRI FANILARISA ZAHWA</t>
  </si>
  <si>
    <t>TIARA DWI LESTARI</t>
  </si>
  <si>
    <t>RACHMAT ANUGRAH</t>
  </si>
  <si>
    <t>TUTI LAELA NURAENI</t>
  </si>
  <si>
    <t>RAFFI MULIA AL GHANI SUDIBYO</t>
  </si>
  <si>
    <t>VIENA MEYSHA ANDARA</t>
  </si>
  <si>
    <t>REVA ANANDA NUGRAHA</t>
  </si>
  <si>
    <t>ZAHRA GETSA SANDRA PUTRI</t>
  </si>
  <si>
    <t>REVAN SAPUTRA NIRWAN</t>
  </si>
  <si>
    <t>RIZQY PUTRA PRATAMA</t>
  </si>
  <si>
    <t>SALMA NABILLA RAHMA</t>
  </si>
  <si>
    <t>SARAH SELLOMITHA PAIDUN</t>
  </si>
  <si>
    <t>SHARLLA ANINDYA EYLA SAGIN</t>
  </si>
  <si>
    <t>SITI NAZLA HILALIYYAH</t>
  </si>
  <si>
    <t>SYIFA CAHYA YULIAN</t>
  </si>
  <si>
    <t>WAFFA ZIYADATUL HUSNA</t>
  </si>
  <si>
    <t>WILDAN SEPTIAJAYA RAMADHAN</t>
  </si>
  <si>
    <t xml:space="preserve"> Debby Nur Kamilah, S.Pd</t>
  </si>
  <si>
    <t>NIP.199501292024212031</t>
  </si>
  <si>
    <t>: XI 12</t>
  </si>
  <si>
    <t xml:space="preserve"> Irvia Mariza, S.Pd.</t>
  </si>
  <si>
    <t xml:space="preserve">NIP. 199207032022212005 </t>
  </si>
  <si>
    <t>AIRA SHAKILA</t>
  </si>
  <si>
    <t>: X 12</t>
  </si>
  <si>
    <t>ALINE ALICIA</t>
  </si>
  <si>
    <t>ANANDA YASSA RAIQFAN DACHY</t>
  </si>
  <si>
    <t>ANDITHA CARISSA KENCANA</t>
  </si>
  <si>
    <t>AISHA MAKAILA SHAFIRA</t>
  </si>
  <si>
    <t>ANNISA EIDYIA RIZQIANY</t>
  </si>
  <si>
    <t>ALVIANA PUTRI DARMAWAN</t>
  </si>
  <si>
    <t>AZRIEL SUHUD MUBAROKH</t>
  </si>
  <si>
    <t>ANISA AGUSTINA</t>
  </si>
  <si>
    <t>ARBY RAMADHAN SOPIAN</t>
  </si>
  <si>
    <t>CHEIRAN YASIFA ARDIYANSAH</t>
  </si>
  <si>
    <t>ARIEN ARYANTI FAUZAN</t>
  </si>
  <si>
    <t>CIARA NIZA CHANTIKA</t>
  </si>
  <si>
    <t>ARYA RIZQ RAFIIF</t>
  </si>
  <si>
    <t>DAVINA ANADISTI UTAMI</t>
  </si>
  <si>
    <t>AS-SYIVA AULIA ZAHRA</t>
  </si>
  <si>
    <t>ASTRI RISMAYANTI</t>
  </si>
  <si>
    <t>DESTY PLATINA</t>
  </si>
  <si>
    <t>DIMAS EKO PRASETYO</t>
  </si>
  <si>
    <t>AURIEL KIRANIA LATHIIFAH</t>
  </si>
  <si>
    <t>ELYSA JUNIARTI</t>
  </si>
  <si>
    <t>AVRIL ALMINNA PUTRI</t>
  </si>
  <si>
    <t>FADLI FIRDAUS</t>
  </si>
  <si>
    <t>DAFFA AZKA MADANI</t>
  </si>
  <si>
    <t>FLORA SHAFA ANINDYA</t>
  </si>
  <si>
    <t>ELIZABETH DAS ARTIQA</t>
  </si>
  <si>
    <t>HILMI RAIHAN MUYASSAR</t>
  </si>
  <si>
    <t>FRANSISKO IMMANUEL TRIANDO PUTRA</t>
  </si>
  <si>
    <t>IKHSAN SEPTIANA RAMADHAN</t>
  </si>
  <si>
    <t>HERDIANSYAH PERMANA</t>
  </si>
  <si>
    <t>INDAH MUTIARA PUTRI NIRMAWAN</t>
  </si>
  <si>
    <t>INTAN DWI HELMIRA</t>
  </si>
  <si>
    <t>JAHFAL RAIS</t>
  </si>
  <si>
    <t>JUWITA</t>
  </si>
  <si>
    <t>JEAFFY REEVE BARUS</t>
  </si>
  <si>
    <t>KARTIKA JULIANI</t>
  </si>
  <si>
    <t>LULU BADRIYAH</t>
  </si>
  <si>
    <t>MIKHAEL AQSA IBRAHIM</t>
  </si>
  <si>
    <t>KEYSHA SABRINA EVANADIA</t>
  </si>
  <si>
    <t>MUHAMAD RIZKY MUNADILKHAIR</t>
  </si>
  <si>
    <t>KHORISHA NUR AFLAH</t>
  </si>
  <si>
    <t>MUHAMAD SAHRUL</t>
  </si>
  <si>
    <t>KHUMAIRA PUSPA DEWI</t>
  </si>
  <si>
    <t>MUHAMMAD `AZAM QIYAD AL-JUNDI</t>
  </si>
  <si>
    <t>MUHAMMAD ADINDRA REZKY</t>
  </si>
  <si>
    <t>KINARYA WANGSA ARSIR</t>
  </si>
  <si>
    <t>MUHAMMAD FATHIR ADI NUGROHO</t>
  </si>
  <si>
    <t>LATISYA TIARA SAQUEENA</t>
  </si>
  <si>
    <t>MUHAMMAD RIZKY DWI FADILLAH</t>
  </si>
  <si>
    <t>LISTARINA PANCA PRATAMA</t>
  </si>
  <si>
    <t>MUHAMMAD SANTOSA HIDAYAT</t>
  </si>
  <si>
    <t>LUKI AHMAD MAULANA</t>
  </si>
  <si>
    <t>MUHAMMAD VINCENT DWI SAPUTRA</t>
  </si>
  <si>
    <t>MYLA USWAN APDILA</t>
  </si>
  <si>
    <t>MARSHA NABILA ALIFAH PUTRI</t>
  </si>
  <si>
    <t>NADA FELICIA RAMADHAN PRATAMA</t>
  </si>
  <si>
    <t>MOCHAMMAD RHENKA FARANSHA</t>
  </si>
  <si>
    <t>NAILA BA`DA RAMADHANI</t>
  </si>
  <si>
    <t>MUHAMMAD RANGGA MAULANA</t>
  </si>
  <si>
    <t>QUILLA NAJWA KHUZAIMA</t>
  </si>
  <si>
    <t>NAYLI ITGIYANA</t>
  </si>
  <si>
    <t>RADITHYA MUHAMMAD HASAN</t>
  </si>
  <si>
    <t>PAHIRA OKTAVIANTI</t>
  </si>
  <si>
    <t>RAFFA RADINLIKA HARISMAN</t>
  </si>
  <si>
    <t>PRABAMANDALA ARDANESWARI MAHAYANA PUTRA</t>
  </si>
  <si>
    <t>RAISYA SHAFAFAHIRA</t>
  </si>
  <si>
    <t>RAMA FAJAR SIDIK</t>
  </si>
  <si>
    <t>RAIN VILLARIAL GIBRAN</t>
  </si>
  <si>
    <t>RANGGA ALMUGHNI CHANDRA</t>
  </si>
  <si>
    <t>RAISA MUSTIKA GHANIA</t>
  </si>
  <si>
    <t>RAVY HADI MULYA</t>
  </si>
  <si>
    <t>RAMADHAN SANY KUSUMAH</t>
  </si>
  <si>
    <t>RAYSA MUHAMMAD FAHDA PRIANDANA</t>
  </si>
  <si>
    <t>RIDHO FAISAL</t>
  </si>
  <si>
    <t>RIEZKY JHIAN JULIANDHANI DJUHANDA</t>
  </si>
  <si>
    <t>REGY AHMAD RAMDHANI</t>
  </si>
  <si>
    <t>RHEINA GESYA PUTRI</t>
  </si>
  <si>
    <t>RUSYDA HELMI THALIB</t>
  </si>
  <si>
    <t>SAFFANA JAMIL</t>
  </si>
  <si>
    <t>RIFATUL SASKIYA</t>
  </si>
  <si>
    <t>SALSA PUTRI SEPTIANI</t>
  </si>
  <si>
    <t>SEILA DARA SAFFANA</t>
  </si>
  <si>
    <t>SHEFIANA KHORUNNISA</t>
  </si>
  <si>
    <t>SILVIANA AQILLA KAINAMA</t>
  </si>
  <si>
    <t>SILVIA LARISA ZULAIKA</t>
  </si>
  <si>
    <t>WINOLA ADARA IRAWAN</t>
  </si>
  <si>
    <t>SITI ZAINA TURROHMAH</t>
  </si>
  <si>
    <t>ZAHIRA TSURAYA</t>
  </si>
  <si>
    <t>TIARA KIMBERLY JESSICA</t>
  </si>
  <si>
    <t>ZAHRA FITRIANI SEPTIAMAH</t>
  </si>
  <si>
    <t>ZAHIRA NABILA PUTRI</t>
  </si>
  <si>
    <t>ZIDNI THIARNA RAHADIAN</t>
  </si>
  <si>
    <t>Haris Munandar, M.Pd., Gr.</t>
  </si>
  <si>
    <t>NIP.199111022025211127</t>
  </si>
  <si>
    <t>Sylga Nur Anissa, S.Pd</t>
  </si>
  <si>
    <t>NIP.199612182021212104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</si>
</sst>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scheme val="minor"/>
    </font>
    <font>
      <sz val="11"/>
      <color theme="1"/>
      <name val="Arial"/>
    </font>
    <font>
      <sz val="11"/>
      <color theme="1"/>
      <name val="Calibri"/>
    </font>
    <font>
      <sz val="10"/>
      <color theme="1"/>
      <name val="Arial"/>
    </font>
    <font>
      <sz val="10"/>
      <color theme="1"/>
      <name val="Arial Narrow"/>
    </font>
    <font>
      <sz val="14"/>
      <color theme="1"/>
      <name val="Arial"/>
    </font>
    <font>
      <sz val="11"/>
      <name val="Calibri"/>
    </font>
    <font>
      <b/>
      <sz val="18"/>
      <color theme="1"/>
      <name val="Arial"/>
    </font>
    <font>
      <b/>
      <sz val="12"/>
      <color theme="1"/>
      <name val="Arial"/>
    </font>
    <font>
      <b/>
      <sz val="11"/>
      <color theme="1"/>
      <name val="Arial"/>
    </font>
    <font>
      <b/>
      <sz val="10"/>
      <color theme="1"/>
      <name val="Arial"/>
    </font>
    <font>
      <b/>
      <sz val="10"/>
      <color rgb="FF000000"/>
      <name val="Arial"/>
    </font>
    <font>
      <sz val="12"/>
      <color theme="1"/>
      <name val="Arial"/>
    </font>
    <font>
      <sz val="11"/>
      <color rgb="FF000000"/>
      <name val="Calibri"/>
    </font>
    <font>
      <sz val="10"/>
      <color theme="1"/>
      <name val="Book Antiqua"/>
    </font>
    <font>
      <b/>
      <sz val="11"/>
      <color theme="1"/>
      <name val="Calibri"/>
    </font>
    <font>
      <b/>
      <sz val="10"/>
      <color theme="1"/>
      <name val="Arial Narrow"/>
    </font>
    <font>
      <sz val="11"/>
      <color rgb="FF000000"/>
      <name val="Calibri"/>
      <scheme val="minor"/>
    </font>
    <font>
      <sz val="11"/>
      <color rgb="FF000000"/>
      <name val="&quot;Calibri&quot;"/>
    </font>
    <font>
      <sz val="11"/>
      <color theme="1"/>
      <name val="Arial Narrow"/>
    </font>
    <font>
      <sz val="11"/>
      <color theme="1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BDD6EE"/>
        <bgColor rgb="FFBDD6EE"/>
      </patternFill>
    </fill>
    <fill>
      <patternFill patternType="solid">
        <fgColor rgb="FFBFBFBF"/>
        <bgColor rgb="FFBFBFBF"/>
      </patternFill>
    </fill>
    <fill>
      <patternFill patternType="solid">
        <fgColor rgb="FFA5A5A5"/>
        <bgColor rgb="FFA5A5A5"/>
      </patternFill>
    </fill>
    <fill>
      <patternFill patternType="solid">
        <fgColor rgb="FF7F7F7F"/>
        <bgColor rgb="FF7F7F7F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</fills>
  <borders count="7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271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shrinkToFit="1"/>
    </xf>
    <xf numFmtId="0" fontId="2" fillId="0" borderId="0" xfId="0" applyFont="1"/>
    <xf numFmtId="0" fontId="3" fillId="2" borderId="2" xfId="0" applyFont="1" applyFill="1" applyBorder="1"/>
    <xf numFmtId="0" fontId="4" fillId="2" borderId="2" xfId="0" applyFont="1" applyFill="1" applyBorder="1"/>
    <xf numFmtId="0" fontId="1" fillId="2" borderId="2" xfId="0" applyFont="1" applyFill="1" applyBorder="1"/>
    <xf numFmtId="0" fontId="2" fillId="2" borderId="2" xfId="0" applyFont="1" applyFill="1" applyBorder="1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shrinkToFit="1"/>
    </xf>
    <xf numFmtId="0" fontId="3" fillId="2" borderId="6" xfId="0" applyFont="1" applyFill="1" applyBorder="1"/>
    <xf numFmtId="0" fontId="8" fillId="2" borderId="2" xfId="0" applyFont="1" applyFill="1" applyBorder="1" applyAlignment="1">
      <alignment horizontal="center" vertical="center"/>
    </xf>
    <xf numFmtId="0" fontId="4" fillId="2" borderId="6" xfId="0" applyFont="1" applyFill="1" applyBorder="1"/>
    <xf numFmtId="0" fontId="9" fillId="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top"/>
    </xf>
    <xf numFmtId="0" fontId="10" fillId="2" borderId="2" xfId="0" applyFont="1" applyFill="1" applyBorder="1" applyAlignment="1">
      <alignment horizontal="left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3" borderId="2" xfId="0" applyFont="1" applyFill="1" applyBorder="1"/>
    <xf numFmtId="0" fontId="10" fillId="2" borderId="2" xfId="0" applyFont="1" applyFill="1" applyBorder="1" applyAlignment="1">
      <alignment horizontal="left" vertical="center"/>
    </xf>
    <xf numFmtId="0" fontId="10" fillId="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 applyAlignment="1">
      <alignment horizontal="left" vertical="center"/>
    </xf>
    <xf numFmtId="0" fontId="9" fillId="2" borderId="2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right" vertical="center"/>
    </xf>
    <xf numFmtId="0" fontId="10" fillId="2" borderId="1" xfId="0" applyFont="1" applyFill="1" applyBorder="1" applyAlignment="1">
      <alignment horizontal="center" vertical="center"/>
    </xf>
    <xf numFmtId="2" fontId="1" fillId="3" borderId="2" xfId="0" applyNumberFormat="1" applyFont="1" applyFill="1" applyBorder="1"/>
    <xf numFmtId="0" fontId="10" fillId="2" borderId="23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left" vertical="top"/>
    </xf>
    <xf numFmtId="0" fontId="1" fillId="0" borderId="17" xfId="0" applyFont="1" applyBorder="1"/>
    <xf numFmtId="0" fontId="1" fillId="0" borderId="12" xfId="0" applyFont="1" applyBorder="1" applyAlignment="1">
      <alignment horizontal="left" vertical="top"/>
    </xf>
    <xf numFmtId="0" fontId="1" fillId="0" borderId="17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/>
    <xf numFmtId="0" fontId="1" fillId="3" borderId="1" xfId="0" applyFont="1" applyFill="1" applyBorder="1"/>
    <xf numFmtId="0" fontId="1" fillId="2" borderId="26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left"/>
    </xf>
    <xf numFmtId="0" fontId="2" fillId="5" borderId="1" xfId="0" applyFont="1" applyFill="1" applyBorder="1"/>
    <xf numFmtId="0" fontId="12" fillId="2" borderId="2" xfId="0" applyFont="1" applyFill="1" applyBorder="1" applyAlignment="1">
      <alignment horizontal="left"/>
    </xf>
    <xf numFmtId="0" fontId="12" fillId="2" borderId="2" xfId="0" applyFont="1" applyFill="1" applyBorder="1"/>
    <xf numFmtId="0" fontId="12" fillId="2" borderId="2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vertical="center"/>
    </xf>
    <xf numFmtId="2" fontId="2" fillId="5" borderId="1" xfId="0" applyNumberFormat="1" applyFont="1" applyFill="1" applyBorder="1"/>
    <xf numFmtId="0" fontId="3" fillId="3" borderId="23" xfId="0" applyFont="1" applyFill="1" applyBorder="1"/>
    <xf numFmtId="0" fontId="2" fillId="0" borderId="1" xfId="0" applyFont="1" applyBorder="1" applyAlignment="1"/>
    <xf numFmtId="0" fontId="1" fillId="3" borderId="23" xfId="0" applyFont="1" applyFill="1" applyBorder="1"/>
    <xf numFmtId="0" fontId="2" fillId="0" borderId="17" xfId="0" applyFont="1" applyBorder="1"/>
    <xf numFmtId="0" fontId="2" fillId="0" borderId="12" xfId="0" applyFont="1" applyBorder="1"/>
    <xf numFmtId="0" fontId="13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vertical="center"/>
    </xf>
    <xf numFmtId="0" fontId="9" fillId="2" borderId="2" xfId="0" applyFont="1" applyFill="1" applyBorder="1" applyAlignment="1">
      <alignment vertical="center"/>
    </xf>
    <xf numFmtId="0" fontId="2" fillId="6" borderId="1" xfId="0" applyFont="1" applyFill="1" applyBorder="1"/>
    <xf numFmtId="0" fontId="3" fillId="3" borderId="24" xfId="0" applyFont="1" applyFill="1" applyBorder="1" applyAlignment="1">
      <alignment horizontal="center"/>
    </xf>
    <xf numFmtId="0" fontId="3" fillId="3" borderId="24" xfId="0" applyFont="1" applyFill="1" applyBorder="1"/>
    <xf numFmtId="0" fontId="1" fillId="3" borderId="30" xfId="0" applyFont="1" applyFill="1" applyBorder="1"/>
    <xf numFmtId="0" fontId="1" fillId="3" borderId="26" xfId="0" applyFont="1" applyFill="1" applyBorder="1"/>
    <xf numFmtId="2" fontId="2" fillId="6" borderId="1" xfId="0" applyNumberFormat="1" applyFont="1" applyFill="1" applyBorder="1"/>
    <xf numFmtId="0" fontId="3" fillId="3" borderId="26" xfId="0" applyFont="1" applyFill="1" applyBorder="1" applyAlignment="1">
      <alignment horizontal="center"/>
    </xf>
    <xf numFmtId="0" fontId="3" fillId="3" borderId="31" xfId="0" applyFont="1" applyFill="1" applyBorder="1"/>
    <xf numFmtId="0" fontId="2" fillId="7" borderId="1" xfId="0" applyFont="1" applyFill="1" applyBorder="1"/>
    <xf numFmtId="0" fontId="1" fillId="3" borderId="31" xfId="0" applyFont="1" applyFill="1" applyBorder="1"/>
    <xf numFmtId="2" fontId="2" fillId="7" borderId="1" xfId="0" applyNumberFormat="1" applyFont="1" applyFill="1" applyBorder="1"/>
    <xf numFmtId="0" fontId="14" fillId="0" borderId="1" xfId="0" applyFont="1" applyBorder="1" applyAlignment="1">
      <alignment horizontal="center" vertical="top"/>
    </xf>
    <xf numFmtId="0" fontId="12" fillId="2" borderId="1" xfId="0" applyFont="1" applyFill="1" applyBorder="1" applyAlignment="1">
      <alignment vertical="center"/>
    </xf>
    <xf numFmtId="0" fontId="2" fillId="8" borderId="23" xfId="0" applyFont="1" applyFill="1" applyBorder="1"/>
    <xf numFmtId="2" fontId="2" fillId="8" borderId="23" xfId="0" applyNumberFormat="1" applyFont="1" applyFill="1" applyBorder="1"/>
    <xf numFmtId="0" fontId="2" fillId="0" borderId="14" xfId="0" applyFont="1" applyBorder="1"/>
    <xf numFmtId="0" fontId="2" fillId="2" borderId="32" xfId="0" applyFont="1" applyFill="1" applyBorder="1"/>
    <xf numFmtId="0" fontId="2" fillId="8" borderId="1" xfId="0" applyFont="1" applyFill="1" applyBorder="1"/>
    <xf numFmtId="0" fontId="1" fillId="3" borderId="2" xfId="0" applyFont="1" applyFill="1" applyBorder="1" applyAlignment="1">
      <alignment wrapText="1"/>
    </xf>
    <xf numFmtId="0" fontId="1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wrapText="1"/>
    </xf>
    <xf numFmtId="0" fontId="1" fillId="3" borderId="2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0" fillId="2" borderId="31" xfId="0" applyFont="1" applyFill="1" applyBorder="1" applyAlignment="1">
      <alignment horizontal="center" vertical="center"/>
    </xf>
    <xf numFmtId="0" fontId="10" fillId="2" borderId="3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2" borderId="23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top"/>
    </xf>
    <xf numFmtId="0" fontId="1" fillId="2" borderId="23" xfId="0" applyFont="1" applyFill="1" applyBorder="1" applyAlignment="1">
      <alignment vertical="center"/>
    </xf>
    <xf numFmtId="0" fontId="9" fillId="2" borderId="2" xfId="0" applyFont="1" applyFill="1" applyBorder="1"/>
    <xf numFmtId="0" fontId="1" fillId="2" borderId="34" xfId="0" applyFont="1" applyFill="1" applyBorder="1"/>
    <xf numFmtId="0" fontId="1" fillId="2" borderId="35" xfId="0" applyFont="1" applyFill="1" applyBorder="1" applyAlignment="1">
      <alignment horizontal="center" vertical="center"/>
    </xf>
    <xf numFmtId="0" fontId="1" fillId="2" borderId="36" xfId="0" applyFont="1" applyFill="1" applyBorder="1" applyAlignment="1">
      <alignment vertical="center"/>
    </xf>
    <xf numFmtId="0" fontId="1" fillId="0" borderId="1" xfId="0" applyFont="1" applyBorder="1"/>
    <xf numFmtId="0" fontId="2" fillId="3" borderId="2" xfId="0" applyFont="1" applyFill="1" applyBorder="1"/>
    <xf numFmtId="0" fontId="14" fillId="0" borderId="1" xfId="0" applyFont="1" applyBorder="1" applyAlignment="1">
      <alignment horizontal="left" vertical="top"/>
    </xf>
    <xf numFmtId="0" fontId="1" fillId="0" borderId="12" xfId="0" applyFont="1" applyBorder="1"/>
    <xf numFmtId="0" fontId="1" fillId="2" borderId="2" xfId="0" applyFont="1" applyFill="1" applyBorder="1" applyAlignment="1">
      <alignment horizontal="center"/>
    </xf>
    <xf numFmtId="0" fontId="1" fillId="9" borderId="1" xfId="0" applyFont="1" applyFill="1" applyBorder="1" applyAlignment="1">
      <alignment vertical="center"/>
    </xf>
    <xf numFmtId="0" fontId="1" fillId="9" borderId="2" xfId="0" applyFont="1" applyFill="1" applyBorder="1"/>
    <xf numFmtId="0" fontId="2" fillId="9" borderId="2" xfId="0" applyFont="1" applyFill="1" applyBorder="1"/>
    <xf numFmtId="0" fontId="15" fillId="2" borderId="2" xfId="0" applyFont="1" applyFill="1" applyBorder="1"/>
    <xf numFmtId="0" fontId="10" fillId="0" borderId="37" xfId="0" applyFont="1" applyBorder="1" applyAlignment="1">
      <alignment horizontal="center"/>
    </xf>
    <xf numFmtId="0" fontId="1" fillId="0" borderId="17" xfId="0" applyFont="1" applyBorder="1" applyAlignment="1">
      <alignment horizontal="left" vertical="top"/>
    </xf>
    <xf numFmtId="0" fontId="1" fillId="0" borderId="1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5" xfId="0" applyFont="1" applyBorder="1"/>
    <xf numFmtId="0" fontId="1" fillId="2" borderId="1" xfId="0" quotePrefix="1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vertical="center"/>
    </xf>
    <xf numFmtId="0" fontId="2" fillId="0" borderId="1" xfId="0" applyFont="1" applyBorder="1"/>
    <xf numFmtId="0" fontId="1" fillId="0" borderId="11" xfId="0" applyFont="1" applyBorder="1"/>
    <xf numFmtId="0" fontId="1" fillId="0" borderId="17" xfId="0" applyFont="1" applyBorder="1" applyAlignment="1">
      <alignment horizontal="center"/>
    </xf>
    <xf numFmtId="0" fontId="3" fillId="0" borderId="1" xfId="0" applyFont="1" applyBorder="1"/>
    <xf numFmtId="0" fontId="3" fillId="8" borderId="1" xfId="0" applyFont="1" applyFill="1" applyBorder="1"/>
    <xf numFmtId="0" fontId="1" fillId="0" borderId="11" xfId="0" applyFont="1" applyBorder="1" applyAlignment="1"/>
    <xf numFmtId="0" fontId="1" fillId="0" borderId="16" xfId="0" applyFont="1" applyBorder="1" applyAlignment="1">
      <alignment horizontal="center"/>
    </xf>
    <xf numFmtId="0" fontId="12" fillId="2" borderId="23" xfId="0" applyFont="1" applyFill="1" applyBorder="1" applyAlignment="1">
      <alignment vertical="center"/>
    </xf>
    <xf numFmtId="0" fontId="1" fillId="2" borderId="32" xfId="0" applyFont="1" applyFill="1" applyBorder="1" applyAlignment="1">
      <alignment horizontal="center" vertical="center"/>
    </xf>
    <xf numFmtId="0" fontId="10" fillId="2" borderId="38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left" vertical="top"/>
    </xf>
    <xf numFmtId="0" fontId="10" fillId="0" borderId="22" xfId="0" applyFont="1" applyBorder="1" applyAlignment="1">
      <alignment horizontal="center"/>
    </xf>
    <xf numFmtId="0" fontId="1" fillId="2" borderId="26" xfId="0" applyFont="1" applyFill="1" applyBorder="1" applyAlignment="1">
      <alignment horizontal="center" vertical="center"/>
    </xf>
    <xf numFmtId="0" fontId="1" fillId="2" borderId="5" xfId="0" applyFont="1" applyFill="1" applyBorder="1"/>
    <xf numFmtId="0" fontId="16" fillId="0" borderId="22" xfId="0" applyFont="1" applyBorder="1" applyAlignment="1">
      <alignment horizontal="center"/>
    </xf>
    <xf numFmtId="0" fontId="17" fillId="0" borderId="0" xfId="0" applyFont="1" applyAlignment="1"/>
    <xf numFmtId="0" fontId="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/>
    </xf>
    <xf numFmtId="0" fontId="18" fillId="0" borderId="11" xfId="0" applyFont="1" applyBorder="1" applyAlignment="1"/>
    <xf numFmtId="0" fontId="1" fillId="0" borderId="14" xfId="0" applyFont="1" applyBorder="1" applyAlignment="1">
      <alignment horizontal="center"/>
    </xf>
    <xf numFmtId="0" fontId="3" fillId="0" borderId="11" xfId="0" applyFont="1" applyBorder="1" applyAlignment="1">
      <alignment horizontal="left" vertical="top"/>
    </xf>
    <xf numFmtId="0" fontId="13" fillId="0" borderId="0" xfId="0" applyFont="1" applyAlignment="1"/>
    <xf numFmtId="0" fontId="1" fillId="2" borderId="34" xfId="0" applyFont="1" applyFill="1" applyBorder="1" applyAlignment="1">
      <alignment vertical="center"/>
    </xf>
    <xf numFmtId="0" fontId="10" fillId="2" borderId="2" xfId="0" applyFont="1" applyFill="1" applyBorder="1"/>
    <xf numFmtId="0" fontId="19" fillId="0" borderId="11" xfId="0" applyFont="1" applyBorder="1" applyAlignment="1"/>
    <xf numFmtId="0" fontId="1" fillId="3" borderId="1" xfId="0" applyFont="1" applyFill="1" applyBorder="1" applyAlignment="1">
      <alignment vertical="center"/>
    </xf>
    <xf numFmtId="0" fontId="1" fillId="0" borderId="17" xfId="0" applyFont="1" applyBorder="1" applyAlignment="1">
      <alignment horizontal="center" vertical="top"/>
    </xf>
    <xf numFmtId="0" fontId="1" fillId="2" borderId="23" xfId="0" applyFont="1" applyFill="1" applyBorder="1" applyAlignment="1">
      <alignment vertical="center"/>
    </xf>
    <xf numFmtId="0" fontId="9" fillId="2" borderId="2" xfId="0" applyFont="1" applyFill="1" applyBorder="1" applyAlignment="1">
      <alignment horizontal="left"/>
    </xf>
    <xf numFmtId="0" fontId="19" fillId="0" borderId="13" xfId="0" applyFont="1" applyBorder="1" applyAlignment="1"/>
    <xf numFmtId="0" fontId="19" fillId="0" borderId="1" xfId="0" applyFont="1" applyBorder="1" applyAlignment="1"/>
    <xf numFmtId="0" fontId="1" fillId="0" borderId="17" xfId="0" applyFont="1" applyBorder="1" applyAlignment="1">
      <alignment horizontal="center" vertical="center"/>
    </xf>
    <xf numFmtId="0" fontId="2" fillId="0" borderId="16" xfId="0" applyFont="1" applyBorder="1" applyAlignment="1"/>
    <xf numFmtId="0" fontId="2" fillId="0" borderId="11" xfId="0" applyFont="1" applyBorder="1" applyAlignment="1"/>
    <xf numFmtId="0" fontId="2" fillId="0" borderId="22" xfId="0" applyFont="1" applyBorder="1" applyAlignment="1"/>
    <xf numFmtId="0" fontId="2" fillId="0" borderId="28" xfId="0" applyFont="1" applyBorder="1"/>
    <xf numFmtId="0" fontId="2" fillId="0" borderId="29" xfId="0" applyFont="1" applyBorder="1"/>
    <xf numFmtId="0" fontId="1" fillId="0" borderId="13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1" fillId="0" borderId="15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top"/>
    </xf>
    <xf numFmtId="0" fontId="19" fillId="0" borderId="11" xfId="0" applyFont="1" applyBorder="1"/>
    <xf numFmtId="0" fontId="19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" fillId="3" borderId="26" xfId="0" applyFont="1" applyFill="1" applyBorder="1" applyAlignment="1">
      <alignment vertical="center"/>
    </xf>
    <xf numFmtId="0" fontId="1" fillId="2" borderId="31" xfId="0" applyFont="1" applyFill="1" applyBorder="1" applyAlignment="1">
      <alignment vertical="center"/>
    </xf>
    <xf numFmtId="0" fontId="19" fillId="3" borderId="24" xfId="0" applyFont="1" applyFill="1" applyBorder="1" applyAlignment="1">
      <alignment horizontal="center"/>
    </xf>
    <xf numFmtId="0" fontId="2" fillId="3" borderId="1" xfId="0" applyFont="1" applyFill="1" applyBorder="1"/>
    <xf numFmtId="0" fontId="19" fillId="0" borderId="39" xfId="0" applyFont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1" xfId="0" applyFont="1" applyBorder="1" applyAlignment="1">
      <alignment horizontal="left"/>
    </xf>
    <xf numFmtId="0" fontId="19" fillId="0" borderId="11" xfId="0" applyFont="1" applyBorder="1" applyAlignment="1">
      <alignment horizontal="left"/>
    </xf>
    <xf numFmtId="0" fontId="9" fillId="2" borderId="10" xfId="0" applyFont="1" applyFill="1" applyBorder="1" applyAlignment="1">
      <alignment horizontal="left"/>
    </xf>
    <xf numFmtId="0" fontId="9" fillId="2" borderId="10" xfId="0" applyFont="1" applyFill="1" applyBorder="1" applyAlignment="1">
      <alignment horizontal="left" vertical="center"/>
    </xf>
    <xf numFmtId="0" fontId="9" fillId="2" borderId="10" xfId="0" applyFont="1" applyFill="1" applyBorder="1" applyAlignment="1">
      <alignment horizontal="center" vertical="center"/>
    </xf>
    <xf numFmtId="0" fontId="13" fillId="0" borderId="12" xfId="0" applyFont="1" applyBorder="1" applyAlignment="1">
      <alignment horizontal="center"/>
    </xf>
    <xf numFmtId="0" fontId="20" fillId="0" borderId="1" xfId="0" applyFont="1" applyBorder="1" applyAlignmen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2" fillId="0" borderId="0" xfId="0" applyFont="1" applyAlignment="1"/>
    <xf numFmtId="0" fontId="19" fillId="0" borderId="11" xfId="0" applyFont="1" applyBorder="1" applyAlignment="1">
      <alignment horizontal="center"/>
    </xf>
    <xf numFmtId="0" fontId="2" fillId="0" borderId="16" xfId="0" applyFont="1" applyBorder="1"/>
    <xf numFmtId="0" fontId="19" fillId="2" borderId="34" xfId="0" applyFont="1" applyFill="1" applyBorder="1" applyAlignment="1">
      <alignment vertical="center"/>
    </xf>
    <xf numFmtId="0" fontId="1" fillId="0" borderId="0" xfId="0" applyFont="1" applyAlignment="1">
      <alignment horizontal="center"/>
    </xf>
    <xf numFmtId="0" fontId="19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0" fillId="2" borderId="11" xfId="0" applyFont="1" applyFill="1" applyBorder="1" applyAlignment="1">
      <alignment horizontal="center" vertical="center"/>
    </xf>
    <xf numFmtId="0" fontId="6" fillId="0" borderId="12" xfId="0" applyFont="1" applyBorder="1"/>
    <xf numFmtId="0" fontId="11" fillId="2" borderId="13" xfId="0" applyFont="1" applyFill="1" applyBorder="1" applyAlignment="1">
      <alignment horizontal="center" vertical="center"/>
    </xf>
    <xf numFmtId="0" fontId="6" fillId="0" borderId="14" xfId="0" applyFont="1" applyBorder="1"/>
    <xf numFmtId="0" fontId="6" fillId="0" borderId="15" xfId="0" applyFont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10" fillId="2" borderId="16" xfId="0" applyFont="1" applyFill="1" applyBorder="1" applyAlignment="1">
      <alignment horizontal="center" vertical="center"/>
    </xf>
    <xf numFmtId="0" fontId="6" fillId="0" borderId="22" xfId="0" applyFont="1" applyBorder="1"/>
    <xf numFmtId="0" fontId="6" fillId="0" borderId="17" xfId="0" applyFont="1" applyBorder="1"/>
    <xf numFmtId="0" fontId="2" fillId="4" borderId="16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0" fontId="6" fillId="0" borderId="4" xfId="0" applyFont="1" applyBorder="1"/>
    <xf numFmtId="0" fontId="6" fillId="0" borderId="5" xfId="0" applyFont="1" applyBorder="1"/>
    <xf numFmtId="0" fontId="7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6" fillId="0" borderId="8" xfId="0" applyFont="1" applyBorder="1"/>
    <xf numFmtId="0" fontId="6" fillId="0" borderId="9" xfId="0" applyFont="1" applyBorder="1"/>
    <xf numFmtId="0" fontId="8" fillId="2" borderId="3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left"/>
    </xf>
    <xf numFmtId="0" fontId="6" fillId="0" borderId="19" xfId="0" applyFont="1" applyBorder="1"/>
    <xf numFmtId="0" fontId="6" fillId="0" borderId="20" xfId="0" applyFont="1" applyBorder="1"/>
    <xf numFmtId="0" fontId="6" fillId="0" borderId="21" xfId="0" applyFont="1" applyBorder="1"/>
    <xf numFmtId="0" fontId="1" fillId="0" borderId="11" xfId="0" applyFont="1" applyBorder="1" applyAlignment="1">
      <alignment horizontal="left"/>
    </xf>
    <xf numFmtId="0" fontId="1" fillId="3" borderId="10" xfId="0" applyFont="1" applyFill="1" applyBorder="1" applyAlignment="1">
      <alignment horizontal="center" vertical="center"/>
    </xf>
    <xf numFmtId="0" fontId="6" fillId="0" borderId="18" xfId="0" applyFont="1" applyBorder="1"/>
    <xf numFmtId="0" fontId="1" fillId="3" borderId="10" xfId="0" applyFont="1" applyFill="1" applyBorder="1" applyAlignment="1">
      <alignment horizontal="center" vertical="center" wrapText="1"/>
    </xf>
    <xf numFmtId="0" fontId="6" fillId="0" borderId="25" xfId="0" applyFont="1" applyBorder="1"/>
    <xf numFmtId="0" fontId="1" fillId="2" borderId="11" xfId="0" applyFont="1" applyFill="1" applyBorder="1" applyAlignment="1">
      <alignment horizontal="left" vertical="center" shrinkToFit="1"/>
    </xf>
    <xf numFmtId="0" fontId="2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left" vertical="center"/>
    </xf>
    <xf numFmtId="0" fontId="1" fillId="0" borderId="23" xfId="0" applyFont="1" applyBorder="1" applyAlignment="1">
      <alignment horizontal="center" vertical="top"/>
    </xf>
    <xf numFmtId="0" fontId="1" fillId="0" borderId="23" xfId="0" applyFont="1" applyBorder="1" applyAlignment="1">
      <alignment horizontal="left" vertical="top"/>
    </xf>
    <xf numFmtId="0" fontId="1" fillId="2" borderId="20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left" vertical="top"/>
    </xf>
    <xf numFmtId="0" fontId="1" fillId="2" borderId="20" xfId="0" applyFont="1" applyFill="1" applyBorder="1" applyAlignment="1">
      <alignment vertical="center"/>
    </xf>
    <xf numFmtId="0" fontId="1" fillId="2" borderId="40" xfId="0" applyFont="1" applyFill="1" applyBorder="1" applyAlignment="1">
      <alignment horizontal="center" vertical="center"/>
    </xf>
    <xf numFmtId="0" fontId="1" fillId="2" borderId="41" xfId="0" applyFont="1" applyFill="1" applyBorder="1" applyAlignment="1">
      <alignment horizontal="center" vertical="center"/>
    </xf>
    <xf numFmtId="0" fontId="1" fillId="0" borderId="41" xfId="0" applyFont="1" applyBorder="1" applyAlignment="1">
      <alignment horizontal="left" vertical="top"/>
    </xf>
    <xf numFmtId="0" fontId="1" fillId="2" borderId="41" xfId="0" applyFont="1" applyFill="1" applyBorder="1" applyAlignment="1">
      <alignment vertical="center"/>
    </xf>
    <xf numFmtId="0" fontId="1" fillId="2" borderId="42" xfId="0" applyFont="1" applyFill="1" applyBorder="1" applyAlignment="1">
      <alignment vertical="center"/>
    </xf>
    <xf numFmtId="0" fontId="1" fillId="2" borderId="43" xfId="0" applyFont="1" applyFill="1" applyBorder="1" applyAlignment="1">
      <alignment vertical="center"/>
    </xf>
    <xf numFmtId="0" fontId="1" fillId="0" borderId="35" xfId="0" applyFont="1" applyBorder="1" applyAlignment="1">
      <alignment horizontal="left" vertical="top"/>
    </xf>
    <xf numFmtId="0" fontId="1" fillId="0" borderId="32" xfId="0" applyFont="1" applyBorder="1" applyAlignment="1">
      <alignment horizontal="left" vertical="top"/>
    </xf>
    <xf numFmtId="0" fontId="1" fillId="0" borderId="36" xfId="0" applyFont="1" applyBorder="1" applyAlignment="1">
      <alignment horizontal="left" vertical="top"/>
    </xf>
    <xf numFmtId="0" fontId="1" fillId="0" borderId="32" xfId="0" applyFont="1" applyBorder="1" applyAlignment="1">
      <alignment horizontal="center" vertical="top"/>
    </xf>
    <xf numFmtId="0" fontId="1" fillId="0" borderId="44" xfId="0" applyFont="1" applyBorder="1" applyAlignment="1">
      <alignment horizontal="left" vertical="top"/>
    </xf>
    <xf numFmtId="0" fontId="1" fillId="0" borderId="45" xfId="0" applyFont="1" applyBorder="1" applyAlignment="1">
      <alignment horizontal="left" vertical="top"/>
    </xf>
    <xf numFmtId="0" fontId="1" fillId="0" borderId="42" xfId="0" applyFont="1" applyBorder="1" applyAlignment="1">
      <alignment horizontal="left" vertical="top"/>
    </xf>
    <xf numFmtId="0" fontId="1" fillId="2" borderId="46" xfId="0" applyFont="1" applyFill="1" applyBorder="1" applyAlignment="1">
      <alignment horizontal="center" vertical="center"/>
    </xf>
    <xf numFmtId="0" fontId="1" fillId="2" borderId="47" xfId="0" applyFont="1" applyFill="1" applyBorder="1" applyAlignment="1">
      <alignment horizontal="center" vertical="center"/>
    </xf>
    <xf numFmtId="0" fontId="1" fillId="0" borderId="48" xfId="0" applyFont="1" applyBorder="1" applyAlignment="1">
      <alignment horizontal="left" vertical="top"/>
    </xf>
    <xf numFmtId="0" fontId="1" fillId="0" borderId="49" xfId="0" applyFont="1" applyBorder="1" applyAlignment="1">
      <alignment horizontal="left" vertical="top"/>
    </xf>
    <xf numFmtId="0" fontId="1" fillId="0" borderId="50" xfId="0" applyFont="1" applyBorder="1" applyAlignment="1">
      <alignment horizontal="left" vertical="top"/>
    </xf>
    <xf numFmtId="0" fontId="1" fillId="0" borderId="49" xfId="0" applyFont="1" applyBorder="1" applyAlignment="1">
      <alignment horizontal="center" vertical="top"/>
    </xf>
    <xf numFmtId="0" fontId="1" fillId="2" borderId="47" xfId="0" applyFont="1" applyFill="1" applyBorder="1" applyAlignment="1">
      <alignment vertical="center"/>
    </xf>
    <xf numFmtId="0" fontId="1" fillId="2" borderId="51" xfId="0" applyFont="1" applyFill="1" applyBorder="1" applyAlignment="1">
      <alignment vertical="center"/>
    </xf>
    <xf numFmtId="0" fontId="1" fillId="2" borderId="52" xfId="0" applyFont="1" applyFill="1" applyBorder="1" applyAlignment="1">
      <alignment horizontal="center" vertical="center"/>
    </xf>
    <xf numFmtId="0" fontId="1" fillId="2" borderId="53" xfId="0" applyFont="1" applyFill="1" applyBorder="1" applyAlignment="1">
      <alignment horizontal="center" vertical="center"/>
    </xf>
    <xf numFmtId="0" fontId="1" fillId="0" borderId="54" xfId="0" applyFont="1" applyBorder="1" applyAlignment="1">
      <alignment horizontal="left" vertical="top"/>
    </xf>
    <xf numFmtId="0" fontId="1" fillId="0" borderId="55" xfId="0" applyFont="1" applyBorder="1" applyAlignment="1">
      <alignment horizontal="left" vertical="top"/>
    </xf>
    <xf numFmtId="0" fontId="1" fillId="0" borderId="56" xfId="0" applyFont="1" applyBorder="1" applyAlignment="1">
      <alignment horizontal="left" vertical="top"/>
    </xf>
    <xf numFmtId="0" fontId="1" fillId="2" borderId="53" xfId="0" applyFont="1" applyFill="1" applyBorder="1" applyAlignment="1">
      <alignment vertical="center"/>
    </xf>
    <xf numFmtId="0" fontId="1" fillId="2" borderId="57" xfId="0" applyFont="1" applyFill="1" applyBorder="1" applyAlignment="1">
      <alignment vertical="center"/>
    </xf>
    <xf numFmtId="0" fontId="1" fillId="0" borderId="23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12" fillId="2" borderId="51" xfId="0" applyFont="1" applyFill="1" applyBorder="1" applyAlignment="1">
      <alignment vertical="center"/>
    </xf>
    <xf numFmtId="0" fontId="12" fillId="0" borderId="58" xfId="0" applyFont="1" applyBorder="1" applyAlignment="1">
      <alignment horizontal="center"/>
    </xf>
    <xf numFmtId="0" fontId="10" fillId="2" borderId="59" xfId="0" applyFont="1" applyFill="1" applyBorder="1" applyAlignment="1">
      <alignment horizontal="center" vertical="center"/>
    </xf>
    <xf numFmtId="0" fontId="10" fillId="2" borderId="60" xfId="0" applyFont="1" applyFill="1" applyBorder="1" applyAlignment="1">
      <alignment horizontal="center" vertical="center"/>
    </xf>
    <xf numFmtId="0" fontId="10" fillId="2" borderId="61" xfId="0" applyFont="1" applyFill="1" applyBorder="1" applyAlignment="1">
      <alignment horizontal="center" vertical="center"/>
    </xf>
    <xf numFmtId="0" fontId="10" fillId="2" borderId="62" xfId="0" applyFont="1" applyFill="1" applyBorder="1" applyAlignment="1">
      <alignment horizontal="center" vertical="center"/>
    </xf>
    <xf numFmtId="0" fontId="10" fillId="2" borderId="63" xfId="0" applyFont="1" applyFill="1" applyBorder="1" applyAlignment="1">
      <alignment horizontal="center" vertical="center"/>
    </xf>
    <xf numFmtId="0" fontId="8" fillId="0" borderId="64" xfId="0" applyFont="1" applyBorder="1" applyAlignment="1">
      <alignment horizontal="center"/>
    </xf>
    <xf numFmtId="0" fontId="10" fillId="2" borderId="65" xfId="0" applyFont="1" applyFill="1" applyBorder="1" applyAlignment="1">
      <alignment horizontal="center" vertical="center"/>
    </xf>
    <xf numFmtId="0" fontId="10" fillId="2" borderId="66" xfId="0" applyFont="1" applyFill="1" applyBorder="1" applyAlignment="1">
      <alignment horizontal="center" vertical="center"/>
    </xf>
    <xf numFmtId="0" fontId="1" fillId="0" borderId="67" xfId="0" applyFont="1" applyBorder="1" applyAlignment="1">
      <alignment horizontal="center"/>
    </xf>
    <xf numFmtId="0" fontId="1" fillId="2" borderId="67" xfId="0" applyFont="1" applyFill="1" applyBorder="1" applyAlignment="1">
      <alignment vertical="center"/>
    </xf>
    <xf numFmtId="0" fontId="10" fillId="2" borderId="64" xfId="0" applyFont="1" applyFill="1" applyBorder="1" applyAlignment="1">
      <alignment horizontal="center" vertical="center"/>
    </xf>
    <xf numFmtId="0" fontId="1" fillId="0" borderId="68" xfId="0" applyFont="1" applyBorder="1" applyAlignment="1">
      <alignment horizontal="center" vertical="top"/>
    </xf>
    <xf numFmtId="0" fontId="1" fillId="0" borderId="67" xfId="0" applyFont="1" applyBorder="1" applyAlignment="1">
      <alignment horizontal="center" vertical="top"/>
    </xf>
    <xf numFmtId="0" fontId="10" fillId="2" borderId="69" xfId="0" applyFont="1" applyFill="1" applyBorder="1" applyAlignment="1">
      <alignment horizontal="center" vertical="center"/>
    </xf>
    <xf numFmtId="0" fontId="10" fillId="2" borderId="70" xfId="0" applyFont="1" applyFill="1" applyBorder="1" applyAlignment="1">
      <alignment horizontal="center" vertical="center"/>
    </xf>
    <xf numFmtId="0" fontId="1" fillId="0" borderId="35" xfId="0" applyFont="1" applyBorder="1"/>
    <xf numFmtId="0" fontId="1" fillId="0" borderId="32" xfId="0" applyFont="1" applyBorder="1"/>
    <xf numFmtId="0" fontId="1" fillId="0" borderId="36" xfId="0" applyFont="1" applyBorder="1"/>
    <xf numFmtId="0" fontId="1" fillId="0" borderId="32" xfId="0" applyFont="1" applyBorder="1" applyAlignment="1">
      <alignment horizontal="center"/>
    </xf>
    <xf numFmtId="0" fontId="1" fillId="0" borderId="44" xfId="0" applyFont="1" applyBorder="1"/>
    <xf numFmtId="0" fontId="1" fillId="0" borderId="45" xfId="0" applyFont="1" applyBorder="1"/>
    <xf numFmtId="0" fontId="1" fillId="0" borderId="42" xfId="0" applyFont="1" applyBorder="1"/>
    <xf numFmtId="0" fontId="1" fillId="0" borderId="45" xfId="0" applyFont="1" applyBorder="1" applyAlignment="1">
      <alignment horizontal="center"/>
    </xf>
    <xf numFmtId="0" fontId="10" fillId="2" borderId="4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9</xdr:row>
      <xdr:rowOff>0</xdr:rowOff>
    </xdr:from>
    <xdr:ext cx="323850" cy="323850"/>
    <xdr:sp macro="" textlink="">
      <xdr:nvSpPr>
        <xdr:cNvPr id="3" name="Shape 3" descr="Logo Jawa Barat PNG (Provinsi Jawa Barat)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188838" y="3622838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69</xdr:row>
      <xdr:rowOff>0</xdr:rowOff>
    </xdr:from>
    <xdr:ext cx="333375" cy="333375"/>
    <xdr:sp macro="" textlink="">
      <xdr:nvSpPr>
        <xdr:cNvPr id="5" name="Shape 5" descr="Logo Jawa Barat PNG (Provinsi Jawa Barat)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84075" y="3618075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128</xdr:row>
      <xdr:rowOff>0</xdr:rowOff>
    </xdr:from>
    <xdr:ext cx="333375" cy="333375"/>
    <xdr:sp macro="" textlink="">
      <xdr:nvSpPr>
        <xdr:cNvPr id="2" name="Shape 5" descr="Logo Jawa Barat PNG (Provinsi Jawa Barat)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184075" y="3618075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188</xdr:row>
      <xdr:rowOff>0</xdr:rowOff>
    </xdr:from>
    <xdr:ext cx="333375" cy="333375"/>
    <xdr:sp macro="" textlink="">
      <xdr:nvSpPr>
        <xdr:cNvPr id="4" name="Shape 5" descr="Logo Jawa Barat PNG (Provinsi Jawa Barat)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184075" y="3618075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242</xdr:row>
      <xdr:rowOff>0</xdr:rowOff>
    </xdr:from>
    <xdr:ext cx="333375" cy="333375"/>
    <xdr:sp macro="" textlink="">
      <xdr:nvSpPr>
        <xdr:cNvPr id="6" name="Shape 5" descr="Logo Jawa Barat PNG (Provinsi Jawa Barat)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184075" y="3618075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303</xdr:row>
      <xdr:rowOff>0</xdr:rowOff>
    </xdr:from>
    <xdr:ext cx="333375" cy="333375"/>
    <xdr:sp macro="" textlink="">
      <xdr:nvSpPr>
        <xdr:cNvPr id="7" name="Shape 5" descr="Logo Jawa Barat PNG (Provinsi Jawa Barat)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5184075" y="3618075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364</xdr:row>
      <xdr:rowOff>0</xdr:rowOff>
    </xdr:from>
    <xdr:ext cx="333375" cy="333375"/>
    <xdr:sp macro="" textlink="">
      <xdr:nvSpPr>
        <xdr:cNvPr id="8" name="Shape 5" descr="Logo Jawa Barat PNG (Provinsi Jawa Barat)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5184075" y="3618075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425</xdr:row>
      <xdr:rowOff>0</xdr:rowOff>
    </xdr:from>
    <xdr:ext cx="333375" cy="333375"/>
    <xdr:sp macro="" textlink="">
      <xdr:nvSpPr>
        <xdr:cNvPr id="9" name="Shape 5" descr="Logo Jawa Barat PNG (Provinsi Jawa Barat)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5184075" y="3618075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485</xdr:row>
      <xdr:rowOff>0</xdr:rowOff>
    </xdr:from>
    <xdr:ext cx="333375" cy="333375"/>
    <xdr:sp macro="" textlink="">
      <xdr:nvSpPr>
        <xdr:cNvPr id="10" name="Shape 5" descr="Logo Jawa Barat PNG (Provinsi Jawa Barat)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5184075" y="3618075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547</xdr:row>
      <xdr:rowOff>0</xdr:rowOff>
    </xdr:from>
    <xdr:ext cx="333375" cy="333375"/>
    <xdr:sp macro="" textlink="">
      <xdr:nvSpPr>
        <xdr:cNvPr id="11" name="Shape 5" descr="Logo Jawa Barat PNG (Provinsi Jawa Barat)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5184075" y="3618075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601</xdr:row>
      <xdr:rowOff>0</xdr:rowOff>
    </xdr:from>
    <xdr:ext cx="333375" cy="333375"/>
    <xdr:sp macro="" textlink="">
      <xdr:nvSpPr>
        <xdr:cNvPr id="12" name="Shape 5" descr="Logo Jawa Barat PNG (Provinsi Jawa Barat)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5184075" y="3618075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661</xdr:row>
      <xdr:rowOff>0</xdr:rowOff>
    </xdr:from>
    <xdr:ext cx="333375" cy="333375"/>
    <xdr:sp macro="" textlink="">
      <xdr:nvSpPr>
        <xdr:cNvPr id="13" name="Shape 5" descr="Logo Jawa Barat PNG (Provinsi Jawa Barat)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5184075" y="3618075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504825</xdr:colOff>
      <xdr:row>0</xdr:row>
      <xdr:rowOff>0</xdr:rowOff>
    </xdr:from>
    <xdr:ext cx="914400" cy="1095375"/>
    <xdr:pic>
      <xdr:nvPicPr>
        <xdr:cNvPr id="14" name="image1.p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9</xdr:row>
      <xdr:rowOff>0</xdr:rowOff>
    </xdr:from>
    <xdr:ext cx="323850" cy="323850"/>
    <xdr:sp macro="" textlink="">
      <xdr:nvSpPr>
        <xdr:cNvPr id="4" name="Shape 4" descr="Logo Jawa Barat PNG (Provinsi Jawa Barat)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5188838" y="3622838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70</xdr:row>
      <xdr:rowOff>0</xdr:rowOff>
    </xdr:from>
    <xdr:ext cx="333375" cy="333375"/>
    <xdr:sp macro="" textlink="">
      <xdr:nvSpPr>
        <xdr:cNvPr id="6" name="Shape 6" descr="Logo Jawa Barat PNG (Provinsi Jawa Barat)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5184075" y="3618075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128</xdr:row>
      <xdr:rowOff>0</xdr:rowOff>
    </xdr:from>
    <xdr:ext cx="333375" cy="333375"/>
    <xdr:sp macro="" textlink="">
      <xdr:nvSpPr>
        <xdr:cNvPr id="7" name="Shape 7" descr="Logo Jawa Barat PNG (Provinsi Jawa Barat)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5184075" y="3618075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186</xdr:row>
      <xdr:rowOff>0</xdr:rowOff>
    </xdr:from>
    <xdr:ext cx="333375" cy="333375"/>
    <xdr:sp macro="" textlink="">
      <xdr:nvSpPr>
        <xdr:cNvPr id="8" name="Shape 8" descr="Logo Jawa Barat PNG (Provinsi Jawa Barat)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5184075" y="3618075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244</xdr:row>
      <xdr:rowOff>0</xdr:rowOff>
    </xdr:from>
    <xdr:ext cx="333375" cy="333375"/>
    <xdr:sp macro="" textlink="">
      <xdr:nvSpPr>
        <xdr:cNvPr id="2" name="Shape 8" descr="Logo Jawa Barat PNG (Provinsi Jawa Barat)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5184075" y="3618075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305</xdr:row>
      <xdr:rowOff>0</xdr:rowOff>
    </xdr:from>
    <xdr:ext cx="333375" cy="333375"/>
    <xdr:sp macro="" textlink="">
      <xdr:nvSpPr>
        <xdr:cNvPr id="3" name="Shape 8" descr="Logo Jawa Barat PNG (Provinsi Jawa Barat)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5184075" y="3618075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364</xdr:row>
      <xdr:rowOff>0</xdr:rowOff>
    </xdr:from>
    <xdr:ext cx="333375" cy="333375"/>
    <xdr:sp macro="" textlink="">
      <xdr:nvSpPr>
        <xdr:cNvPr id="5" name="Shape 8" descr="Logo Jawa Barat PNG (Provinsi Jawa Barat)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5184075" y="3618075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425</xdr:row>
      <xdr:rowOff>0</xdr:rowOff>
    </xdr:from>
    <xdr:ext cx="333375" cy="333375"/>
    <xdr:sp macro="" textlink="">
      <xdr:nvSpPr>
        <xdr:cNvPr id="9" name="Shape 8" descr="Logo Jawa Barat PNG (Provinsi Jawa Barat)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5184075" y="3618075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486</xdr:row>
      <xdr:rowOff>0</xdr:rowOff>
    </xdr:from>
    <xdr:ext cx="333375" cy="333375"/>
    <xdr:sp macro="" textlink="">
      <xdr:nvSpPr>
        <xdr:cNvPr id="10" name="Shape 9" descr="Logo Jawa Barat PNG (Provinsi Jawa Barat)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5184075" y="3618075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546</xdr:row>
      <xdr:rowOff>0</xdr:rowOff>
    </xdr:from>
    <xdr:ext cx="333375" cy="333375"/>
    <xdr:sp macro="" textlink="">
      <xdr:nvSpPr>
        <xdr:cNvPr id="11" name="Shape 8" descr="Logo Jawa Barat PNG (Provinsi Jawa Barat)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5184075" y="3618075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605</xdr:row>
      <xdr:rowOff>0</xdr:rowOff>
    </xdr:from>
    <xdr:ext cx="333375" cy="333375"/>
    <xdr:sp macro="" textlink="">
      <xdr:nvSpPr>
        <xdr:cNvPr id="12" name="Shape 8" descr="Logo Jawa Barat PNG (Provinsi Jawa Barat)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5184075" y="3618075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665</xdr:row>
      <xdr:rowOff>0</xdr:rowOff>
    </xdr:from>
    <xdr:ext cx="333375" cy="333375"/>
    <xdr:sp macro="" textlink="">
      <xdr:nvSpPr>
        <xdr:cNvPr id="13" name="Shape 8" descr="Logo Jawa Barat PNG (Provinsi Jawa Barat)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5184075" y="3618075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504825</xdr:colOff>
      <xdr:row>0</xdr:row>
      <xdr:rowOff>0</xdr:rowOff>
    </xdr:from>
    <xdr:ext cx="914400" cy="1095375"/>
    <xdr:pic>
      <xdr:nvPicPr>
        <xdr:cNvPr id="14" name="image1.png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9</xdr:row>
      <xdr:rowOff>0</xdr:rowOff>
    </xdr:from>
    <xdr:ext cx="323850" cy="323850"/>
    <xdr:sp macro="" textlink="">
      <xdr:nvSpPr>
        <xdr:cNvPr id="3" name="Shape 3" descr="Logo Jawa Barat PNG (Provinsi Jawa Barat)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5188838" y="3622838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59</xdr:row>
      <xdr:rowOff>0</xdr:rowOff>
    </xdr:from>
    <xdr:ext cx="333375" cy="333375"/>
    <xdr:sp macro="" textlink="">
      <xdr:nvSpPr>
        <xdr:cNvPr id="5" name="Shape 5" descr="Logo Jawa Barat PNG (Provinsi Jawa Barat)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5184075" y="3618075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108</xdr:row>
      <xdr:rowOff>0</xdr:rowOff>
    </xdr:from>
    <xdr:ext cx="333375" cy="333375"/>
    <xdr:sp macro="" textlink="">
      <xdr:nvSpPr>
        <xdr:cNvPr id="2" name="Shape 5" descr="Logo Jawa Barat PNG (Provinsi Jawa Barat)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5184075" y="3618075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158</xdr:row>
      <xdr:rowOff>0</xdr:rowOff>
    </xdr:from>
    <xdr:ext cx="333375" cy="333375"/>
    <xdr:sp macro="" textlink="">
      <xdr:nvSpPr>
        <xdr:cNvPr id="4" name="Shape 5" descr="Logo Jawa Barat PNG (Provinsi Jawa Barat)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5184075" y="3618075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208</xdr:row>
      <xdr:rowOff>0</xdr:rowOff>
    </xdr:from>
    <xdr:ext cx="333375" cy="333375"/>
    <xdr:sp macro="" textlink="">
      <xdr:nvSpPr>
        <xdr:cNvPr id="6" name="Shape 5" descr="Logo Jawa Barat PNG (Provinsi Jawa Barat)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5184075" y="3618075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258</xdr:row>
      <xdr:rowOff>0</xdr:rowOff>
    </xdr:from>
    <xdr:ext cx="333375" cy="333375"/>
    <xdr:sp macro="" textlink="">
      <xdr:nvSpPr>
        <xdr:cNvPr id="7" name="Shape 5" descr="Logo Jawa Barat PNG (Provinsi Jawa Barat)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5184075" y="3618075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307</xdr:row>
      <xdr:rowOff>0</xdr:rowOff>
    </xdr:from>
    <xdr:ext cx="333375" cy="333375"/>
    <xdr:sp macro="" textlink="">
      <xdr:nvSpPr>
        <xdr:cNvPr id="8" name="Shape 5" descr="Logo Jawa Barat PNG (Provinsi Jawa Barat)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5184075" y="3618075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356</xdr:row>
      <xdr:rowOff>0</xdr:rowOff>
    </xdr:from>
    <xdr:ext cx="333375" cy="333375"/>
    <xdr:sp macro="" textlink="">
      <xdr:nvSpPr>
        <xdr:cNvPr id="9" name="Shape 5" descr="Logo Jawa Barat PNG (Provinsi Jawa Barat)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5184075" y="3618075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405</xdr:row>
      <xdr:rowOff>0</xdr:rowOff>
    </xdr:from>
    <xdr:ext cx="333375" cy="333375"/>
    <xdr:sp macro="" textlink="">
      <xdr:nvSpPr>
        <xdr:cNvPr id="10" name="Shape 5" descr="Logo Jawa Barat PNG (Provinsi Jawa Barat)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5184075" y="3618075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454</xdr:row>
      <xdr:rowOff>0</xdr:rowOff>
    </xdr:from>
    <xdr:ext cx="333375" cy="333375"/>
    <xdr:sp macro="" textlink="">
      <xdr:nvSpPr>
        <xdr:cNvPr id="11" name="Shape 5" descr="Logo Jawa Barat PNG (Provinsi Jawa Barat)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5184075" y="3618075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503</xdr:row>
      <xdr:rowOff>0</xdr:rowOff>
    </xdr:from>
    <xdr:ext cx="333375" cy="333375"/>
    <xdr:sp macro="" textlink="">
      <xdr:nvSpPr>
        <xdr:cNvPr id="12" name="Shape 5" descr="Logo Jawa Barat PNG (Provinsi Jawa Barat)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5184075" y="3618075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552</xdr:row>
      <xdr:rowOff>0</xdr:rowOff>
    </xdr:from>
    <xdr:ext cx="333375" cy="333375"/>
    <xdr:sp macro="" textlink="">
      <xdr:nvSpPr>
        <xdr:cNvPr id="13" name="Shape 5" descr="Logo Jawa Barat PNG (Provinsi Jawa Barat)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5184075" y="3618075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504825</xdr:colOff>
      <xdr:row>0</xdr:row>
      <xdr:rowOff>0</xdr:rowOff>
    </xdr:from>
    <xdr:ext cx="914400" cy="1095375"/>
    <xdr:pic>
      <xdr:nvPicPr>
        <xdr:cNvPr id="14" name="image1.png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9</xdr:row>
      <xdr:rowOff>0</xdr:rowOff>
    </xdr:from>
    <xdr:ext cx="323850" cy="323850"/>
    <xdr:sp macro="" textlink="">
      <xdr:nvSpPr>
        <xdr:cNvPr id="3" name="Shape 3" descr="Logo Jawa Barat PNG (Provinsi Jawa Barat)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5188838" y="3622838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9</xdr:row>
      <xdr:rowOff>0</xdr:rowOff>
    </xdr:from>
    <xdr:ext cx="333375" cy="333375"/>
    <xdr:sp macro="" textlink="">
      <xdr:nvSpPr>
        <xdr:cNvPr id="5" name="Shape 5" descr="Logo Jawa Barat PNG (Provinsi Jawa Barat)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5184075" y="3618075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10</xdr:row>
      <xdr:rowOff>0</xdr:rowOff>
    </xdr:from>
    <xdr:ext cx="333375" cy="333375"/>
    <xdr:sp macro="" textlink="">
      <xdr:nvSpPr>
        <xdr:cNvPr id="2" name="Shape 5" descr="Logo Jawa Barat PNG (Provinsi Jawa Barat)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5184075" y="3618075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50</xdr:row>
      <xdr:rowOff>0</xdr:rowOff>
    </xdr:from>
    <xdr:ext cx="333375" cy="333375"/>
    <xdr:sp macro="" textlink="">
      <xdr:nvSpPr>
        <xdr:cNvPr id="4" name="Shape 5" descr="Logo Jawa Barat PNG (Provinsi Jawa Barat)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5184075" y="3618075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50</xdr:row>
      <xdr:rowOff>0</xdr:rowOff>
    </xdr:from>
    <xdr:ext cx="333375" cy="333375"/>
    <xdr:sp macro="" textlink="">
      <xdr:nvSpPr>
        <xdr:cNvPr id="6" name="Shape 5" descr="Logo Jawa Barat PNG (Provinsi Jawa Barat)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5184075" y="3618075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50</xdr:row>
      <xdr:rowOff>0</xdr:rowOff>
    </xdr:from>
    <xdr:ext cx="333375" cy="333375"/>
    <xdr:sp macro="" textlink="">
      <xdr:nvSpPr>
        <xdr:cNvPr id="7" name="Shape 5" descr="Logo Jawa Barat PNG (Provinsi Jawa Barat)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5184075" y="3618075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50</xdr:row>
      <xdr:rowOff>0</xdr:rowOff>
    </xdr:from>
    <xdr:ext cx="333375" cy="333375"/>
    <xdr:sp macro="" textlink="">
      <xdr:nvSpPr>
        <xdr:cNvPr id="8" name="Shape 5" descr="Logo Jawa Barat PNG (Provinsi Jawa Barat)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5184075" y="3618075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50</xdr:row>
      <xdr:rowOff>0</xdr:rowOff>
    </xdr:from>
    <xdr:ext cx="333375" cy="333375"/>
    <xdr:sp macro="" textlink="">
      <xdr:nvSpPr>
        <xdr:cNvPr id="9" name="Shape 5" descr="Logo Jawa Barat PNG (Provinsi Jawa Barat)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5184075" y="3618075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50</xdr:row>
      <xdr:rowOff>0</xdr:rowOff>
    </xdr:from>
    <xdr:ext cx="333375" cy="333375"/>
    <xdr:sp macro="" textlink="">
      <xdr:nvSpPr>
        <xdr:cNvPr id="10" name="Shape 5" descr="Logo Jawa Barat PNG (Provinsi Jawa Barat)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5184075" y="3618075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50</xdr:row>
      <xdr:rowOff>0</xdr:rowOff>
    </xdr:from>
    <xdr:ext cx="333375" cy="333375"/>
    <xdr:sp macro="" textlink="">
      <xdr:nvSpPr>
        <xdr:cNvPr id="11" name="Shape 5" descr="Logo Jawa Barat PNG (Provinsi Jawa Barat)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5184075" y="3618075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50</xdr:row>
      <xdr:rowOff>0</xdr:rowOff>
    </xdr:from>
    <xdr:ext cx="333375" cy="333375"/>
    <xdr:sp macro="" textlink="">
      <xdr:nvSpPr>
        <xdr:cNvPr id="12" name="Shape 5" descr="Logo Jawa Barat PNG (Provinsi Jawa Barat)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SpPr/>
      </xdr:nvSpPr>
      <xdr:spPr>
        <a:xfrm>
          <a:off x="5184075" y="3618075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50</xdr:row>
      <xdr:rowOff>0</xdr:rowOff>
    </xdr:from>
    <xdr:ext cx="333375" cy="333375"/>
    <xdr:sp macro="" textlink="">
      <xdr:nvSpPr>
        <xdr:cNvPr id="13" name="Shape 5" descr="Logo Jawa Barat PNG (Provinsi Jawa Barat)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/>
      </xdr:nvSpPr>
      <xdr:spPr>
        <a:xfrm>
          <a:off x="5184075" y="3618075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333375</xdr:colOff>
      <xdr:row>0</xdr:row>
      <xdr:rowOff>19050</xdr:rowOff>
    </xdr:from>
    <xdr:ext cx="1000125" cy="1171575"/>
    <xdr:pic>
      <xdr:nvPicPr>
        <xdr:cNvPr id="14" name="image1.png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999"/>
  <sheetViews>
    <sheetView workbookViewId="0">
      <pane ySplit="10" topLeftCell="A68" activePane="bottomLeft" state="frozen"/>
      <selection pane="bottomLeft" activeCell="B12" sqref="B12"/>
    </sheetView>
  </sheetViews>
  <sheetFormatPr defaultColWidth="14.375" defaultRowHeight="14.95" customHeight="1"/>
  <cols>
    <col min="1" max="1" width="5.375" customWidth="1"/>
    <col min="2" max="2" width="15.375" customWidth="1"/>
    <col min="3" max="3" width="11" customWidth="1"/>
    <col min="4" max="4" width="1.375" customWidth="1"/>
    <col min="5" max="5" width="31.625" customWidth="1"/>
    <col min="6" max="14" width="6" customWidth="1"/>
    <col min="15" max="17" width="8.625" customWidth="1"/>
    <col min="18" max="18" width="22.375" customWidth="1"/>
    <col min="19" max="19" width="12.375" customWidth="1"/>
    <col min="20" max="20" width="6" customWidth="1"/>
    <col min="21" max="21" width="9.625" customWidth="1"/>
    <col min="22" max="22" width="8.625" customWidth="1"/>
    <col min="23" max="23" width="17.375" customWidth="1"/>
    <col min="24" max="28" width="8.625" customWidth="1"/>
  </cols>
  <sheetData>
    <row r="1" spans="1:28" ht="14.3" customHeight="1">
      <c r="A1" s="5"/>
      <c r="B1" s="189" t="s">
        <v>29</v>
      </c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1"/>
      <c r="N1" s="5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spans="1:28" ht="14.3" customHeight="1">
      <c r="A2" s="5"/>
      <c r="B2" s="189" t="s">
        <v>35</v>
      </c>
      <c r="C2" s="190"/>
      <c r="D2" s="190"/>
      <c r="E2" s="190"/>
      <c r="F2" s="190"/>
      <c r="G2" s="190"/>
      <c r="H2" s="190"/>
      <c r="I2" s="190"/>
      <c r="J2" s="190"/>
      <c r="K2" s="190"/>
      <c r="L2" s="190"/>
      <c r="M2" s="191"/>
      <c r="N2" s="5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spans="1:28" ht="14.3" customHeight="1">
      <c r="A3" s="5"/>
      <c r="B3" s="189" t="s">
        <v>36</v>
      </c>
      <c r="C3" s="190"/>
      <c r="D3" s="190"/>
      <c r="E3" s="190"/>
      <c r="F3" s="190"/>
      <c r="G3" s="190"/>
      <c r="H3" s="190"/>
      <c r="I3" s="190"/>
      <c r="J3" s="190"/>
      <c r="K3" s="190"/>
      <c r="L3" s="190"/>
      <c r="M3" s="191"/>
      <c r="N3" s="5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spans="1:28" ht="25.5" customHeight="1">
      <c r="A4" s="5"/>
      <c r="B4" s="192" t="s">
        <v>37</v>
      </c>
      <c r="C4" s="190"/>
      <c r="D4" s="190"/>
      <c r="E4" s="190"/>
      <c r="F4" s="190"/>
      <c r="G4" s="190"/>
      <c r="H4" s="190"/>
      <c r="I4" s="190"/>
      <c r="J4" s="190"/>
      <c r="K4" s="190"/>
      <c r="L4" s="190"/>
      <c r="M4" s="191"/>
      <c r="N4" s="5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spans="1:28" ht="14.3" customHeight="1">
      <c r="A5" s="5"/>
      <c r="B5" s="193" t="s">
        <v>38</v>
      </c>
      <c r="C5" s="190"/>
      <c r="D5" s="190"/>
      <c r="E5" s="190"/>
      <c r="F5" s="190"/>
      <c r="G5" s="190"/>
      <c r="H5" s="190"/>
      <c r="I5" s="190"/>
      <c r="J5" s="190"/>
      <c r="K5" s="190"/>
      <c r="L5" s="190"/>
      <c r="M5" s="191"/>
      <c r="N5" s="5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 spans="1:28" ht="14.3" customHeight="1">
      <c r="A6" s="13"/>
      <c r="B6" s="194" t="s">
        <v>46</v>
      </c>
      <c r="C6" s="195"/>
      <c r="D6" s="195"/>
      <c r="E6" s="195"/>
      <c r="F6" s="195"/>
      <c r="G6" s="195"/>
      <c r="H6" s="195"/>
      <c r="I6" s="195"/>
      <c r="J6" s="195"/>
      <c r="K6" s="195"/>
      <c r="L6" s="195"/>
      <c r="M6" s="196"/>
      <c r="N6" s="13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 spans="1:28" ht="14.3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spans="1:28" ht="19.55" customHeight="1">
      <c r="A8" s="197" t="s">
        <v>69</v>
      </c>
      <c r="B8" s="190"/>
      <c r="C8" s="190"/>
      <c r="D8" s="190"/>
      <c r="E8" s="190"/>
      <c r="F8" s="190"/>
      <c r="G8" s="190"/>
      <c r="H8" s="190"/>
      <c r="I8" s="190"/>
      <c r="J8" s="190"/>
      <c r="K8" s="190"/>
      <c r="L8" s="190"/>
      <c r="M8" s="190"/>
      <c r="N8" s="191"/>
      <c r="O8" s="6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spans="1:28" ht="9" customHeight="1">
      <c r="A9" s="14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4"/>
      <c r="O9" s="6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 spans="1:28" ht="19.55" customHeight="1">
      <c r="A10" s="16" t="s">
        <v>76</v>
      </c>
      <c r="B10" s="16"/>
      <c r="C10" s="4" t="s">
        <v>77</v>
      </c>
      <c r="D10" s="16"/>
      <c r="E10" s="17"/>
      <c r="F10" s="18"/>
      <c r="G10" s="17"/>
      <c r="H10" s="19" t="s">
        <v>78</v>
      </c>
      <c r="I10" s="17"/>
      <c r="J10" s="17"/>
      <c r="K10" s="17"/>
      <c r="L10" s="17"/>
      <c r="M10" s="20"/>
      <c r="N10" s="20"/>
      <c r="O10" s="6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 spans="1:28" ht="19.55" customHeight="1">
      <c r="A11" s="16" t="s">
        <v>79</v>
      </c>
      <c r="B11" s="16"/>
      <c r="C11" s="4" t="s">
        <v>83</v>
      </c>
      <c r="D11" s="16"/>
      <c r="E11" s="22"/>
      <c r="F11" s="23"/>
      <c r="G11" s="17"/>
      <c r="H11" s="19" t="s">
        <v>82</v>
      </c>
      <c r="I11" s="17"/>
      <c r="J11" s="17"/>
      <c r="K11" s="17"/>
      <c r="L11" s="17"/>
      <c r="M11" s="20"/>
      <c r="N11" s="20"/>
      <c r="O11" s="6"/>
      <c r="P11" s="7"/>
      <c r="Q11" s="7"/>
      <c r="R11" s="7" t="s">
        <v>89</v>
      </c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 spans="1:28" ht="9" customHeight="1">
      <c r="A12" s="20"/>
      <c r="B12" s="24"/>
      <c r="C12" s="24"/>
      <c r="D12" s="24"/>
      <c r="E12" s="25"/>
      <c r="F12" s="14"/>
      <c r="G12" s="20"/>
      <c r="H12" s="26"/>
      <c r="I12" s="27"/>
      <c r="J12" s="27"/>
      <c r="K12" s="27"/>
      <c r="L12" s="27"/>
      <c r="M12" s="27"/>
      <c r="N12" s="27"/>
      <c r="O12" s="6"/>
      <c r="P12" s="7"/>
      <c r="Q12" s="7"/>
      <c r="R12" s="187" t="s">
        <v>92</v>
      </c>
      <c r="S12" s="187" t="s">
        <v>1</v>
      </c>
      <c r="T12" s="187" t="s">
        <v>3</v>
      </c>
      <c r="U12" s="187" t="s">
        <v>94</v>
      </c>
      <c r="V12" s="187" t="s">
        <v>95</v>
      </c>
      <c r="W12" s="188" t="s">
        <v>96</v>
      </c>
      <c r="X12" s="7"/>
      <c r="Y12" s="7"/>
      <c r="Z12" s="7"/>
      <c r="AA12" s="7"/>
      <c r="AB12" s="7"/>
    </row>
    <row r="13" spans="1:28" ht="18" customHeight="1">
      <c r="A13" s="176" t="s">
        <v>84</v>
      </c>
      <c r="B13" s="177"/>
      <c r="C13" s="178" t="s">
        <v>85</v>
      </c>
      <c r="D13" s="179"/>
      <c r="E13" s="180"/>
      <c r="F13" s="184" t="s">
        <v>86</v>
      </c>
      <c r="G13" s="176" t="s">
        <v>87</v>
      </c>
      <c r="H13" s="186"/>
      <c r="I13" s="186"/>
      <c r="J13" s="186"/>
      <c r="K13" s="186"/>
      <c r="L13" s="186"/>
      <c r="M13" s="177"/>
      <c r="N13" s="184" t="s">
        <v>88</v>
      </c>
      <c r="O13" s="6"/>
      <c r="P13" s="7"/>
      <c r="Q13" s="7"/>
      <c r="R13" s="185"/>
      <c r="S13" s="185"/>
      <c r="T13" s="185"/>
      <c r="U13" s="185"/>
      <c r="V13" s="185"/>
      <c r="W13" s="185"/>
      <c r="X13" s="7"/>
      <c r="Y13" s="7"/>
      <c r="Z13" s="7"/>
      <c r="AA13" s="7"/>
      <c r="AB13" s="7"/>
    </row>
    <row r="14" spans="1:28" ht="14.3" customHeight="1">
      <c r="A14" s="28" t="s">
        <v>90</v>
      </c>
      <c r="B14" s="28" t="s">
        <v>91</v>
      </c>
      <c r="C14" s="181"/>
      <c r="D14" s="182"/>
      <c r="E14" s="183"/>
      <c r="F14" s="185"/>
      <c r="G14" s="28"/>
      <c r="H14" s="28"/>
      <c r="I14" s="28"/>
      <c r="J14" s="28"/>
      <c r="K14" s="28"/>
      <c r="L14" s="28"/>
      <c r="M14" s="28"/>
      <c r="N14" s="185"/>
      <c r="O14" s="6"/>
      <c r="P14" s="7"/>
      <c r="Q14" s="7"/>
      <c r="R14" s="42" t="s">
        <v>102</v>
      </c>
      <c r="S14" s="42"/>
      <c r="T14" s="42"/>
      <c r="U14" s="42">
        <f t="shared" ref="U14:U16" si="0">S14+T14</f>
        <v>0</v>
      </c>
      <c r="V14" s="42">
        <v>12</v>
      </c>
      <c r="W14" s="47">
        <f t="shared" ref="W14:W17" si="1">U14/V14</f>
        <v>0</v>
      </c>
      <c r="X14" s="7"/>
      <c r="Y14" s="7"/>
      <c r="Z14" s="7"/>
      <c r="AA14" s="7"/>
      <c r="AB14" s="7"/>
    </row>
    <row r="15" spans="1:28" ht="18" customHeight="1">
      <c r="A15" s="1">
        <v>1</v>
      </c>
      <c r="B15" s="1">
        <v>262710001</v>
      </c>
      <c r="C15" s="49" t="s">
        <v>106</v>
      </c>
      <c r="D15" s="51"/>
      <c r="E15" s="52"/>
      <c r="F15" s="53" t="s">
        <v>1</v>
      </c>
      <c r="G15" s="54"/>
      <c r="H15" s="36"/>
      <c r="I15" s="36"/>
      <c r="J15" s="36"/>
      <c r="K15" s="36"/>
      <c r="L15" s="36"/>
      <c r="M15" s="36"/>
      <c r="N15" s="36"/>
      <c r="O15" s="6"/>
      <c r="P15" s="7"/>
      <c r="Q15" s="7"/>
      <c r="R15" s="56" t="s">
        <v>110</v>
      </c>
      <c r="S15" s="56"/>
      <c r="T15" s="56"/>
      <c r="U15" s="42">
        <f t="shared" si="0"/>
        <v>0</v>
      </c>
      <c r="V15" s="56">
        <v>12</v>
      </c>
      <c r="W15" s="61">
        <f t="shared" si="1"/>
        <v>0</v>
      </c>
      <c r="X15" s="7"/>
      <c r="Y15" s="7"/>
      <c r="Z15" s="7"/>
      <c r="AA15" s="7"/>
      <c r="AB15" s="7"/>
    </row>
    <row r="16" spans="1:28" ht="18" customHeight="1">
      <c r="A16" s="1">
        <v>2</v>
      </c>
      <c r="B16" s="1">
        <v>262710002</v>
      </c>
      <c r="C16" s="49" t="s">
        <v>112</v>
      </c>
      <c r="D16" s="51"/>
      <c r="E16" s="52"/>
      <c r="F16" s="53" t="s">
        <v>3</v>
      </c>
      <c r="G16" s="54"/>
      <c r="H16" s="36"/>
      <c r="I16" s="36"/>
      <c r="J16" s="36"/>
      <c r="K16" s="36"/>
      <c r="L16" s="36"/>
      <c r="M16" s="36"/>
      <c r="N16" s="36"/>
      <c r="O16" s="6"/>
      <c r="P16" s="7"/>
      <c r="Q16" s="7"/>
      <c r="R16" s="64" t="s">
        <v>115</v>
      </c>
      <c r="S16" s="56"/>
      <c r="T16" s="56"/>
      <c r="U16" s="42">
        <f t="shared" si="0"/>
        <v>0</v>
      </c>
      <c r="V16" s="64">
        <v>11</v>
      </c>
      <c r="W16" s="66">
        <f t="shared" si="1"/>
        <v>0</v>
      </c>
      <c r="X16" s="7"/>
      <c r="Y16" s="7" t="s">
        <v>100</v>
      </c>
      <c r="Z16" s="7"/>
      <c r="AA16" s="7"/>
      <c r="AB16" s="7"/>
    </row>
    <row r="17" spans="1:28" ht="18" customHeight="1">
      <c r="A17" s="1">
        <v>3</v>
      </c>
      <c r="B17" s="1">
        <v>262710003</v>
      </c>
      <c r="C17" s="49" t="s">
        <v>119</v>
      </c>
      <c r="D17" s="51"/>
      <c r="E17" s="52"/>
      <c r="F17" s="53" t="s">
        <v>3</v>
      </c>
      <c r="G17" s="54"/>
      <c r="H17" s="36"/>
      <c r="I17" s="36"/>
      <c r="J17" s="36"/>
      <c r="K17" s="36"/>
      <c r="L17" s="36"/>
      <c r="M17" s="36"/>
      <c r="N17" s="36"/>
      <c r="O17" s="6"/>
      <c r="P17" s="7"/>
      <c r="Q17" s="7"/>
      <c r="R17" s="69" t="s">
        <v>122</v>
      </c>
      <c r="S17" s="69"/>
      <c r="T17" s="69"/>
      <c r="U17" s="69">
        <f t="shared" ref="U17:V17" si="2">SUM(U14:U16)</f>
        <v>0</v>
      </c>
      <c r="V17" s="69">
        <f t="shared" si="2"/>
        <v>35</v>
      </c>
      <c r="W17" s="70">
        <f t="shared" si="1"/>
        <v>0</v>
      </c>
      <c r="X17" s="7"/>
      <c r="Y17" s="7"/>
      <c r="Z17" s="7"/>
      <c r="AA17" s="7"/>
      <c r="AB17" s="7"/>
    </row>
    <row r="18" spans="1:28" ht="18" customHeight="1">
      <c r="A18" s="1">
        <v>4</v>
      </c>
      <c r="B18" s="1">
        <v>262710004</v>
      </c>
      <c r="C18" s="49" t="s">
        <v>127</v>
      </c>
      <c r="D18" s="51"/>
      <c r="E18" s="52"/>
      <c r="F18" s="53" t="s">
        <v>1</v>
      </c>
      <c r="G18" s="54"/>
      <c r="H18" s="36"/>
      <c r="I18" s="36"/>
      <c r="J18" s="36"/>
      <c r="K18" s="36"/>
      <c r="L18" s="36"/>
      <c r="M18" s="36"/>
      <c r="N18" s="36"/>
      <c r="O18" s="6"/>
      <c r="P18" s="7"/>
      <c r="Q18" s="7"/>
      <c r="R18" s="71" t="s">
        <v>132</v>
      </c>
      <c r="S18" s="71"/>
      <c r="T18" s="71"/>
      <c r="U18" s="72"/>
      <c r="V18" s="72"/>
      <c r="W18" s="72"/>
      <c r="X18" s="7"/>
      <c r="Y18" s="7"/>
      <c r="Z18" s="7"/>
      <c r="AA18" s="7"/>
      <c r="AB18" s="7"/>
    </row>
    <row r="19" spans="1:28" ht="18" customHeight="1">
      <c r="A19" s="1">
        <v>5</v>
      </c>
      <c r="B19" s="1">
        <v>262710005</v>
      </c>
      <c r="C19" s="49" t="s">
        <v>135</v>
      </c>
      <c r="D19" s="51"/>
      <c r="E19" s="52"/>
      <c r="F19" s="53" t="s">
        <v>1</v>
      </c>
      <c r="G19" s="54"/>
      <c r="H19" s="36"/>
      <c r="I19" s="36"/>
      <c r="J19" s="36"/>
      <c r="K19" s="36"/>
      <c r="L19" s="36"/>
      <c r="M19" s="36"/>
      <c r="N19" s="36"/>
      <c r="O19" s="6"/>
      <c r="P19" s="7"/>
      <c r="Q19" s="7"/>
      <c r="R19" s="187" t="s">
        <v>92</v>
      </c>
      <c r="S19" s="187" t="s">
        <v>1</v>
      </c>
      <c r="T19" s="187" t="s">
        <v>3</v>
      </c>
      <c r="U19" s="187" t="s">
        <v>94</v>
      </c>
      <c r="V19" s="187" t="s">
        <v>95</v>
      </c>
      <c r="W19" s="188" t="s">
        <v>96</v>
      </c>
      <c r="X19" s="7"/>
      <c r="Y19" s="7"/>
      <c r="Z19" s="7"/>
      <c r="AA19" s="7"/>
      <c r="AB19" s="7"/>
    </row>
    <row r="20" spans="1:28" ht="18" customHeight="1">
      <c r="A20" s="1">
        <v>6</v>
      </c>
      <c r="B20" s="1">
        <v>262710006</v>
      </c>
      <c r="C20" s="49" t="s">
        <v>140</v>
      </c>
      <c r="D20" s="51"/>
      <c r="E20" s="52"/>
      <c r="F20" s="53" t="s">
        <v>1</v>
      </c>
      <c r="G20" s="54"/>
      <c r="H20" s="36"/>
      <c r="I20" s="36"/>
      <c r="J20" s="36"/>
      <c r="K20" s="36"/>
      <c r="L20" s="36"/>
      <c r="M20" s="36"/>
      <c r="N20" s="36"/>
      <c r="O20" s="6"/>
      <c r="P20" s="7"/>
      <c r="Q20" s="7"/>
      <c r="R20" s="185"/>
      <c r="S20" s="185"/>
      <c r="T20" s="185"/>
      <c r="U20" s="185"/>
      <c r="V20" s="185"/>
      <c r="W20" s="185"/>
      <c r="X20" s="7"/>
      <c r="Y20" s="7"/>
      <c r="Z20" s="7"/>
      <c r="AA20" s="7"/>
      <c r="AB20" s="7"/>
    </row>
    <row r="21" spans="1:28" ht="18" customHeight="1">
      <c r="A21" s="1">
        <v>7</v>
      </c>
      <c r="B21" s="1">
        <v>262710007</v>
      </c>
      <c r="C21" s="49" t="s">
        <v>145</v>
      </c>
      <c r="D21" s="51"/>
      <c r="E21" s="52"/>
      <c r="F21" s="53" t="s">
        <v>1</v>
      </c>
      <c r="G21" s="54"/>
      <c r="H21" s="36"/>
      <c r="I21" s="36"/>
      <c r="J21" s="36"/>
      <c r="K21" s="36"/>
      <c r="L21" s="36"/>
      <c r="M21" s="36"/>
      <c r="N21" s="36"/>
      <c r="O21" s="6"/>
      <c r="P21" s="7"/>
      <c r="Q21" s="7"/>
      <c r="R21" s="42" t="s">
        <v>102</v>
      </c>
      <c r="S21" s="42"/>
      <c r="T21" s="42"/>
      <c r="U21" s="42">
        <f>S21+T21</f>
        <v>0</v>
      </c>
      <c r="V21" s="42">
        <v>2</v>
      </c>
      <c r="W21" s="47">
        <f t="shared" ref="W21:W24" si="3">U21/V21</f>
        <v>0</v>
      </c>
      <c r="X21" s="7"/>
      <c r="Y21" s="7"/>
      <c r="Z21" s="7"/>
      <c r="AA21" s="7"/>
      <c r="AB21" s="7"/>
    </row>
    <row r="22" spans="1:28" ht="18" customHeight="1">
      <c r="A22" s="1">
        <v>8</v>
      </c>
      <c r="B22" s="1">
        <v>262710008</v>
      </c>
      <c r="C22" s="49" t="s">
        <v>156</v>
      </c>
      <c r="D22" s="51"/>
      <c r="E22" s="52"/>
      <c r="F22" s="53" t="s">
        <v>3</v>
      </c>
      <c r="G22" s="54"/>
      <c r="H22" s="36"/>
      <c r="I22" s="36"/>
      <c r="J22" s="36"/>
      <c r="K22" s="36"/>
      <c r="L22" s="36"/>
      <c r="M22" s="36"/>
      <c r="N22" s="36"/>
      <c r="O22" s="6"/>
      <c r="P22" s="7"/>
      <c r="Q22" s="7"/>
      <c r="R22" s="56" t="s">
        <v>110</v>
      </c>
      <c r="S22" s="56"/>
      <c r="T22" s="56"/>
      <c r="U22" s="56"/>
      <c r="V22" s="56">
        <v>2</v>
      </c>
      <c r="W22" s="61">
        <f t="shared" si="3"/>
        <v>0</v>
      </c>
      <c r="X22" s="7"/>
      <c r="Y22" s="7"/>
      <c r="Z22" s="7"/>
      <c r="AA22" s="7"/>
      <c r="AB22" s="7"/>
    </row>
    <row r="23" spans="1:28" ht="18" customHeight="1">
      <c r="A23" s="1">
        <v>9</v>
      </c>
      <c r="B23" s="1">
        <v>262710009</v>
      </c>
      <c r="C23" s="49" t="s">
        <v>163</v>
      </c>
      <c r="D23" s="51"/>
      <c r="E23" s="52"/>
      <c r="F23" s="53" t="s">
        <v>1</v>
      </c>
      <c r="G23" s="54"/>
      <c r="H23" s="36"/>
      <c r="I23" s="36"/>
      <c r="J23" s="36"/>
      <c r="K23" s="36"/>
      <c r="L23" s="36"/>
      <c r="M23" s="36"/>
      <c r="N23" s="36"/>
      <c r="O23" s="6"/>
      <c r="P23" s="7"/>
      <c r="Q23" s="7"/>
      <c r="R23" s="64" t="s">
        <v>115</v>
      </c>
      <c r="S23" s="64"/>
      <c r="T23" s="64"/>
      <c r="U23" s="64"/>
      <c r="V23" s="64">
        <v>1</v>
      </c>
      <c r="W23" s="66">
        <f t="shared" si="3"/>
        <v>0</v>
      </c>
      <c r="X23" s="7"/>
      <c r="Y23" s="7"/>
      <c r="Z23" s="7"/>
      <c r="AA23" s="7"/>
      <c r="AB23" s="7"/>
    </row>
    <row r="24" spans="1:28" ht="18" customHeight="1">
      <c r="A24" s="1">
        <v>10</v>
      </c>
      <c r="B24" s="1">
        <v>262710010</v>
      </c>
      <c r="C24" s="49" t="s">
        <v>168</v>
      </c>
      <c r="D24" s="51"/>
      <c r="E24" s="52"/>
      <c r="F24" s="53" t="s">
        <v>1</v>
      </c>
      <c r="G24" s="54"/>
      <c r="H24" s="36"/>
      <c r="I24" s="36"/>
      <c r="J24" s="36"/>
      <c r="K24" s="36"/>
      <c r="L24" s="36"/>
      <c r="M24" s="36"/>
      <c r="N24" s="36"/>
      <c r="O24" s="6"/>
      <c r="P24" s="7"/>
      <c r="Q24" s="7"/>
      <c r="R24" s="69" t="s">
        <v>122</v>
      </c>
      <c r="S24" s="69"/>
      <c r="T24" s="69"/>
      <c r="U24" s="73">
        <f>S24+T24</f>
        <v>0</v>
      </c>
      <c r="V24" s="69">
        <f>SUM(V21:V23)</f>
        <v>5</v>
      </c>
      <c r="W24" s="70">
        <f t="shared" si="3"/>
        <v>0</v>
      </c>
      <c r="X24" s="7"/>
      <c r="Y24" s="7"/>
      <c r="Z24" s="7"/>
      <c r="AA24" s="7"/>
      <c r="AB24" s="7"/>
    </row>
    <row r="25" spans="1:28" ht="18" customHeight="1">
      <c r="A25" s="1">
        <v>11</v>
      </c>
      <c r="B25" s="1">
        <v>262710011</v>
      </c>
      <c r="C25" s="49" t="s">
        <v>177</v>
      </c>
      <c r="D25" s="51"/>
      <c r="E25" s="52"/>
      <c r="F25" s="53" t="s">
        <v>1</v>
      </c>
      <c r="G25" s="54"/>
      <c r="H25" s="36"/>
      <c r="I25" s="36"/>
      <c r="J25" s="36"/>
      <c r="K25" s="36"/>
      <c r="L25" s="36"/>
      <c r="M25" s="36"/>
      <c r="N25" s="36"/>
      <c r="O25" s="6"/>
      <c r="P25" s="7"/>
      <c r="Q25" s="7"/>
      <c r="R25" s="3" t="s">
        <v>180</v>
      </c>
      <c r="S25" s="3"/>
      <c r="T25" s="3"/>
      <c r="U25" s="3"/>
      <c r="V25" s="3"/>
      <c r="W25" s="3"/>
      <c r="X25" s="7"/>
      <c r="Y25" s="7"/>
      <c r="Z25" s="7"/>
      <c r="AA25" s="7"/>
      <c r="AB25" s="7"/>
    </row>
    <row r="26" spans="1:28" ht="18" customHeight="1">
      <c r="A26" s="1">
        <v>12</v>
      </c>
      <c r="B26" s="1">
        <v>262710012</v>
      </c>
      <c r="C26" s="49" t="s">
        <v>185</v>
      </c>
      <c r="D26" s="51"/>
      <c r="E26" s="52"/>
      <c r="F26" s="53" t="s">
        <v>1</v>
      </c>
      <c r="G26" s="54"/>
      <c r="H26" s="36"/>
      <c r="I26" s="36"/>
      <c r="J26" s="36"/>
      <c r="K26" s="36"/>
      <c r="L26" s="36"/>
      <c r="M26" s="36"/>
      <c r="N26" s="36"/>
      <c r="O26" s="6"/>
      <c r="P26" s="7"/>
      <c r="Q26" s="7"/>
      <c r="R26" s="187" t="s">
        <v>92</v>
      </c>
      <c r="S26" s="187" t="s">
        <v>1</v>
      </c>
      <c r="T26" s="187" t="s">
        <v>3</v>
      </c>
      <c r="U26" s="187" t="s">
        <v>94</v>
      </c>
      <c r="V26" s="187" t="s">
        <v>95</v>
      </c>
      <c r="W26" s="188" t="s">
        <v>96</v>
      </c>
      <c r="X26" s="7"/>
      <c r="Y26" s="7"/>
      <c r="Z26" s="7"/>
      <c r="AA26" s="7"/>
      <c r="AB26" s="7"/>
    </row>
    <row r="27" spans="1:28" ht="18" customHeight="1">
      <c r="A27" s="1">
        <v>13</v>
      </c>
      <c r="B27" s="1">
        <v>262710013</v>
      </c>
      <c r="C27" s="49" t="s">
        <v>195</v>
      </c>
      <c r="D27" s="51"/>
      <c r="E27" s="52"/>
      <c r="F27" s="53" t="s">
        <v>3</v>
      </c>
      <c r="G27" s="54"/>
      <c r="H27" s="36"/>
      <c r="I27" s="36"/>
      <c r="J27" s="36"/>
      <c r="K27" s="36"/>
      <c r="L27" s="36"/>
      <c r="M27" s="36"/>
      <c r="N27" s="36"/>
      <c r="O27" s="6"/>
      <c r="P27" s="7"/>
      <c r="Q27" s="7"/>
      <c r="R27" s="185"/>
      <c r="S27" s="185"/>
      <c r="T27" s="185"/>
      <c r="U27" s="185"/>
      <c r="V27" s="185"/>
      <c r="W27" s="185"/>
      <c r="X27" s="7"/>
      <c r="Y27" s="7"/>
      <c r="Z27" s="7"/>
      <c r="AA27" s="7"/>
      <c r="AB27" s="7"/>
    </row>
    <row r="28" spans="1:28" ht="18" customHeight="1">
      <c r="A28" s="1">
        <v>14</v>
      </c>
      <c r="B28" s="1">
        <v>262710014</v>
      </c>
      <c r="C28" s="49" t="s">
        <v>199</v>
      </c>
      <c r="D28" s="51"/>
      <c r="E28" s="52"/>
      <c r="F28" s="53" t="s">
        <v>3</v>
      </c>
      <c r="G28" s="54"/>
      <c r="H28" s="36"/>
      <c r="I28" s="36"/>
      <c r="J28" s="36"/>
      <c r="K28" s="36"/>
      <c r="L28" s="36"/>
      <c r="M28" s="36"/>
      <c r="N28" s="36"/>
      <c r="O28" s="6"/>
      <c r="P28" s="7"/>
      <c r="Q28" s="7"/>
      <c r="R28" s="42" t="s">
        <v>102</v>
      </c>
      <c r="S28" s="42"/>
      <c r="T28" s="42"/>
      <c r="U28" s="42">
        <f t="shared" ref="U28:U30" si="4">S28+T28</f>
        <v>0</v>
      </c>
      <c r="V28" s="42">
        <f t="shared" ref="V28:V30" si="5">V14+V21</f>
        <v>14</v>
      </c>
      <c r="W28" s="47">
        <f t="shared" ref="W28:W31" si="6">U28/V28</f>
        <v>0</v>
      </c>
      <c r="X28" s="7"/>
      <c r="Y28" s="7"/>
      <c r="Z28" s="7"/>
      <c r="AA28" s="7"/>
      <c r="AB28" s="7"/>
    </row>
    <row r="29" spans="1:28" ht="18" customHeight="1">
      <c r="A29" s="1">
        <v>15</v>
      </c>
      <c r="B29" s="1">
        <v>262710015</v>
      </c>
      <c r="C29" s="49" t="s">
        <v>208</v>
      </c>
      <c r="D29" s="51"/>
      <c r="E29" s="52"/>
      <c r="F29" s="53" t="s">
        <v>3</v>
      </c>
      <c r="G29" s="54"/>
      <c r="H29" s="36"/>
      <c r="I29" s="36"/>
      <c r="J29" s="36"/>
      <c r="K29" s="36"/>
      <c r="L29" s="36"/>
      <c r="M29" s="36"/>
      <c r="N29" s="36"/>
      <c r="O29" s="6"/>
      <c r="P29" s="7"/>
      <c r="Q29" s="7"/>
      <c r="R29" s="56" t="s">
        <v>110</v>
      </c>
      <c r="S29" s="56"/>
      <c r="T29" s="56"/>
      <c r="U29" s="42">
        <f t="shared" si="4"/>
        <v>0</v>
      </c>
      <c r="V29" s="56">
        <f t="shared" si="5"/>
        <v>14</v>
      </c>
      <c r="W29" s="61">
        <f t="shared" si="6"/>
        <v>0</v>
      </c>
      <c r="X29" s="7"/>
      <c r="Y29" s="7"/>
      <c r="Z29" s="7"/>
      <c r="AA29" s="7"/>
      <c r="AB29" s="7"/>
    </row>
    <row r="30" spans="1:28" ht="18" customHeight="1">
      <c r="A30" s="1">
        <v>16</v>
      </c>
      <c r="B30" s="1">
        <v>262710016</v>
      </c>
      <c r="C30" s="49" t="s">
        <v>215</v>
      </c>
      <c r="D30" s="51"/>
      <c r="E30" s="52"/>
      <c r="F30" s="53" t="s">
        <v>3</v>
      </c>
      <c r="G30" s="54"/>
      <c r="H30" s="36"/>
      <c r="I30" s="36"/>
      <c r="J30" s="36"/>
      <c r="K30" s="36"/>
      <c r="L30" s="36"/>
      <c r="M30" s="36"/>
      <c r="N30" s="36"/>
      <c r="O30" s="6"/>
      <c r="P30" s="7"/>
      <c r="Q30" s="7"/>
      <c r="R30" s="64" t="s">
        <v>115</v>
      </c>
      <c r="S30" s="64"/>
      <c r="T30" s="64"/>
      <c r="U30" s="42">
        <f t="shared" si="4"/>
        <v>0</v>
      </c>
      <c r="V30" s="64">
        <f t="shared" si="5"/>
        <v>12</v>
      </c>
      <c r="W30" s="66">
        <f t="shared" si="6"/>
        <v>0</v>
      </c>
      <c r="X30" s="7"/>
      <c r="Y30" s="7"/>
      <c r="Z30" s="7"/>
      <c r="AA30" s="7"/>
      <c r="AB30" s="7"/>
    </row>
    <row r="31" spans="1:28" ht="18" customHeight="1">
      <c r="A31" s="1">
        <v>17</v>
      </c>
      <c r="B31" s="1">
        <v>262710017</v>
      </c>
      <c r="C31" s="49" t="s">
        <v>223</v>
      </c>
      <c r="D31" s="51"/>
      <c r="E31" s="52"/>
      <c r="F31" s="53" t="s">
        <v>3</v>
      </c>
      <c r="G31" s="54"/>
      <c r="H31" s="36"/>
      <c r="I31" s="36"/>
      <c r="J31" s="36"/>
      <c r="K31" s="36"/>
      <c r="L31" s="36"/>
      <c r="M31" s="36"/>
      <c r="N31" s="36"/>
      <c r="O31" s="6"/>
      <c r="P31" s="7"/>
      <c r="Q31" s="7"/>
      <c r="R31" s="69" t="s">
        <v>122</v>
      </c>
      <c r="S31" s="69"/>
      <c r="T31" s="69"/>
      <c r="U31" s="69">
        <f t="shared" ref="U31:V31" si="7">SUM(U28:U30)</f>
        <v>0</v>
      </c>
      <c r="V31" s="69">
        <f t="shared" si="7"/>
        <v>40</v>
      </c>
      <c r="W31" s="70">
        <f t="shared" si="6"/>
        <v>0</v>
      </c>
      <c r="X31" s="7"/>
      <c r="Y31" s="7"/>
      <c r="Z31" s="7"/>
      <c r="AA31" s="7"/>
      <c r="AB31" s="7"/>
    </row>
    <row r="32" spans="1:28" ht="18" customHeight="1">
      <c r="A32" s="1">
        <v>18</v>
      </c>
      <c r="B32" s="1">
        <v>262710018</v>
      </c>
      <c r="C32" s="49" t="s">
        <v>231</v>
      </c>
      <c r="D32" s="51"/>
      <c r="E32" s="52"/>
      <c r="F32" s="53" t="s">
        <v>1</v>
      </c>
      <c r="G32" s="54"/>
      <c r="H32" s="36"/>
      <c r="I32" s="36"/>
      <c r="J32" s="36"/>
      <c r="K32" s="36"/>
      <c r="L32" s="36"/>
      <c r="M32" s="36"/>
      <c r="N32" s="36"/>
      <c r="O32" s="6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spans="1:28" ht="18" customHeight="1">
      <c r="A33" s="1">
        <v>19</v>
      </c>
      <c r="B33" s="1">
        <v>262710019</v>
      </c>
      <c r="C33" s="49" t="s">
        <v>238</v>
      </c>
      <c r="D33" s="51"/>
      <c r="E33" s="52"/>
      <c r="F33" s="53" t="s">
        <v>1</v>
      </c>
      <c r="G33" s="54"/>
      <c r="H33" s="36"/>
      <c r="I33" s="36"/>
      <c r="J33" s="36"/>
      <c r="K33" s="36"/>
      <c r="L33" s="36"/>
      <c r="M33" s="36"/>
      <c r="N33" s="1"/>
      <c r="O33" s="6"/>
      <c r="P33" s="7"/>
      <c r="Q33" s="7"/>
      <c r="R33" s="7"/>
      <c r="S33" s="76"/>
      <c r="T33" s="7"/>
      <c r="U33" s="7"/>
      <c r="V33" s="7"/>
      <c r="W33" s="7"/>
      <c r="X33" s="7"/>
      <c r="Y33" s="7"/>
      <c r="Z33" s="7"/>
      <c r="AA33" s="7"/>
      <c r="AB33" s="7"/>
    </row>
    <row r="34" spans="1:28" ht="18" customHeight="1">
      <c r="A34" s="1">
        <v>20</v>
      </c>
      <c r="B34" s="1">
        <v>262710020</v>
      </c>
      <c r="C34" s="49" t="s">
        <v>242</v>
      </c>
      <c r="D34" s="51"/>
      <c r="E34" s="52"/>
      <c r="F34" s="53" t="s">
        <v>3</v>
      </c>
      <c r="G34" s="54"/>
      <c r="H34" s="36"/>
      <c r="I34" s="36"/>
      <c r="J34" s="36"/>
      <c r="K34" s="36"/>
      <c r="L34" s="36"/>
      <c r="M34" s="36"/>
      <c r="N34" s="36"/>
      <c r="O34" s="6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spans="1:28" ht="18" customHeight="1">
      <c r="A35" s="1">
        <v>21</v>
      </c>
      <c r="B35" s="1">
        <v>262710021</v>
      </c>
      <c r="C35" s="49" t="s">
        <v>245</v>
      </c>
      <c r="D35" s="51"/>
      <c r="E35" s="52"/>
      <c r="F35" s="53" t="s">
        <v>3</v>
      </c>
      <c r="G35" s="54"/>
      <c r="H35" s="36"/>
      <c r="I35" s="36"/>
      <c r="J35" s="36"/>
      <c r="K35" s="36"/>
      <c r="L35" s="36"/>
      <c r="M35" s="36"/>
      <c r="N35" s="36"/>
      <c r="O35" s="6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spans="1:28" ht="18" customHeight="1">
      <c r="A36" s="1">
        <v>22</v>
      </c>
      <c r="B36" s="1">
        <v>262710022</v>
      </c>
      <c r="C36" s="49" t="s">
        <v>247</v>
      </c>
      <c r="D36" s="51"/>
      <c r="E36" s="52"/>
      <c r="F36" s="53" t="s">
        <v>1</v>
      </c>
      <c r="G36" s="54"/>
      <c r="H36" s="36"/>
      <c r="I36" s="36"/>
      <c r="J36" s="36"/>
      <c r="K36" s="36"/>
      <c r="L36" s="36"/>
      <c r="M36" s="36"/>
      <c r="N36" s="36"/>
      <c r="O36" s="6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 spans="1:28" ht="18" customHeight="1">
      <c r="A37" s="1">
        <v>23</v>
      </c>
      <c r="B37" s="1">
        <v>262710023</v>
      </c>
      <c r="C37" s="49" t="s">
        <v>250</v>
      </c>
      <c r="D37" s="51"/>
      <c r="E37" s="52"/>
      <c r="F37" s="53" t="s">
        <v>3</v>
      </c>
      <c r="G37" s="54"/>
      <c r="H37" s="36"/>
      <c r="I37" s="36"/>
      <c r="J37" s="36"/>
      <c r="K37" s="36"/>
      <c r="L37" s="36"/>
      <c r="M37" s="36"/>
      <c r="N37" s="36"/>
      <c r="O37" s="6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spans="1:28" ht="18" customHeight="1">
      <c r="A38" s="1">
        <v>24</v>
      </c>
      <c r="B38" s="1">
        <v>262710024</v>
      </c>
      <c r="C38" s="49" t="s">
        <v>255</v>
      </c>
      <c r="D38" s="51"/>
      <c r="E38" s="52"/>
      <c r="F38" s="53" t="s">
        <v>1</v>
      </c>
      <c r="G38" s="54"/>
      <c r="H38" s="36"/>
      <c r="I38" s="36"/>
      <c r="J38" s="36"/>
      <c r="K38" s="36"/>
      <c r="L38" s="36"/>
      <c r="M38" s="36"/>
      <c r="N38" s="36"/>
      <c r="O38" s="6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 spans="1:28" ht="18" customHeight="1">
      <c r="A39" s="1">
        <v>25</v>
      </c>
      <c r="B39" s="1">
        <v>262710025</v>
      </c>
      <c r="C39" s="49" t="s">
        <v>259</v>
      </c>
      <c r="D39" s="51"/>
      <c r="E39" s="52"/>
      <c r="F39" s="53" t="s">
        <v>1</v>
      </c>
      <c r="G39" s="54"/>
      <c r="H39" s="36"/>
      <c r="I39" s="36"/>
      <c r="J39" s="36"/>
      <c r="K39" s="36"/>
      <c r="L39" s="36"/>
      <c r="M39" s="36"/>
      <c r="N39" s="36"/>
      <c r="O39" s="6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spans="1:28" ht="18" customHeight="1">
      <c r="A40" s="1">
        <v>26</v>
      </c>
      <c r="B40" s="1">
        <v>262710026</v>
      </c>
      <c r="C40" s="49" t="s">
        <v>262</v>
      </c>
      <c r="D40" s="51"/>
      <c r="E40" s="52"/>
      <c r="F40" s="53" t="s">
        <v>1</v>
      </c>
      <c r="G40" s="54"/>
      <c r="H40" s="36"/>
      <c r="I40" s="36"/>
      <c r="J40" s="36"/>
      <c r="K40" s="36"/>
      <c r="L40" s="36"/>
      <c r="M40" s="36"/>
      <c r="N40" s="36"/>
      <c r="O40" s="6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 spans="1:28" ht="18" customHeight="1">
      <c r="A41" s="1">
        <v>27</v>
      </c>
      <c r="B41" s="1">
        <v>262710027</v>
      </c>
      <c r="C41" s="49" t="s">
        <v>265</v>
      </c>
      <c r="D41" s="51"/>
      <c r="E41" s="52"/>
      <c r="F41" s="53" t="s">
        <v>1</v>
      </c>
      <c r="G41" s="54"/>
      <c r="H41" s="36"/>
      <c r="I41" s="36"/>
      <c r="J41" s="36"/>
      <c r="K41" s="36"/>
      <c r="L41" s="36"/>
      <c r="M41" s="36"/>
      <c r="N41" s="36"/>
      <c r="O41" s="6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 spans="1:28" ht="18" customHeight="1">
      <c r="A42" s="1">
        <v>28</v>
      </c>
      <c r="B42" s="1">
        <v>262710028</v>
      </c>
      <c r="C42" s="49" t="s">
        <v>268</v>
      </c>
      <c r="D42" s="51"/>
      <c r="E42" s="52"/>
      <c r="F42" s="53" t="s">
        <v>1</v>
      </c>
      <c r="G42" s="54"/>
      <c r="H42" s="78"/>
      <c r="I42" s="78"/>
      <c r="J42" s="78"/>
      <c r="K42" s="78"/>
      <c r="L42" s="78"/>
      <c r="M42" s="78"/>
      <c r="N42" s="78"/>
      <c r="O42" s="21"/>
      <c r="P42" s="91"/>
      <c r="Q42" s="78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</row>
    <row r="43" spans="1:28" ht="18" customHeight="1">
      <c r="A43" s="1">
        <v>29</v>
      </c>
      <c r="B43" s="1">
        <v>262710029</v>
      </c>
      <c r="C43" s="49" t="s">
        <v>271</v>
      </c>
      <c r="D43" s="51"/>
      <c r="E43" s="52"/>
      <c r="F43" s="53" t="s">
        <v>1</v>
      </c>
      <c r="G43" s="54"/>
      <c r="H43" s="36"/>
      <c r="I43" s="36"/>
      <c r="J43" s="36"/>
      <c r="K43" s="36"/>
      <c r="L43" s="36"/>
      <c r="M43" s="36"/>
      <c r="N43" s="36"/>
      <c r="O43" s="6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spans="1:28" ht="18" customHeight="1">
      <c r="A44" s="1">
        <v>30</v>
      </c>
      <c r="B44" s="1">
        <v>262710030</v>
      </c>
      <c r="C44" s="49" t="s">
        <v>272</v>
      </c>
      <c r="D44" s="51"/>
      <c r="E44" s="52"/>
      <c r="F44" s="53" t="s">
        <v>3</v>
      </c>
      <c r="G44" s="54"/>
      <c r="H44" s="36"/>
      <c r="I44" s="36"/>
      <c r="J44" s="36"/>
      <c r="K44" s="36"/>
      <c r="L44" s="36"/>
      <c r="M44" s="36"/>
      <c r="N44" s="36"/>
      <c r="O44" s="6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spans="1:28" ht="18" customHeight="1">
      <c r="A45" s="1">
        <v>31</v>
      </c>
      <c r="B45" s="1">
        <v>262710031</v>
      </c>
      <c r="C45" s="49" t="s">
        <v>274</v>
      </c>
      <c r="D45" s="51"/>
      <c r="E45" s="52"/>
      <c r="F45" s="53" t="s">
        <v>3</v>
      </c>
      <c r="G45" s="54"/>
      <c r="H45" s="36"/>
      <c r="I45" s="36"/>
      <c r="J45" s="36"/>
      <c r="K45" s="36"/>
      <c r="L45" s="36"/>
      <c r="M45" s="36"/>
      <c r="N45" s="36"/>
      <c r="O45" s="6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spans="1:28" ht="18" customHeight="1">
      <c r="A46" s="1">
        <v>32</v>
      </c>
      <c r="B46" s="1">
        <v>262710032</v>
      </c>
      <c r="C46" s="49" t="s">
        <v>279</v>
      </c>
      <c r="D46" s="51"/>
      <c r="E46" s="52"/>
      <c r="F46" s="53" t="s">
        <v>1</v>
      </c>
      <c r="G46" s="54"/>
      <c r="H46" s="36"/>
      <c r="I46" s="36"/>
      <c r="J46" s="36"/>
      <c r="K46" s="36"/>
      <c r="L46" s="36"/>
      <c r="M46" s="36"/>
      <c r="N46" s="36"/>
      <c r="O46" s="6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spans="1:28" ht="18" customHeight="1">
      <c r="A47" s="1">
        <v>33</v>
      </c>
      <c r="B47" s="1">
        <v>262710033</v>
      </c>
      <c r="C47" s="49" t="s">
        <v>285</v>
      </c>
      <c r="D47" s="51"/>
      <c r="E47" s="52"/>
      <c r="F47" s="53" t="s">
        <v>1</v>
      </c>
      <c r="G47" s="54"/>
      <c r="H47" s="36"/>
      <c r="I47" s="36"/>
      <c r="J47" s="36"/>
      <c r="K47" s="36"/>
      <c r="L47" s="36"/>
      <c r="M47" s="36"/>
      <c r="N47" s="36"/>
      <c r="O47" s="6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 spans="1:28" ht="18" customHeight="1">
      <c r="A48" s="1">
        <v>34</v>
      </c>
      <c r="B48" s="1">
        <v>262710034</v>
      </c>
      <c r="C48" s="49" t="s">
        <v>290</v>
      </c>
      <c r="D48" s="51"/>
      <c r="E48" s="52"/>
      <c r="F48" s="53" t="s">
        <v>3</v>
      </c>
      <c r="G48" s="54"/>
      <c r="H48" s="85"/>
      <c r="I48" s="85"/>
      <c r="J48" s="85"/>
      <c r="K48" s="85"/>
      <c r="L48" s="85"/>
      <c r="M48" s="85"/>
      <c r="N48" s="85"/>
      <c r="O48" s="6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 spans="1:28" ht="18" customHeight="1">
      <c r="A49" s="1">
        <v>35</v>
      </c>
      <c r="B49" s="1">
        <v>262710035</v>
      </c>
      <c r="C49" s="49" t="s">
        <v>294</v>
      </c>
      <c r="D49" s="51"/>
      <c r="E49" s="52"/>
      <c r="F49" s="53" t="s">
        <v>1</v>
      </c>
      <c r="G49" s="54"/>
      <c r="H49" s="36"/>
      <c r="I49" s="36"/>
      <c r="J49" s="36"/>
      <c r="K49" s="36"/>
      <c r="L49" s="36"/>
      <c r="M49" s="36"/>
      <c r="N49" s="36"/>
      <c r="O49" s="6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 spans="1:28" ht="18" customHeight="1">
      <c r="A50" s="1">
        <v>36</v>
      </c>
      <c r="B50" s="1">
        <v>262710036</v>
      </c>
      <c r="C50" s="49" t="s">
        <v>302</v>
      </c>
      <c r="D50" s="51"/>
      <c r="E50" s="52"/>
      <c r="F50" s="53" t="s">
        <v>1</v>
      </c>
      <c r="G50" s="54"/>
      <c r="H50" s="36"/>
      <c r="I50" s="36"/>
      <c r="J50" s="36"/>
      <c r="K50" s="36"/>
      <c r="L50" s="36"/>
      <c r="M50" s="36"/>
      <c r="N50" s="36"/>
      <c r="O50" s="6"/>
      <c r="P50" s="7"/>
      <c r="Q50" s="3"/>
      <c r="R50" s="3"/>
      <c r="S50" s="3"/>
      <c r="T50" s="3"/>
      <c r="U50" s="3"/>
      <c r="V50" s="3"/>
      <c r="W50" s="3"/>
      <c r="X50" s="7"/>
      <c r="Y50" s="7"/>
      <c r="Z50" s="7"/>
      <c r="AA50" s="7"/>
      <c r="AB50" s="7"/>
    </row>
    <row r="51" spans="1:28" ht="18" customHeight="1">
      <c r="A51" s="1">
        <v>37</v>
      </c>
      <c r="B51" s="1">
        <v>262710037</v>
      </c>
      <c r="C51" s="49" t="s">
        <v>306</v>
      </c>
      <c r="D51" s="51"/>
      <c r="E51" s="52"/>
      <c r="F51" s="53" t="s">
        <v>3</v>
      </c>
      <c r="G51" s="54"/>
      <c r="H51" s="36"/>
      <c r="I51" s="36"/>
      <c r="J51" s="36"/>
      <c r="K51" s="36"/>
      <c r="L51" s="36"/>
      <c r="M51" s="36"/>
      <c r="N51" s="36"/>
      <c r="O51" s="6"/>
      <c r="P51" s="7"/>
      <c r="Q51" s="7"/>
      <c r="R51" s="98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 spans="1:28" ht="18" customHeight="1">
      <c r="A52" s="1">
        <v>38</v>
      </c>
      <c r="B52" s="1">
        <v>262710038</v>
      </c>
      <c r="C52" s="49" t="s">
        <v>314</v>
      </c>
      <c r="D52" s="51"/>
      <c r="E52" s="52"/>
      <c r="F52" s="53" t="s">
        <v>1</v>
      </c>
      <c r="G52" s="54"/>
      <c r="H52" s="36"/>
      <c r="I52" s="36"/>
      <c r="J52" s="36"/>
      <c r="K52" s="36"/>
      <c r="L52" s="36"/>
      <c r="M52" s="36"/>
      <c r="N52" s="36"/>
      <c r="O52" s="6"/>
      <c r="P52" s="7"/>
      <c r="Q52" s="7"/>
      <c r="R52" s="98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 spans="1:28" ht="18" customHeight="1">
      <c r="A53" s="1">
        <v>39</v>
      </c>
      <c r="B53" s="1">
        <v>262710039</v>
      </c>
      <c r="C53" s="49" t="s">
        <v>321</v>
      </c>
      <c r="D53" s="51"/>
      <c r="E53" s="52"/>
      <c r="F53" s="53" t="s">
        <v>1</v>
      </c>
      <c r="G53" s="54"/>
      <c r="H53" s="36"/>
      <c r="I53" s="36"/>
      <c r="J53" s="36"/>
      <c r="K53" s="36"/>
      <c r="L53" s="36"/>
      <c r="M53" s="36"/>
      <c r="N53" s="36"/>
      <c r="O53" s="6"/>
      <c r="P53" s="7"/>
      <c r="Q53" s="7"/>
      <c r="R53" s="98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 spans="1:28" ht="18" customHeight="1">
      <c r="A54" s="1">
        <v>40</v>
      </c>
      <c r="B54" s="1">
        <v>262710040</v>
      </c>
      <c r="C54" s="49" t="s">
        <v>327</v>
      </c>
      <c r="D54" s="51"/>
      <c r="E54" s="52"/>
      <c r="F54" s="53" t="s">
        <v>3</v>
      </c>
      <c r="G54" s="54"/>
      <c r="H54" s="36"/>
      <c r="I54" s="36"/>
      <c r="J54" s="36"/>
      <c r="K54" s="36"/>
      <c r="L54" s="36"/>
      <c r="M54" s="36"/>
      <c r="N54" s="36"/>
      <c r="O54" s="6"/>
      <c r="P54" s="7"/>
      <c r="Q54" s="7"/>
      <c r="R54" s="98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 spans="1:28" ht="18" customHeight="1">
      <c r="A55" s="1">
        <v>41</v>
      </c>
      <c r="B55" s="1">
        <v>262710041</v>
      </c>
      <c r="C55" s="49" t="s">
        <v>331</v>
      </c>
      <c r="D55" s="51"/>
      <c r="E55" s="52"/>
      <c r="F55" s="53" t="s">
        <v>3</v>
      </c>
      <c r="G55" s="54"/>
      <c r="H55" s="36"/>
      <c r="I55" s="36"/>
      <c r="J55" s="36"/>
      <c r="K55" s="36"/>
      <c r="L55" s="36"/>
      <c r="M55" s="36"/>
      <c r="N55" s="36"/>
      <c r="O55" s="6"/>
      <c r="P55" s="7"/>
      <c r="Q55" s="7"/>
      <c r="R55" s="98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 spans="1:28" ht="18" customHeight="1">
      <c r="A56" s="1">
        <v>42</v>
      </c>
      <c r="B56" s="1">
        <v>262710042</v>
      </c>
      <c r="C56" s="49" t="s">
        <v>336</v>
      </c>
      <c r="D56" s="51"/>
      <c r="E56" s="52"/>
      <c r="F56" s="53" t="s">
        <v>3</v>
      </c>
      <c r="G56" s="54"/>
      <c r="H56" s="36"/>
      <c r="I56" s="36"/>
      <c r="J56" s="36"/>
      <c r="K56" s="36"/>
      <c r="L56" s="36"/>
      <c r="M56" s="36"/>
      <c r="N56" s="36"/>
      <c r="O56" s="6"/>
      <c r="P56" s="7"/>
      <c r="Q56" s="7"/>
      <c r="R56" s="98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 spans="1:28" ht="18" customHeight="1">
      <c r="A57" s="1">
        <v>43</v>
      </c>
      <c r="B57" s="1">
        <v>262710043</v>
      </c>
      <c r="C57" s="49" t="s">
        <v>342</v>
      </c>
      <c r="D57" s="51"/>
      <c r="E57" s="52"/>
      <c r="F57" s="53" t="s">
        <v>3</v>
      </c>
      <c r="G57" s="54"/>
      <c r="H57" s="36"/>
      <c r="I57" s="36"/>
      <c r="J57" s="36"/>
      <c r="K57" s="36"/>
      <c r="L57" s="36"/>
      <c r="M57" s="36"/>
      <c r="N57" s="36"/>
      <c r="O57" s="6"/>
      <c r="P57" s="7"/>
      <c r="Q57" s="7"/>
      <c r="R57" s="98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 spans="1:28" ht="18" customHeight="1">
      <c r="A58" s="1">
        <v>44</v>
      </c>
      <c r="B58" s="1">
        <v>262710044</v>
      </c>
      <c r="C58" s="49" t="s">
        <v>347</v>
      </c>
      <c r="D58" s="71"/>
      <c r="E58" s="103"/>
      <c r="F58" s="53" t="s">
        <v>3</v>
      </c>
      <c r="G58" s="54"/>
      <c r="H58" s="85"/>
      <c r="I58" s="85"/>
      <c r="J58" s="85"/>
      <c r="K58" s="85"/>
      <c r="L58" s="85"/>
      <c r="M58" s="85"/>
      <c r="N58" s="85"/>
      <c r="O58" s="6"/>
      <c r="P58" s="7"/>
      <c r="Q58" s="7"/>
      <c r="R58" s="98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 spans="1:28" ht="18" customHeight="1">
      <c r="A59" s="1">
        <v>45</v>
      </c>
      <c r="B59" s="1">
        <v>262710045</v>
      </c>
      <c r="C59" s="49" t="s">
        <v>352</v>
      </c>
      <c r="D59" s="71"/>
      <c r="E59" s="103"/>
      <c r="F59" s="53" t="s">
        <v>3</v>
      </c>
      <c r="G59" s="54"/>
      <c r="H59" s="36"/>
      <c r="I59" s="36"/>
      <c r="J59" s="36"/>
      <c r="K59" s="36"/>
      <c r="L59" s="36"/>
      <c r="M59" s="36"/>
      <c r="N59" s="36"/>
      <c r="O59" s="6"/>
      <c r="P59" s="7"/>
      <c r="Q59" s="7"/>
      <c r="R59" s="98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spans="1:28" ht="18" customHeight="1">
      <c r="A60" s="1">
        <v>46</v>
      </c>
      <c r="B60" s="1">
        <v>262710046</v>
      </c>
      <c r="C60" s="49" t="s">
        <v>358</v>
      </c>
      <c r="D60" s="51"/>
      <c r="E60" s="52"/>
      <c r="F60" s="53" t="s">
        <v>3</v>
      </c>
      <c r="G60" s="54"/>
      <c r="H60" s="36"/>
      <c r="I60" s="36"/>
      <c r="J60" s="36"/>
      <c r="K60" s="36"/>
      <c r="L60" s="36"/>
      <c r="M60" s="36"/>
      <c r="N60" s="36"/>
      <c r="O60" s="6"/>
      <c r="P60" s="7"/>
      <c r="Q60" s="7"/>
      <c r="R60" s="98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 spans="1:28" ht="14.95" customHeight="1">
      <c r="A61" s="105"/>
      <c r="B61" s="105"/>
      <c r="C61" s="106"/>
      <c r="D61" s="106"/>
      <c r="E61" s="106"/>
      <c r="F61" s="99" t="s">
        <v>1</v>
      </c>
      <c r="G61" s="80">
        <f>COUNTIF(F15:F60,"L")</f>
        <v>24</v>
      </c>
      <c r="H61" s="20"/>
      <c r="I61" s="20"/>
      <c r="J61" s="20"/>
      <c r="K61" s="20"/>
      <c r="L61" s="20"/>
      <c r="M61" s="20"/>
      <c r="N61" s="20"/>
      <c r="O61" s="6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 spans="1:28" ht="15.8" customHeight="1">
      <c r="A62" s="79"/>
      <c r="B62" s="79"/>
      <c r="C62" s="20"/>
      <c r="D62" s="20"/>
      <c r="E62" s="20"/>
      <c r="F62" s="30" t="s">
        <v>3</v>
      </c>
      <c r="G62" s="30">
        <f>COUNTIF(F14:F60,"P")</f>
        <v>22</v>
      </c>
      <c r="H62" s="20"/>
      <c r="I62" s="20"/>
      <c r="J62" s="20"/>
      <c r="K62" s="20"/>
      <c r="L62" s="20"/>
      <c r="M62" s="20"/>
      <c r="N62" s="20"/>
      <c r="O62" s="6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 spans="1:28" ht="15.8" customHeight="1">
      <c r="A63" s="20" t="s">
        <v>275</v>
      </c>
      <c r="B63" s="6"/>
      <c r="C63" s="20"/>
      <c r="D63" s="20"/>
      <c r="E63" s="20"/>
      <c r="F63" s="81" t="s">
        <v>251</v>
      </c>
      <c r="G63" s="81">
        <f>SUM(G61:G62)</f>
        <v>46</v>
      </c>
      <c r="H63" s="6"/>
      <c r="I63" s="82" t="s">
        <v>254</v>
      </c>
      <c r="J63" s="6"/>
      <c r="K63" s="6"/>
      <c r="L63" s="6"/>
      <c r="M63" s="6"/>
      <c r="N63" s="6"/>
      <c r="O63" s="6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 spans="1:28" ht="15.8" customHeight="1">
      <c r="A64" s="20" t="s">
        <v>280</v>
      </c>
      <c r="B64" s="6"/>
      <c r="C64" s="20"/>
      <c r="D64" s="20"/>
      <c r="E64" s="79" t="s">
        <v>281</v>
      </c>
      <c r="F64" s="94"/>
      <c r="G64" s="6"/>
      <c r="H64" s="6"/>
      <c r="I64" s="6" t="s">
        <v>256</v>
      </c>
      <c r="J64" s="6"/>
      <c r="K64" s="6"/>
      <c r="L64" s="6"/>
      <c r="M64" s="6"/>
      <c r="N64" s="6"/>
      <c r="O64" s="6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 spans="1:28" ht="15.8" customHeight="1">
      <c r="A65" s="20"/>
      <c r="B65" s="6"/>
      <c r="C65" s="20"/>
      <c r="D65" s="20"/>
      <c r="E65" s="20"/>
      <c r="F65" s="79"/>
      <c r="G65" s="20"/>
      <c r="H65" s="20"/>
      <c r="I65" s="6"/>
      <c r="J65" s="6"/>
      <c r="K65" s="6"/>
      <c r="L65" s="6"/>
      <c r="M65" s="6"/>
      <c r="N65" s="6"/>
      <c r="O65" s="6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 spans="1:28" ht="15.8" customHeight="1">
      <c r="A66" s="20"/>
      <c r="B66" s="6"/>
      <c r="C66" s="20"/>
      <c r="D66" s="20"/>
      <c r="E66" s="20"/>
      <c r="F66" s="79"/>
      <c r="G66" s="20"/>
      <c r="H66" s="20"/>
      <c r="I66" s="6"/>
      <c r="J66" s="6"/>
      <c r="K66" s="6"/>
      <c r="L66" s="6"/>
      <c r="M66" s="6"/>
      <c r="N66" s="6"/>
      <c r="O66" s="6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 spans="1:28" ht="15.8" customHeight="1">
      <c r="A67" s="198" t="s">
        <v>379</v>
      </c>
      <c r="B67" s="190"/>
      <c r="C67" s="190"/>
      <c r="D67" s="191"/>
      <c r="E67" s="24" t="s">
        <v>380</v>
      </c>
      <c r="F67" s="94"/>
      <c r="G67" s="6"/>
      <c r="H67" s="20"/>
      <c r="I67" s="87"/>
      <c r="J67" s="87"/>
      <c r="K67" s="87"/>
      <c r="L67" s="87"/>
      <c r="M67" s="87"/>
      <c r="N67" s="87"/>
      <c r="O67" s="6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 spans="1:28" ht="15.8" customHeight="1">
      <c r="A68" s="41" t="s">
        <v>382</v>
      </c>
      <c r="B68" s="41"/>
      <c r="C68" s="20"/>
      <c r="D68" s="20"/>
      <c r="E68" s="82" t="s">
        <v>383</v>
      </c>
      <c r="F68" s="79"/>
      <c r="G68" s="20"/>
      <c r="H68" s="20" t="s">
        <v>266</v>
      </c>
      <c r="I68" s="6"/>
      <c r="J68" s="6"/>
      <c r="K68" s="6"/>
      <c r="L68" s="6"/>
      <c r="M68" s="6"/>
      <c r="N68" s="6"/>
      <c r="O68" s="6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 spans="1:28" ht="15.8" customHeight="1">
      <c r="A69" s="43"/>
      <c r="B69" s="44"/>
      <c r="C69" s="44"/>
      <c r="D69" s="44"/>
      <c r="E69" s="44"/>
      <c r="F69" s="45"/>
      <c r="G69" s="46"/>
      <c r="H69" s="46"/>
      <c r="I69" s="44"/>
      <c r="J69" s="44"/>
      <c r="K69" s="44"/>
      <c r="L69" s="44"/>
      <c r="M69" s="44"/>
      <c r="N69" s="44"/>
      <c r="O69" s="6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 spans="1:28" ht="19.55" customHeight="1">
      <c r="A70" s="16" t="s">
        <v>79</v>
      </c>
      <c r="B70" s="16"/>
      <c r="C70" s="4" t="s">
        <v>388</v>
      </c>
      <c r="D70" s="16"/>
      <c r="E70" s="22"/>
      <c r="F70" s="23"/>
      <c r="G70" s="17"/>
      <c r="H70" s="19" t="s">
        <v>82</v>
      </c>
      <c r="I70" s="17"/>
      <c r="J70" s="17"/>
      <c r="K70" s="17"/>
      <c r="L70" s="17"/>
      <c r="M70" s="20"/>
      <c r="N70" s="20"/>
      <c r="O70" s="6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 spans="1:28" ht="9" customHeight="1">
      <c r="A71" s="20"/>
      <c r="B71" s="24"/>
      <c r="C71" s="24"/>
      <c r="D71" s="24"/>
      <c r="E71" s="25"/>
      <c r="F71" s="14"/>
      <c r="G71" s="20"/>
      <c r="H71" s="26"/>
      <c r="I71" s="27"/>
      <c r="J71" s="27"/>
      <c r="K71" s="27"/>
      <c r="L71" s="27"/>
      <c r="M71" s="27"/>
      <c r="N71" s="27"/>
      <c r="O71" s="6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 spans="1:28" ht="15.8" customHeight="1">
      <c r="A72" s="176" t="s">
        <v>84</v>
      </c>
      <c r="B72" s="177"/>
      <c r="C72" s="178" t="s">
        <v>85</v>
      </c>
      <c r="D72" s="179"/>
      <c r="E72" s="180"/>
      <c r="F72" s="184" t="s">
        <v>86</v>
      </c>
      <c r="G72" s="176" t="s">
        <v>87</v>
      </c>
      <c r="H72" s="186"/>
      <c r="I72" s="186"/>
      <c r="J72" s="186"/>
      <c r="K72" s="186"/>
      <c r="L72" s="186"/>
      <c r="M72" s="177"/>
      <c r="N72" s="184" t="s">
        <v>88</v>
      </c>
      <c r="O72" s="6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 spans="1:28" ht="15.8" customHeight="1">
      <c r="A73" s="28" t="s">
        <v>90</v>
      </c>
      <c r="B73" s="28" t="s">
        <v>91</v>
      </c>
      <c r="C73" s="181"/>
      <c r="D73" s="182"/>
      <c r="E73" s="183"/>
      <c r="F73" s="185"/>
      <c r="G73" s="28"/>
      <c r="H73" s="28"/>
      <c r="I73" s="28"/>
      <c r="J73" s="28"/>
      <c r="K73" s="28"/>
      <c r="L73" s="28"/>
      <c r="M73" s="28"/>
      <c r="N73" s="185"/>
      <c r="O73" s="6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spans="1:28" ht="18" customHeight="1">
      <c r="A74" s="1">
        <v>1</v>
      </c>
      <c r="B74" s="1">
        <v>262710047</v>
      </c>
      <c r="C74" s="49" t="s">
        <v>403</v>
      </c>
      <c r="D74" s="51"/>
      <c r="E74" s="52"/>
      <c r="F74" s="53" t="s">
        <v>3</v>
      </c>
      <c r="G74" s="36"/>
      <c r="H74" s="36"/>
      <c r="I74" s="36"/>
      <c r="J74" s="36"/>
      <c r="K74" s="36"/>
      <c r="L74" s="36"/>
      <c r="M74" s="36"/>
      <c r="N74" s="68"/>
      <c r="O74" s="6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spans="1:28" ht="18" customHeight="1">
      <c r="A75" s="1">
        <f t="shared" ref="A75:A119" si="8">A74+1</f>
        <v>2</v>
      </c>
      <c r="B75" s="1">
        <v>262710048</v>
      </c>
      <c r="C75" s="49" t="s">
        <v>410</v>
      </c>
      <c r="D75" s="51"/>
      <c r="E75" s="52"/>
      <c r="F75" s="53" t="s">
        <v>3</v>
      </c>
      <c r="G75" s="36"/>
      <c r="H75" s="36"/>
      <c r="I75" s="36"/>
      <c r="J75" s="36"/>
      <c r="K75" s="36"/>
      <c r="L75" s="36"/>
      <c r="M75" s="36"/>
      <c r="N75" s="68"/>
      <c r="O75" s="6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spans="1:28" ht="18" customHeight="1">
      <c r="A76" s="1">
        <f t="shared" si="8"/>
        <v>3</v>
      </c>
      <c r="B76" s="1">
        <v>262710049</v>
      </c>
      <c r="C76" s="49" t="s">
        <v>418</v>
      </c>
      <c r="D76" s="51"/>
      <c r="E76" s="52"/>
      <c r="F76" s="53" t="s">
        <v>3</v>
      </c>
      <c r="G76" s="36"/>
      <c r="H76" s="36"/>
      <c r="I76" s="36"/>
      <c r="J76" s="36"/>
      <c r="K76" s="36"/>
      <c r="L76" s="36"/>
      <c r="M76" s="36"/>
      <c r="N76" s="68"/>
      <c r="O76" s="6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spans="1:28" ht="18" customHeight="1">
      <c r="A77" s="1">
        <f t="shared" si="8"/>
        <v>4</v>
      </c>
      <c r="B77" s="1">
        <v>262710050</v>
      </c>
      <c r="C77" s="49" t="s">
        <v>425</v>
      </c>
      <c r="D77" s="51"/>
      <c r="E77" s="52"/>
      <c r="F77" s="53" t="s">
        <v>3</v>
      </c>
      <c r="G77" s="36"/>
      <c r="H77" s="36"/>
      <c r="I77" s="36"/>
      <c r="J77" s="36"/>
      <c r="K77" s="36"/>
      <c r="L77" s="36"/>
      <c r="M77" s="36"/>
      <c r="N77" s="68"/>
      <c r="O77" s="6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spans="1:28" ht="18" customHeight="1">
      <c r="A78" s="1">
        <f t="shared" si="8"/>
        <v>5</v>
      </c>
      <c r="B78" s="1">
        <v>262710051</v>
      </c>
      <c r="C78" s="49" t="s">
        <v>431</v>
      </c>
      <c r="D78" s="51"/>
      <c r="E78" s="52"/>
      <c r="F78" s="53" t="s">
        <v>3</v>
      </c>
      <c r="G78" s="36"/>
      <c r="H78" s="36"/>
      <c r="I78" s="36"/>
      <c r="J78" s="36"/>
      <c r="K78" s="36"/>
      <c r="L78" s="36"/>
      <c r="M78" s="36"/>
      <c r="N78" s="68"/>
      <c r="O78" s="6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spans="1:28" ht="18" customHeight="1">
      <c r="A79" s="1">
        <f t="shared" si="8"/>
        <v>6</v>
      </c>
      <c r="B79" s="1">
        <v>262710052</v>
      </c>
      <c r="C79" s="49" t="s">
        <v>438</v>
      </c>
      <c r="D79" s="51"/>
      <c r="E79" s="52"/>
      <c r="F79" s="53" t="s">
        <v>3</v>
      </c>
      <c r="G79" s="36"/>
      <c r="H79" s="36"/>
      <c r="I79" s="36"/>
      <c r="J79" s="36"/>
      <c r="K79" s="36"/>
      <c r="L79" s="36"/>
      <c r="M79" s="36"/>
      <c r="N79" s="68"/>
      <c r="O79" s="6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spans="1:28" ht="18" customHeight="1">
      <c r="A80" s="1">
        <f t="shared" si="8"/>
        <v>7</v>
      </c>
      <c r="B80" s="1">
        <v>262710053</v>
      </c>
      <c r="C80" s="49" t="s">
        <v>445</v>
      </c>
      <c r="D80" s="51"/>
      <c r="E80" s="52"/>
      <c r="F80" s="53" t="s">
        <v>3</v>
      </c>
      <c r="G80" s="36"/>
      <c r="H80" s="36"/>
      <c r="I80" s="36"/>
      <c r="J80" s="36"/>
      <c r="K80" s="36"/>
      <c r="L80" s="36"/>
      <c r="M80" s="36"/>
      <c r="N80" s="68"/>
      <c r="O80" s="6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spans="1:28" ht="18" customHeight="1">
      <c r="A81" s="1">
        <f t="shared" si="8"/>
        <v>8</v>
      </c>
      <c r="B81" s="1">
        <v>262710054</v>
      </c>
      <c r="C81" s="49" t="s">
        <v>452</v>
      </c>
      <c r="D81" s="51"/>
      <c r="E81" s="52"/>
      <c r="F81" s="53" t="s">
        <v>1</v>
      </c>
      <c r="G81" s="36"/>
      <c r="H81" s="36"/>
      <c r="I81" s="36"/>
      <c r="J81" s="36"/>
      <c r="K81" s="36"/>
      <c r="L81" s="36"/>
      <c r="M81" s="36"/>
      <c r="N81" s="68"/>
      <c r="O81" s="6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 spans="1:28" ht="18" customHeight="1">
      <c r="A82" s="1">
        <f t="shared" si="8"/>
        <v>9</v>
      </c>
      <c r="B82" s="1">
        <v>262710055</v>
      </c>
      <c r="C82" s="49" t="s">
        <v>459</v>
      </c>
      <c r="D82" s="51"/>
      <c r="E82" s="52"/>
      <c r="F82" s="53" t="s">
        <v>1</v>
      </c>
      <c r="G82" s="36"/>
      <c r="H82" s="36"/>
      <c r="I82" s="36"/>
      <c r="J82" s="36"/>
      <c r="K82" s="36"/>
      <c r="L82" s="36"/>
      <c r="M82" s="36"/>
      <c r="N82" s="68"/>
      <c r="O82" s="6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 spans="1:28" ht="18" customHeight="1">
      <c r="A83" s="1">
        <f t="shared" si="8"/>
        <v>10</v>
      </c>
      <c r="B83" s="1">
        <v>262710056</v>
      </c>
      <c r="C83" s="49" t="s">
        <v>464</v>
      </c>
      <c r="D83" s="51"/>
      <c r="E83" s="52"/>
      <c r="F83" s="53" t="s">
        <v>3</v>
      </c>
      <c r="G83" s="36"/>
      <c r="H83" s="36"/>
      <c r="I83" s="36"/>
      <c r="J83" s="36"/>
      <c r="K83" s="36"/>
      <c r="L83" s="36"/>
      <c r="M83" s="36"/>
      <c r="N83" s="68"/>
      <c r="O83" s="6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 spans="1:28" ht="18" customHeight="1">
      <c r="A84" s="1">
        <f t="shared" si="8"/>
        <v>11</v>
      </c>
      <c r="B84" s="1">
        <v>262710057</v>
      </c>
      <c r="C84" s="49" t="s">
        <v>471</v>
      </c>
      <c r="D84" s="51"/>
      <c r="E84" s="52"/>
      <c r="F84" s="53" t="s">
        <v>3</v>
      </c>
      <c r="G84" s="36"/>
      <c r="H84" s="36"/>
      <c r="I84" s="36"/>
      <c r="J84" s="36"/>
      <c r="K84" s="36"/>
      <c r="L84" s="36"/>
      <c r="M84" s="36"/>
      <c r="N84" s="68"/>
      <c r="O84" s="6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 spans="1:28" ht="18" customHeight="1">
      <c r="A85" s="1">
        <f t="shared" si="8"/>
        <v>12</v>
      </c>
      <c r="B85" s="1">
        <v>262710058</v>
      </c>
      <c r="C85" s="49" t="s">
        <v>477</v>
      </c>
      <c r="D85" s="51"/>
      <c r="E85" s="52"/>
      <c r="F85" s="53" t="s">
        <v>1</v>
      </c>
      <c r="G85" s="36"/>
      <c r="H85" s="36"/>
      <c r="I85" s="36"/>
      <c r="J85" s="36"/>
      <c r="K85" s="36"/>
      <c r="L85" s="36"/>
      <c r="M85" s="36"/>
      <c r="N85" s="68"/>
      <c r="O85" s="6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 spans="1:28" ht="18" customHeight="1">
      <c r="A86" s="1">
        <f t="shared" si="8"/>
        <v>13</v>
      </c>
      <c r="B86" s="1">
        <v>262710059</v>
      </c>
      <c r="C86" s="49" t="s">
        <v>484</v>
      </c>
      <c r="D86" s="51"/>
      <c r="E86" s="52"/>
      <c r="F86" s="53" t="s">
        <v>1</v>
      </c>
      <c r="G86" s="36"/>
      <c r="H86" s="36"/>
      <c r="I86" s="36"/>
      <c r="J86" s="36"/>
      <c r="K86" s="36"/>
      <c r="L86" s="36"/>
      <c r="M86" s="36"/>
      <c r="N86" s="68"/>
      <c r="O86" s="6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 spans="1:28" ht="18" customHeight="1">
      <c r="A87" s="1">
        <f t="shared" si="8"/>
        <v>14</v>
      </c>
      <c r="B87" s="1">
        <v>262710060</v>
      </c>
      <c r="C87" s="49" t="s">
        <v>489</v>
      </c>
      <c r="D87" s="51"/>
      <c r="E87" s="52"/>
      <c r="F87" s="53" t="s">
        <v>3</v>
      </c>
      <c r="G87" s="36"/>
      <c r="H87" s="36"/>
      <c r="I87" s="36"/>
      <c r="J87" s="36"/>
      <c r="K87" s="36"/>
      <c r="L87" s="36"/>
      <c r="M87" s="36"/>
      <c r="N87" s="68"/>
      <c r="O87" s="6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 spans="1:28" ht="18" customHeight="1">
      <c r="A88" s="1">
        <f t="shared" si="8"/>
        <v>15</v>
      </c>
      <c r="B88" s="1">
        <v>262710061</v>
      </c>
      <c r="C88" s="49" t="s">
        <v>495</v>
      </c>
      <c r="D88" s="51"/>
      <c r="E88" s="52"/>
      <c r="F88" s="53" t="s">
        <v>3</v>
      </c>
      <c r="G88" s="36"/>
      <c r="H88" s="36"/>
      <c r="I88" s="36"/>
      <c r="J88" s="36"/>
      <c r="K88" s="36"/>
      <c r="L88" s="36"/>
      <c r="M88" s="36"/>
      <c r="N88" s="68"/>
      <c r="O88" s="6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 spans="1:28" ht="18" customHeight="1">
      <c r="A89" s="1">
        <f t="shared" si="8"/>
        <v>16</v>
      </c>
      <c r="B89" s="1">
        <v>262710062</v>
      </c>
      <c r="C89" s="49" t="s">
        <v>499</v>
      </c>
      <c r="D89" s="51"/>
      <c r="E89" s="52"/>
      <c r="F89" s="53" t="s">
        <v>1</v>
      </c>
      <c r="G89" s="36"/>
      <c r="H89" s="36"/>
      <c r="I89" s="36"/>
      <c r="J89" s="36"/>
      <c r="K89" s="36"/>
      <c r="L89" s="36"/>
      <c r="M89" s="36"/>
      <c r="N89" s="68"/>
      <c r="O89" s="6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 spans="1:28" ht="18" customHeight="1">
      <c r="A90" s="1">
        <f t="shared" si="8"/>
        <v>17</v>
      </c>
      <c r="B90" s="1">
        <v>262710063</v>
      </c>
      <c r="C90" s="49" t="s">
        <v>505</v>
      </c>
      <c r="D90" s="51"/>
      <c r="E90" s="52"/>
      <c r="F90" s="53" t="s">
        <v>3</v>
      </c>
      <c r="G90" s="36"/>
      <c r="H90" s="36"/>
      <c r="I90" s="36"/>
      <c r="J90" s="36"/>
      <c r="K90" s="36"/>
      <c r="L90" s="36"/>
      <c r="M90" s="36"/>
      <c r="N90" s="68"/>
      <c r="O90" s="6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 spans="1:28" ht="18" customHeight="1">
      <c r="A91" s="1">
        <f t="shared" si="8"/>
        <v>18</v>
      </c>
      <c r="B91" s="1">
        <v>262710064</v>
      </c>
      <c r="C91" s="49" t="s">
        <v>509</v>
      </c>
      <c r="D91" s="51"/>
      <c r="E91" s="52"/>
      <c r="F91" s="53" t="s">
        <v>1</v>
      </c>
      <c r="G91" s="36"/>
      <c r="H91" s="36"/>
      <c r="I91" s="36"/>
      <c r="J91" s="36"/>
      <c r="K91" s="36"/>
      <c r="L91" s="36"/>
      <c r="M91" s="36"/>
      <c r="N91" s="75"/>
      <c r="O91" s="6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 spans="1:28" ht="18" customHeight="1">
      <c r="A92" s="1">
        <f t="shared" si="8"/>
        <v>19</v>
      </c>
      <c r="B92" s="1">
        <v>262710065</v>
      </c>
      <c r="C92" s="49" t="s">
        <v>515</v>
      </c>
      <c r="D92" s="51"/>
      <c r="E92" s="52"/>
      <c r="F92" s="53" t="s">
        <v>3</v>
      </c>
      <c r="G92" s="36"/>
      <c r="H92" s="36"/>
      <c r="I92" s="36"/>
      <c r="J92" s="36"/>
      <c r="K92" s="36"/>
      <c r="L92" s="36"/>
      <c r="M92" s="36"/>
      <c r="N92" s="68"/>
      <c r="O92" s="6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 spans="1:28" ht="18" customHeight="1">
      <c r="A93" s="1">
        <f t="shared" si="8"/>
        <v>20</v>
      </c>
      <c r="B93" s="1">
        <v>262710066</v>
      </c>
      <c r="C93" s="49" t="s">
        <v>519</v>
      </c>
      <c r="D93" s="51"/>
      <c r="E93" s="52"/>
      <c r="F93" s="53" t="s">
        <v>1</v>
      </c>
      <c r="G93" s="36"/>
      <c r="H93" s="36"/>
      <c r="I93" s="36"/>
      <c r="J93" s="36"/>
      <c r="K93" s="36"/>
      <c r="L93" s="36"/>
      <c r="M93" s="36"/>
      <c r="N93" s="68"/>
      <c r="O93" s="6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 spans="1:28" ht="18" customHeight="1">
      <c r="A94" s="1">
        <f t="shared" si="8"/>
        <v>21</v>
      </c>
      <c r="B94" s="1">
        <v>262710067</v>
      </c>
      <c r="C94" s="49" t="s">
        <v>521</v>
      </c>
      <c r="D94" s="51"/>
      <c r="E94" s="52"/>
      <c r="F94" s="53" t="s">
        <v>1</v>
      </c>
      <c r="G94" s="36"/>
      <c r="H94" s="36"/>
      <c r="I94" s="36"/>
      <c r="J94" s="36"/>
      <c r="K94" s="36"/>
      <c r="L94" s="36"/>
      <c r="M94" s="36"/>
      <c r="N94" s="68"/>
      <c r="O94" s="6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 spans="1:28" ht="18" customHeight="1">
      <c r="A95" s="1">
        <f t="shared" si="8"/>
        <v>22</v>
      </c>
      <c r="B95" s="1">
        <v>262710068</v>
      </c>
      <c r="C95" s="49" t="s">
        <v>524</v>
      </c>
      <c r="D95" s="51"/>
      <c r="E95" s="52"/>
      <c r="F95" s="53" t="s">
        <v>1</v>
      </c>
      <c r="G95" s="36"/>
      <c r="H95" s="36"/>
      <c r="I95" s="36"/>
      <c r="J95" s="36"/>
      <c r="K95" s="36"/>
      <c r="L95" s="36"/>
      <c r="M95" s="36"/>
      <c r="N95" s="68"/>
      <c r="O95" s="6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 spans="1:28" ht="18" customHeight="1">
      <c r="A96" s="1">
        <f t="shared" si="8"/>
        <v>23</v>
      </c>
      <c r="B96" s="1">
        <v>262710069</v>
      </c>
      <c r="C96" s="49" t="s">
        <v>529</v>
      </c>
      <c r="D96" s="51"/>
      <c r="E96" s="52"/>
      <c r="F96" s="53" t="s">
        <v>1</v>
      </c>
      <c r="G96" s="36"/>
      <c r="H96" s="36"/>
      <c r="I96" s="36"/>
      <c r="J96" s="36"/>
      <c r="K96" s="36"/>
      <c r="L96" s="36"/>
      <c r="M96" s="36"/>
      <c r="N96" s="68"/>
      <c r="O96" s="6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 spans="1:28" ht="18" customHeight="1">
      <c r="A97" s="1">
        <f t="shared" si="8"/>
        <v>24</v>
      </c>
      <c r="B97" s="1">
        <v>262710070</v>
      </c>
      <c r="C97" s="49" t="s">
        <v>530</v>
      </c>
      <c r="D97" s="51"/>
      <c r="E97" s="52"/>
      <c r="F97" s="53" t="s">
        <v>1</v>
      </c>
      <c r="G97" s="36"/>
      <c r="H97" s="36"/>
      <c r="I97" s="36"/>
      <c r="J97" s="36"/>
      <c r="K97" s="36"/>
      <c r="L97" s="36"/>
      <c r="M97" s="36"/>
      <c r="N97" s="68"/>
      <c r="O97" s="6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 spans="1:28" ht="18" customHeight="1">
      <c r="A98" s="1">
        <f t="shared" si="8"/>
        <v>25</v>
      </c>
      <c r="B98" s="1">
        <v>262710071</v>
      </c>
      <c r="C98" s="49" t="s">
        <v>533</v>
      </c>
      <c r="D98" s="51"/>
      <c r="E98" s="52"/>
      <c r="F98" s="53" t="s">
        <v>1</v>
      </c>
      <c r="G98" s="36"/>
      <c r="H98" s="36"/>
      <c r="I98" s="36"/>
      <c r="J98" s="36"/>
      <c r="K98" s="36"/>
      <c r="L98" s="36"/>
      <c r="M98" s="36"/>
      <c r="N98" s="68"/>
      <c r="O98" s="6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 spans="1:28" ht="18" customHeight="1">
      <c r="A99" s="1">
        <f t="shared" si="8"/>
        <v>26</v>
      </c>
      <c r="B99" s="1">
        <v>262710072</v>
      </c>
      <c r="C99" s="49" t="s">
        <v>534</v>
      </c>
      <c r="D99" s="51"/>
      <c r="E99" s="52"/>
      <c r="F99" s="53" t="s">
        <v>1</v>
      </c>
      <c r="G99" s="36"/>
      <c r="H99" s="36"/>
      <c r="I99" s="36"/>
      <c r="J99" s="36"/>
      <c r="K99" s="36"/>
      <c r="L99" s="36"/>
      <c r="M99" s="36"/>
      <c r="N99" s="68"/>
      <c r="O99" s="6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 spans="1:28" ht="18" customHeight="1">
      <c r="A100" s="1">
        <f t="shared" si="8"/>
        <v>27</v>
      </c>
      <c r="B100" s="1">
        <v>262710073</v>
      </c>
      <c r="C100" s="49" t="s">
        <v>536</v>
      </c>
      <c r="D100" s="51"/>
      <c r="E100" s="52"/>
      <c r="F100" s="53" t="s">
        <v>1</v>
      </c>
      <c r="G100" s="36"/>
      <c r="H100" s="36"/>
      <c r="I100" s="36"/>
      <c r="J100" s="36"/>
      <c r="K100" s="36"/>
      <c r="L100" s="36"/>
      <c r="M100" s="36"/>
      <c r="N100" s="68"/>
      <c r="O100" s="6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 spans="1:28" ht="18" customHeight="1">
      <c r="A101" s="1">
        <f t="shared" si="8"/>
        <v>28</v>
      </c>
      <c r="B101" s="1">
        <v>262710074</v>
      </c>
      <c r="C101" s="49" t="s">
        <v>539</v>
      </c>
      <c r="D101" s="51"/>
      <c r="E101" s="52"/>
      <c r="F101" s="53" t="s">
        <v>1</v>
      </c>
      <c r="G101" s="36"/>
      <c r="H101" s="36"/>
      <c r="I101" s="36"/>
      <c r="J101" s="36"/>
      <c r="K101" s="36"/>
      <c r="L101" s="36"/>
      <c r="M101" s="36"/>
      <c r="N101" s="68"/>
      <c r="O101" s="6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 spans="1:28" ht="18" customHeight="1">
      <c r="A102" s="1">
        <f t="shared" si="8"/>
        <v>29</v>
      </c>
      <c r="B102" s="1">
        <v>262710075</v>
      </c>
      <c r="C102" s="49" t="s">
        <v>542</v>
      </c>
      <c r="D102" s="51"/>
      <c r="E102" s="52"/>
      <c r="F102" s="53" t="s">
        <v>1</v>
      </c>
      <c r="G102" s="36"/>
      <c r="H102" s="36"/>
      <c r="I102" s="36"/>
      <c r="J102" s="36"/>
      <c r="K102" s="36"/>
      <c r="L102" s="36"/>
      <c r="M102" s="36"/>
      <c r="N102" s="68"/>
      <c r="O102" s="6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 spans="1:28" ht="18" customHeight="1">
      <c r="A103" s="1">
        <f t="shared" si="8"/>
        <v>30</v>
      </c>
      <c r="B103" s="1">
        <v>262710076</v>
      </c>
      <c r="C103" s="49" t="s">
        <v>545</v>
      </c>
      <c r="D103" s="51"/>
      <c r="E103" s="52"/>
      <c r="F103" s="53" t="s">
        <v>3</v>
      </c>
      <c r="G103" s="36"/>
      <c r="H103" s="36"/>
      <c r="I103" s="36"/>
      <c r="J103" s="36"/>
      <c r="K103" s="36"/>
      <c r="L103" s="36"/>
      <c r="M103" s="36"/>
      <c r="N103" s="68"/>
      <c r="O103" s="6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 spans="1:28" ht="18" customHeight="1">
      <c r="A104" s="1">
        <f t="shared" si="8"/>
        <v>31</v>
      </c>
      <c r="B104" s="1">
        <v>262710077</v>
      </c>
      <c r="C104" s="49" t="s">
        <v>548</v>
      </c>
      <c r="D104" s="51"/>
      <c r="E104" s="52"/>
      <c r="F104" s="53" t="s">
        <v>3</v>
      </c>
      <c r="G104" s="36"/>
      <c r="H104" s="36"/>
      <c r="I104" s="36"/>
      <c r="J104" s="36"/>
      <c r="K104" s="36"/>
      <c r="L104" s="36"/>
      <c r="M104" s="36"/>
      <c r="N104" s="68"/>
      <c r="O104" s="6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 spans="1:28" ht="18" customHeight="1">
      <c r="A105" s="83">
        <f t="shared" si="8"/>
        <v>32</v>
      </c>
      <c r="B105" s="1">
        <v>262710078</v>
      </c>
      <c r="C105" s="49" t="s">
        <v>553</v>
      </c>
      <c r="D105" s="51"/>
      <c r="E105" s="52"/>
      <c r="F105" s="53" t="s">
        <v>3</v>
      </c>
      <c r="G105" s="85"/>
      <c r="H105" s="85"/>
      <c r="I105" s="85"/>
      <c r="J105" s="85"/>
      <c r="K105" s="85"/>
      <c r="L105" s="85"/>
      <c r="M105" s="85"/>
      <c r="N105" s="114"/>
      <c r="O105" s="6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 spans="1:28" ht="18" customHeight="1">
      <c r="A106" s="83">
        <f t="shared" si="8"/>
        <v>33</v>
      </c>
      <c r="B106" s="1">
        <v>262710079</v>
      </c>
      <c r="C106" s="49" t="s">
        <v>556</v>
      </c>
      <c r="D106" s="51"/>
      <c r="E106" s="52"/>
      <c r="F106" s="53" t="s">
        <v>1</v>
      </c>
      <c r="G106" s="85"/>
      <c r="H106" s="85"/>
      <c r="I106" s="85"/>
      <c r="J106" s="85"/>
      <c r="K106" s="85"/>
      <c r="L106" s="85"/>
      <c r="M106" s="85"/>
      <c r="N106" s="114"/>
      <c r="O106" s="6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 spans="1:28" ht="18" customHeight="1">
      <c r="A107" s="1">
        <f t="shared" si="8"/>
        <v>34</v>
      </c>
      <c r="B107" s="1">
        <v>262710080</v>
      </c>
      <c r="C107" s="49" t="s">
        <v>559</v>
      </c>
      <c r="D107" s="51"/>
      <c r="E107" s="52"/>
      <c r="F107" s="53" t="s">
        <v>3</v>
      </c>
      <c r="G107" s="36"/>
      <c r="H107" s="36"/>
      <c r="I107" s="36"/>
      <c r="J107" s="36"/>
      <c r="K107" s="36"/>
      <c r="L107" s="36"/>
      <c r="M107" s="36"/>
      <c r="N107" s="68"/>
      <c r="O107" s="6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 spans="1:28" ht="18" customHeight="1">
      <c r="A108" s="1">
        <f t="shared" si="8"/>
        <v>35</v>
      </c>
      <c r="B108" s="1">
        <v>262710081</v>
      </c>
      <c r="C108" s="49" t="s">
        <v>562</v>
      </c>
      <c r="D108" s="51"/>
      <c r="E108" s="52"/>
      <c r="F108" s="53" t="s">
        <v>1</v>
      </c>
      <c r="G108" s="28"/>
      <c r="H108" s="36"/>
      <c r="I108" s="36"/>
      <c r="J108" s="36"/>
      <c r="K108" s="36"/>
      <c r="L108" s="36"/>
      <c r="M108" s="36"/>
      <c r="N108" s="36"/>
      <c r="O108" s="6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 spans="1:28" ht="18" customHeight="1">
      <c r="A109" s="1">
        <f t="shared" si="8"/>
        <v>36</v>
      </c>
      <c r="B109" s="1">
        <v>262710082</v>
      </c>
      <c r="C109" s="49" t="s">
        <v>565</v>
      </c>
      <c r="D109" s="51"/>
      <c r="E109" s="52"/>
      <c r="F109" s="53" t="s">
        <v>3</v>
      </c>
      <c r="G109" s="28"/>
      <c r="H109" s="36"/>
      <c r="I109" s="36"/>
      <c r="J109" s="36"/>
      <c r="K109" s="36"/>
      <c r="L109" s="36"/>
      <c r="M109" s="36"/>
      <c r="N109" s="36"/>
      <c r="O109" s="6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 spans="1:28" ht="18" customHeight="1">
      <c r="A110" s="1">
        <f t="shared" si="8"/>
        <v>37</v>
      </c>
      <c r="B110" s="1">
        <v>262710083</v>
      </c>
      <c r="C110" s="49" t="s">
        <v>569</v>
      </c>
      <c r="D110" s="51"/>
      <c r="E110" s="52"/>
      <c r="F110" s="53" t="s">
        <v>1</v>
      </c>
      <c r="G110" s="28"/>
      <c r="H110" s="36"/>
      <c r="I110" s="36"/>
      <c r="J110" s="36"/>
      <c r="K110" s="36"/>
      <c r="L110" s="36"/>
      <c r="M110" s="36"/>
      <c r="N110" s="36"/>
      <c r="O110" s="6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 spans="1:28" ht="18" customHeight="1">
      <c r="A111" s="1">
        <f t="shared" si="8"/>
        <v>38</v>
      </c>
      <c r="B111" s="1">
        <v>262710084</v>
      </c>
      <c r="C111" s="49" t="s">
        <v>572</v>
      </c>
      <c r="D111" s="51"/>
      <c r="E111" s="52"/>
      <c r="F111" s="53" t="s">
        <v>3</v>
      </c>
      <c r="G111" s="28"/>
      <c r="H111" s="36"/>
      <c r="I111" s="36"/>
      <c r="J111" s="36"/>
      <c r="K111" s="36"/>
      <c r="L111" s="36"/>
      <c r="M111" s="36"/>
      <c r="N111" s="36"/>
      <c r="O111" s="6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 spans="1:28" ht="18" customHeight="1">
      <c r="A112" s="1">
        <f t="shared" si="8"/>
        <v>39</v>
      </c>
      <c r="B112" s="1">
        <v>262710085</v>
      </c>
      <c r="C112" s="49" t="s">
        <v>575</v>
      </c>
      <c r="D112" s="51"/>
      <c r="E112" s="52"/>
      <c r="F112" s="53" t="s">
        <v>1</v>
      </c>
      <c r="G112" s="28"/>
      <c r="H112" s="36"/>
      <c r="I112" s="36"/>
      <c r="J112" s="36"/>
      <c r="K112" s="36"/>
      <c r="L112" s="36"/>
      <c r="M112" s="36"/>
      <c r="N112" s="36"/>
      <c r="O112" s="6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 spans="1:28" ht="18" customHeight="1">
      <c r="A113" s="1">
        <f t="shared" si="8"/>
        <v>40</v>
      </c>
      <c r="B113" s="1">
        <v>262710086</v>
      </c>
      <c r="C113" s="49" t="s">
        <v>577</v>
      </c>
      <c r="D113" s="51"/>
      <c r="E113" s="52"/>
      <c r="F113" s="53" t="s">
        <v>3</v>
      </c>
      <c r="G113" s="28"/>
      <c r="H113" s="36"/>
      <c r="I113" s="36"/>
      <c r="J113" s="36"/>
      <c r="K113" s="36"/>
      <c r="L113" s="36"/>
      <c r="M113" s="36"/>
      <c r="N113" s="36"/>
      <c r="O113" s="6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 spans="1:28" ht="18" customHeight="1">
      <c r="A114" s="1">
        <f t="shared" si="8"/>
        <v>41</v>
      </c>
      <c r="B114" s="1">
        <v>262710087</v>
      </c>
      <c r="C114" s="49" t="s">
        <v>579</v>
      </c>
      <c r="D114" s="51"/>
      <c r="E114" s="52"/>
      <c r="F114" s="53" t="s">
        <v>1</v>
      </c>
      <c r="G114" s="28"/>
      <c r="H114" s="36"/>
      <c r="I114" s="36"/>
      <c r="J114" s="36"/>
      <c r="K114" s="36"/>
      <c r="L114" s="36"/>
      <c r="M114" s="36"/>
      <c r="N114" s="36"/>
      <c r="O114" s="6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 spans="1:28" ht="18" customHeight="1">
      <c r="A115" s="1">
        <f t="shared" si="8"/>
        <v>42</v>
      </c>
      <c r="B115" s="1">
        <v>262710088</v>
      </c>
      <c r="C115" s="49" t="s">
        <v>582</v>
      </c>
      <c r="D115" s="51"/>
      <c r="E115" s="52"/>
      <c r="F115" s="53" t="s">
        <v>3</v>
      </c>
      <c r="G115" s="28"/>
      <c r="H115" s="36"/>
      <c r="I115" s="36"/>
      <c r="J115" s="36"/>
      <c r="K115" s="36"/>
      <c r="L115" s="36"/>
      <c r="M115" s="36"/>
      <c r="N115" s="36"/>
      <c r="O115" s="6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 spans="1:28" ht="18" customHeight="1">
      <c r="A116" s="1">
        <f t="shared" si="8"/>
        <v>43</v>
      </c>
      <c r="B116" s="1">
        <v>262710089</v>
      </c>
      <c r="C116" s="49" t="s">
        <v>584</v>
      </c>
      <c r="D116" s="51"/>
      <c r="E116" s="52"/>
      <c r="F116" s="53" t="s">
        <v>1</v>
      </c>
      <c r="G116" s="28"/>
      <c r="H116" s="36"/>
      <c r="I116" s="36"/>
      <c r="J116" s="36"/>
      <c r="K116" s="36"/>
      <c r="L116" s="36"/>
      <c r="M116" s="36"/>
      <c r="N116" s="36"/>
      <c r="O116" s="6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 spans="1:28" ht="18" customHeight="1">
      <c r="A117" s="83">
        <f t="shared" si="8"/>
        <v>44</v>
      </c>
      <c r="B117" s="1">
        <v>262710090</v>
      </c>
      <c r="C117" s="49" t="s">
        <v>586</v>
      </c>
      <c r="D117" s="51"/>
      <c r="E117" s="52"/>
      <c r="F117" s="53" t="s">
        <v>1</v>
      </c>
      <c r="G117" s="30"/>
      <c r="H117" s="85"/>
      <c r="I117" s="85"/>
      <c r="J117" s="85"/>
      <c r="K117" s="85"/>
      <c r="L117" s="85"/>
      <c r="M117" s="85"/>
      <c r="N117" s="85"/>
      <c r="O117" s="6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 spans="1:28" ht="18" customHeight="1">
      <c r="A118" s="83">
        <f t="shared" si="8"/>
        <v>45</v>
      </c>
      <c r="B118" s="1">
        <v>262710091</v>
      </c>
      <c r="C118" s="49" t="s">
        <v>588</v>
      </c>
      <c r="D118" s="51"/>
      <c r="E118" s="52"/>
      <c r="F118" s="53" t="s">
        <v>3</v>
      </c>
      <c r="G118" s="28"/>
      <c r="H118" s="36"/>
      <c r="I118" s="36"/>
      <c r="J118" s="36"/>
      <c r="K118" s="36"/>
      <c r="L118" s="36"/>
      <c r="M118" s="36"/>
      <c r="N118" s="36"/>
      <c r="O118" s="6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 spans="1:28" ht="18" customHeight="1">
      <c r="A119" s="1">
        <f t="shared" si="8"/>
        <v>46</v>
      </c>
      <c r="B119" s="119">
        <v>262710092</v>
      </c>
      <c r="C119" s="49" t="s">
        <v>592</v>
      </c>
      <c r="D119" s="51"/>
      <c r="E119" s="52"/>
      <c r="F119" s="53" t="s">
        <v>1</v>
      </c>
      <c r="G119" s="80"/>
      <c r="H119" s="36"/>
      <c r="I119" s="36"/>
      <c r="J119" s="36"/>
      <c r="K119" s="36"/>
      <c r="L119" s="36"/>
      <c r="M119" s="36"/>
      <c r="N119" s="36"/>
      <c r="O119" s="120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 spans="1:28" ht="15.8" customHeight="1">
      <c r="A120" s="79"/>
      <c r="B120" s="79"/>
      <c r="C120" s="20"/>
      <c r="D120" s="20"/>
      <c r="E120" s="20"/>
      <c r="F120" s="121" t="s">
        <v>1</v>
      </c>
      <c r="G120" s="80">
        <f>COUNTIF(F74:F119,"L")</f>
        <v>24</v>
      </c>
      <c r="H120" s="20"/>
      <c r="I120" s="20"/>
      <c r="J120" s="20"/>
      <c r="K120" s="20"/>
      <c r="L120" s="20"/>
      <c r="M120" s="20"/>
      <c r="N120" s="20"/>
      <c r="O120" s="6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 spans="1:28" ht="15.8" customHeight="1">
      <c r="A121" s="79"/>
      <c r="B121" s="79"/>
      <c r="C121" s="20"/>
      <c r="D121" s="20"/>
      <c r="E121" s="20"/>
      <c r="F121" s="116" t="s">
        <v>3</v>
      </c>
      <c r="G121" s="116">
        <f>COUNTIF(F74:F119,"P")</f>
        <v>22</v>
      </c>
      <c r="H121" s="20"/>
      <c r="I121" s="20"/>
      <c r="J121" s="20"/>
      <c r="K121" s="20"/>
      <c r="L121" s="20"/>
      <c r="M121" s="20"/>
      <c r="N121" s="20"/>
      <c r="O121" s="6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 spans="1:28" ht="15.8" customHeight="1">
      <c r="A122" s="20" t="s">
        <v>275</v>
      </c>
      <c r="B122" s="79"/>
      <c r="C122" s="20"/>
      <c r="D122" s="20"/>
      <c r="E122" s="20"/>
      <c r="F122" s="81" t="s">
        <v>251</v>
      </c>
      <c r="G122" s="81">
        <f>SUM(G120:G121)</f>
        <v>46</v>
      </c>
      <c r="H122" s="6"/>
      <c r="I122" s="82" t="s">
        <v>254</v>
      </c>
      <c r="J122" s="6"/>
      <c r="K122" s="6"/>
      <c r="L122" s="6"/>
      <c r="M122" s="6"/>
      <c r="N122" s="6"/>
      <c r="O122" s="6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 spans="1:28" ht="15.8" customHeight="1">
      <c r="A123" s="20" t="s">
        <v>280</v>
      </c>
      <c r="B123" s="79"/>
      <c r="C123" s="20"/>
      <c r="D123" s="20"/>
      <c r="E123" s="20" t="s">
        <v>281</v>
      </c>
      <c r="F123" s="94"/>
      <c r="G123" s="6"/>
      <c r="H123" s="6"/>
      <c r="I123" s="6" t="s">
        <v>256</v>
      </c>
      <c r="J123" s="6"/>
      <c r="K123" s="6"/>
      <c r="L123" s="6"/>
      <c r="M123" s="6"/>
      <c r="N123" s="6"/>
      <c r="O123" s="6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 spans="1:28" ht="15.8" customHeight="1">
      <c r="A124" s="20"/>
      <c r="B124" s="6"/>
      <c r="C124" s="20"/>
      <c r="D124" s="20"/>
      <c r="E124" s="20"/>
      <c r="F124" s="79"/>
      <c r="G124" s="20"/>
      <c r="H124" s="20"/>
      <c r="I124" s="6"/>
      <c r="J124" s="6"/>
      <c r="K124" s="6"/>
      <c r="L124" s="6"/>
      <c r="M124" s="6"/>
      <c r="N124" s="6"/>
      <c r="O124" s="6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 ht="15.8" customHeight="1">
      <c r="A125" s="20"/>
      <c r="B125" s="6"/>
      <c r="C125" s="20"/>
      <c r="D125" s="20"/>
      <c r="E125" s="20"/>
      <c r="F125" s="79"/>
      <c r="G125" s="20"/>
      <c r="H125" s="20"/>
      <c r="I125" s="6"/>
      <c r="J125" s="6"/>
      <c r="K125" s="6"/>
      <c r="L125" s="6"/>
      <c r="M125" s="6"/>
      <c r="N125" s="6"/>
      <c r="O125" s="6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 ht="15.8" customHeight="1">
      <c r="A126" s="198" t="s">
        <v>603</v>
      </c>
      <c r="B126" s="190"/>
      <c r="C126" s="190"/>
      <c r="D126" s="191"/>
      <c r="E126" s="24" t="s">
        <v>380</v>
      </c>
      <c r="F126" s="94"/>
      <c r="G126" s="6"/>
      <c r="H126" s="20"/>
      <c r="I126" s="87"/>
      <c r="J126" s="87"/>
      <c r="K126" s="87"/>
      <c r="L126" s="87"/>
      <c r="M126" s="87"/>
      <c r="N126" s="87"/>
      <c r="O126" s="6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 ht="15.8" customHeight="1">
      <c r="A127" s="41" t="s">
        <v>606</v>
      </c>
      <c r="B127" s="41"/>
      <c r="C127" s="20"/>
      <c r="D127" s="20"/>
      <c r="E127" s="82" t="s">
        <v>383</v>
      </c>
      <c r="F127" s="79"/>
      <c r="G127" s="20"/>
      <c r="H127" s="20" t="s">
        <v>266</v>
      </c>
      <c r="I127" s="6"/>
      <c r="J127" s="6"/>
      <c r="K127" s="6"/>
      <c r="L127" s="6"/>
      <c r="M127" s="6"/>
      <c r="N127" s="6"/>
      <c r="O127" s="6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 ht="15.8" customHeight="1">
      <c r="A128" s="43"/>
      <c r="B128" s="44"/>
      <c r="C128" s="44"/>
      <c r="D128" s="44"/>
      <c r="E128" s="44"/>
      <c r="F128" s="45"/>
      <c r="G128" s="46"/>
      <c r="H128" s="46"/>
      <c r="I128" s="44"/>
      <c r="J128" s="44"/>
      <c r="K128" s="44"/>
      <c r="L128" s="44"/>
      <c r="M128" s="44"/>
      <c r="N128" s="44"/>
      <c r="O128" s="6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 ht="19.55" customHeight="1">
      <c r="A129" s="16" t="s">
        <v>79</v>
      </c>
      <c r="B129" s="16"/>
      <c r="C129" s="4" t="s">
        <v>611</v>
      </c>
      <c r="D129" s="16"/>
      <c r="E129" s="22"/>
      <c r="F129" s="23"/>
      <c r="G129" s="17"/>
      <c r="H129" s="19" t="s">
        <v>82</v>
      </c>
      <c r="I129" s="17"/>
      <c r="J129" s="17"/>
      <c r="K129" s="17"/>
      <c r="L129" s="17"/>
      <c r="M129" s="20"/>
      <c r="N129" s="20"/>
      <c r="O129" s="6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 ht="9" customHeight="1">
      <c r="A130" s="20"/>
      <c r="B130" s="24"/>
      <c r="C130" s="24"/>
      <c r="D130" s="24"/>
      <c r="E130" s="25"/>
      <c r="F130" s="14"/>
      <c r="G130" s="20"/>
      <c r="H130" s="26"/>
      <c r="I130" s="27"/>
      <c r="J130" s="27"/>
      <c r="K130" s="27"/>
      <c r="L130" s="27"/>
      <c r="M130" s="27"/>
      <c r="N130" s="27"/>
      <c r="O130" s="6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 ht="15.8" customHeight="1">
      <c r="A131" s="176" t="s">
        <v>84</v>
      </c>
      <c r="B131" s="177"/>
      <c r="C131" s="178" t="s">
        <v>85</v>
      </c>
      <c r="D131" s="179"/>
      <c r="E131" s="180"/>
      <c r="F131" s="184" t="s">
        <v>86</v>
      </c>
      <c r="G131" s="176" t="s">
        <v>87</v>
      </c>
      <c r="H131" s="186"/>
      <c r="I131" s="186"/>
      <c r="J131" s="186"/>
      <c r="K131" s="186"/>
      <c r="L131" s="186"/>
      <c r="M131" s="177"/>
      <c r="N131" s="184" t="s">
        <v>88</v>
      </c>
      <c r="O131" s="6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 ht="15.8" customHeight="1">
      <c r="A132" s="28" t="s">
        <v>90</v>
      </c>
      <c r="B132" s="28" t="s">
        <v>91</v>
      </c>
      <c r="C132" s="181"/>
      <c r="D132" s="182"/>
      <c r="E132" s="183"/>
      <c r="F132" s="185"/>
      <c r="G132" s="28"/>
      <c r="H132" s="28"/>
      <c r="I132" s="28"/>
      <c r="J132" s="28"/>
      <c r="K132" s="28"/>
      <c r="L132" s="28"/>
      <c r="M132" s="28"/>
      <c r="N132" s="185"/>
      <c r="O132" s="6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 ht="18" customHeight="1">
      <c r="A133" s="1">
        <v>1</v>
      </c>
      <c r="B133" s="1">
        <v>262710093</v>
      </c>
      <c r="C133" s="122" t="s">
        <v>617</v>
      </c>
      <c r="D133" s="51"/>
      <c r="E133" s="52"/>
      <c r="F133" s="53" t="s">
        <v>1</v>
      </c>
      <c r="G133" s="36"/>
      <c r="H133" s="36"/>
      <c r="I133" s="36"/>
      <c r="J133" s="36"/>
      <c r="K133" s="36"/>
      <c r="L133" s="36"/>
      <c r="M133" s="36"/>
      <c r="N133" s="36"/>
      <c r="O133" s="6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 ht="18" customHeight="1">
      <c r="A134" s="1">
        <f t="shared" ref="A134:A178" si="9">A133+1</f>
        <v>2</v>
      </c>
      <c r="B134" s="1">
        <v>262710094</v>
      </c>
      <c r="C134" s="122" t="s">
        <v>620</v>
      </c>
      <c r="D134" s="51"/>
      <c r="E134" s="52"/>
      <c r="F134" s="53" t="s">
        <v>1</v>
      </c>
      <c r="G134" s="36"/>
      <c r="H134" s="36"/>
      <c r="I134" s="36"/>
      <c r="J134" s="36"/>
      <c r="K134" s="36"/>
      <c r="L134" s="36"/>
      <c r="M134" s="36"/>
      <c r="N134" s="36"/>
      <c r="O134" s="6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 ht="18" customHeight="1">
      <c r="A135" s="1">
        <f t="shared" si="9"/>
        <v>3</v>
      </c>
      <c r="B135" s="1">
        <v>262710095</v>
      </c>
      <c r="C135" s="122" t="s">
        <v>622</v>
      </c>
      <c r="D135" s="51"/>
      <c r="E135" s="52"/>
      <c r="F135" s="53" t="s">
        <v>1</v>
      </c>
      <c r="G135" s="36"/>
      <c r="H135" s="36"/>
      <c r="I135" s="36"/>
      <c r="J135" s="36"/>
      <c r="K135" s="36"/>
      <c r="L135" s="36"/>
      <c r="M135" s="36"/>
      <c r="N135" s="36"/>
      <c r="O135" s="6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 ht="18" customHeight="1">
      <c r="A136" s="1">
        <f t="shared" si="9"/>
        <v>4</v>
      </c>
      <c r="B136" s="1">
        <v>262710096</v>
      </c>
      <c r="C136" s="122" t="s">
        <v>624</v>
      </c>
      <c r="D136" s="51"/>
      <c r="E136" s="52"/>
      <c r="F136" s="53" t="s">
        <v>3</v>
      </c>
      <c r="G136" s="36"/>
      <c r="H136" s="36"/>
      <c r="I136" s="36"/>
      <c r="J136" s="36"/>
      <c r="K136" s="36"/>
      <c r="L136" s="36"/>
      <c r="M136" s="36"/>
      <c r="N136" s="36"/>
      <c r="O136" s="6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 ht="18" customHeight="1">
      <c r="A137" s="1">
        <f t="shared" si="9"/>
        <v>5</v>
      </c>
      <c r="B137" s="1">
        <v>262710097</v>
      </c>
      <c r="C137" s="122" t="s">
        <v>625</v>
      </c>
      <c r="D137" s="51"/>
      <c r="E137" s="52"/>
      <c r="F137" s="53" t="s">
        <v>1</v>
      </c>
      <c r="G137" s="36"/>
      <c r="H137" s="36"/>
      <c r="I137" s="36"/>
      <c r="J137" s="36"/>
      <c r="K137" s="36"/>
      <c r="L137" s="36"/>
      <c r="M137" s="36"/>
      <c r="N137" s="36"/>
      <c r="O137" s="6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 ht="18" customHeight="1">
      <c r="A138" s="1">
        <f t="shared" si="9"/>
        <v>6</v>
      </c>
      <c r="B138" s="1">
        <v>262710098</v>
      </c>
      <c r="C138" s="122" t="s">
        <v>629</v>
      </c>
      <c r="D138" s="51"/>
      <c r="E138" s="52"/>
      <c r="F138" s="53" t="s">
        <v>3</v>
      </c>
      <c r="G138" s="36"/>
      <c r="H138" s="36"/>
      <c r="I138" s="36"/>
      <c r="J138" s="36"/>
      <c r="K138" s="36"/>
      <c r="L138" s="36"/>
      <c r="M138" s="36"/>
      <c r="N138" s="36"/>
      <c r="O138" s="6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 ht="18" customHeight="1">
      <c r="A139" s="1">
        <f t="shared" si="9"/>
        <v>7</v>
      </c>
      <c r="B139" s="1">
        <v>262710099</v>
      </c>
      <c r="C139" s="122" t="s">
        <v>632</v>
      </c>
      <c r="D139" s="51"/>
      <c r="E139" s="52"/>
      <c r="F139" s="53" t="s">
        <v>3</v>
      </c>
      <c r="G139" s="36"/>
      <c r="H139" s="36"/>
      <c r="I139" s="36"/>
      <c r="J139" s="36"/>
      <c r="K139" s="36"/>
      <c r="L139" s="36"/>
      <c r="M139" s="36"/>
      <c r="N139" s="36"/>
      <c r="O139" s="6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 ht="18" customHeight="1">
      <c r="A140" s="1">
        <f t="shared" si="9"/>
        <v>8</v>
      </c>
      <c r="B140" s="1">
        <v>262710100</v>
      </c>
      <c r="C140" s="122" t="s">
        <v>636</v>
      </c>
      <c r="D140" s="51"/>
      <c r="E140" s="52"/>
      <c r="F140" s="53" t="s">
        <v>3</v>
      </c>
      <c r="G140" s="36"/>
      <c r="H140" s="36"/>
      <c r="I140" s="36"/>
      <c r="J140" s="36"/>
      <c r="K140" s="36"/>
      <c r="L140" s="36"/>
      <c r="M140" s="36"/>
      <c r="N140" s="36"/>
      <c r="O140" s="6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 ht="18" customHeight="1">
      <c r="A141" s="1">
        <f t="shared" si="9"/>
        <v>9</v>
      </c>
      <c r="B141" s="1">
        <v>262710101</v>
      </c>
      <c r="C141" s="122" t="s">
        <v>639</v>
      </c>
      <c r="D141" s="51"/>
      <c r="E141" s="52"/>
      <c r="F141" s="53" t="s">
        <v>3</v>
      </c>
      <c r="G141" s="36"/>
      <c r="H141" s="36"/>
      <c r="I141" s="36"/>
      <c r="J141" s="36"/>
      <c r="K141" s="36"/>
      <c r="L141" s="36"/>
      <c r="M141" s="36"/>
      <c r="N141" s="36"/>
      <c r="O141" s="6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 spans="1:28" ht="18" customHeight="1">
      <c r="A142" s="1">
        <f t="shared" si="9"/>
        <v>10</v>
      </c>
      <c r="B142" s="1">
        <v>262710102</v>
      </c>
      <c r="C142" s="122" t="s">
        <v>641</v>
      </c>
      <c r="D142" s="51"/>
      <c r="E142" s="52"/>
      <c r="F142" s="53" t="s">
        <v>1</v>
      </c>
      <c r="G142" s="36"/>
      <c r="H142" s="36"/>
      <c r="I142" s="36"/>
      <c r="J142" s="36"/>
      <c r="K142" s="36"/>
      <c r="L142" s="36"/>
      <c r="M142" s="36"/>
      <c r="N142" s="36"/>
      <c r="O142" s="6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 spans="1:28" ht="18" customHeight="1">
      <c r="A143" s="123">
        <f t="shared" si="9"/>
        <v>11</v>
      </c>
      <c r="B143" s="1">
        <v>262710103</v>
      </c>
      <c r="C143" s="122" t="s">
        <v>643</v>
      </c>
      <c r="D143" s="51"/>
      <c r="E143" s="52"/>
      <c r="F143" s="53" t="s">
        <v>3</v>
      </c>
      <c r="H143" s="78"/>
      <c r="I143" s="78"/>
      <c r="J143" s="78"/>
      <c r="K143" s="78"/>
      <c r="L143" s="78"/>
      <c r="M143" s="78"/>
      <c r="N143" s="78"/>
      <c r="O143" s="6"/>
      <c r="P143" s="7"/>
      <c r="Q143" s="78" t="s">
        <v>627</v>
      </c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 spans="1:28" ht="18" customHeight="1">
      <c r="A144" s="1">
        <f t="shared" si="9"/>
        <v>12</v>
      </c>
      <c r="B144" s="1">
        <v>262710104</v>
      </c>
      <c r="C144" s="122" t="s">
        <v>646</v>
      </c>
      <c r="D144" s="51"/>
      <c r="E144" s="52"/>
      <c r="F144" s="53" t="s">
        <v>3</v>
      </c>
      <c r="G144" s="36"/>
      <c r="H144" s="36"/>
      <c r="I144" s="36"/>
      <c r="J144" s="36"/>
      <c r="K144" s="36"/>
      <c r="L144" s="36"/>
      <c r="M144" s="36"/>
      <c r="N144" s="36"/>
      <c r="O144" s="6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 spans="1:28" ht="18" customHeight="1">
      <c r="A145" s="1">
        <f t="shared" si="9"/>
        <v>13</v>
      </c>
      <c r="B145" s="1">
        <v>262710105</v>
      </c>
      <c r="C145" s="122" t="s">
        <v>648</v>
      </c>
      <c r="D145" s="51"/>
      <c r="E145" s="52"/>
      <c r="F145" s="53" t="s">
        <v>1</v>
      </c>
      <c r="G145" s="36"/>
      <c r="H145" s="36"/>
      <c r="I145" s="36"/>
      <c r="J145" s="36"/>
      <c r="K145" s="36"/>
      <c r="L145" s="36"/>
      <c r="M145" s="36"/>
      <c r="N145" s="36"/>
      <c r="O145" s="6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 spans="1:28" ht="18" customHeight="1">
      <c r="A146" s="1">
        <f t="shared" si="9"/>
        <v>14</v>
      </c>
      <c r="B146" s="1">
        <v>262710106</v>
      </c>
      <c r="C146" s="122" t="s">
        <v>651</v>
      </c>
      <c r="D146" s="51"/>
      <c r="E146" s="52"/>
      <c r="F146" s="53" t="s">
        <v>1</v>
      </c>
      <c r="G146" s="36"/>
      <c r="H146" s="36"/>
      <c r="I146" s="36"/>
      <c r="J146" s="36"/>
      <c r="K146" s="36"/>
      <c r="L146" s="36"/>
      <c r="M146" s="36"/>
      <c r="N146" s="36"/>
      <c r="O146" s="6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 spans="1:28" ht="18" customHeight="1">
      <c r="A147" s="1">
        <f t="shared" si="9"/>
        <v>15</v>
      </c>
      <c r="B147" s="1">
        <v>262710107</v>
      </c>
      <c r="C147" s="122" t="s">
        <v>654</v>
      </c>
      <c r="D147" s="51"/>
      <c r="E147" s="52"/>
      <c r="F147" s="53" t="s">
        <v>1</v>
      </c>
      <c r="G147" s="36"/>
      <c r="H147" s="36"/>
      <c r="I147" s="36"/>
      <c r="J147" s="36"/>
      <c r="K147" s="36"/>
      <c r="L147" s="36"/>
      <c r="M147" s="36"/>
      <c r="N147" s="36"/>
      <c r="O147" s="6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 spans="1:28" ht="18" customHeight="1">
      <c r="A148" s="1">
        <f t="shared" si="9"/>
        <v>16</v>
      </c>
      <c r="B148" s="1">
        <v>262710108</v>
      </c>
      <c r="C148" s="122" t="s">
        <v>657</v>
      </c>
      <c r="D148" s="51"/>
      <c r="E148" s="52"/>
      <c r="F148" s="53" t="s">
        <v>1</v>
      </c>
      <c r="G148" s="36"/>
      <c r="H148" s="36"/>
      <c r="I148" s="36"/>
      <c r="J148" s="36"/>
      <c r="K148" s="36"/>
      <c r="L148" s="36"/>
      <c r="M148" s="36"/>
      <c r="N148" s="36"/>
      <c r="O148" s="6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 spans="1:28" ht="18" customHeight="1">
      <c r="A149" s="1">
        <f t="shared" si="9"/>
        <v>17</v>
      </c>
      <c r="B149" s="1">
        <v>262710109</v>
      </c>
      <c r="C149" s="122" t="s">
        <v>660</v>
      </c>
      <c r="D149" s="51"/>
      <c r="E149" s="52"/>
      <c r="F149" s="53" t="s">
        <v>1</v>
      </c>
      <c r="G149" s="36"/>
      <c r="H149" s="36"/>
      <c r="I149" s="36"/>
      <c r="J149" s="36"/>
      <c r="K149" s="36"/>
      <c r="L149" s="36"/>
      <c r="M149" s="36"/>
      <c r="N149" s="36"/>
      <c r="O149" s="6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 spans="1:28" ht="18" customHeight="1">
      <c r="A150" s="1">
        <f t="shared" si="9"/>
        <v>18</v>
      </c>
      <c r="B150" s="1">
        <v>262710110</v>
      </c>
      <c r="C150" s="122" t="s">
        <v>663</v>
      </c>
      <c r="D150" s="51"/>
      <c r="E150" s="52"/>
      <c r="F150" s="53" t="s">
        <v>1</v>
      </c>
      <c r="G150" s="36"/>
      <c r="H150" s="36"/>
      <c r="I150" s="36"/>
      <c r="J150" s="36"/>
      <c r="K150" s="36"/>
      <c r="L150" s="36"/>
      <c r="M150" s="36"/>
      <c r="N150" s="36"/>
      <c r="O150" s="6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 spans="1:28" ht="18" customHeight="1">
      <c r="A151" s="1">
        <f t="shared" si="9"/>
        <v>19</v>
      </c>
      <c r="B151" s="1">
        <v>262710111</v>
      </c>
      <c r="C151" s="122" t="s">
        <v>666</v>
      </c>
      <c r="D151" s="51"/>
      <c r="E151" s="52"/>
      <c r="F151" s="53" t="s">
        <v>1</v>
      </c>
      <c r="G151" s="36"/>
      <c r="H151" s="36"/>
      <c r="I151" s="36"/>
      <c r="J151" s="36"/>
      <c r="K151" s="36"/>
      <c r="L151" s="36"/>
      <c r="M151" s="36"/>
      <c r="N151" s="1"/>
      <c r="O151" s="6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 spans="1:28" ht="18" customHeight="1">
      <c r="A152" s="1">
        <f t="shared" si="9"/>
        <v>20</v>
      </c>
      <c r="B152" s="1">
        <v>262710112</v>
      </c>
      <c r="C152" s="122" t="s">
        <v>669</v>
      </c>
      <c r="D152" s="51"/>
      <c r="E152" s="52"/>
      <c r="F152" s="53" t="s">
        <v>1</v>
      </c>
      <c r="G152" s="36"/>
      <c r="H152" s="36"/>
      <c r="I152" s="36"/>
      <c r="J152" s="36"/>
      <c r="K152" s="36"/>
      <c r="L152" s="36"/>
      <c r="M152" s="36"/>
      <c r="N152" s="36"/>
      <c r="O152" s="6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 spans="1:28" ht="18" customHeight="1">
      <c r="A153" s="1">
        <f t="shared" si="9"/>
        <v>21</v>
      </c>
      <c r="B153" s="1">
        <v>262710113</v>
      </c>
      <c r="C153" s="122" t="s">
        <v>672</v>
      </c>
      <c r="D153" s="51"/>
      <c r="E153" s="52"/>
      <c r="F153" s="53" t="s">
        <v>3</v>
      </c>
      <c r="G153" s="36"/>
      <c r="H153" s="36"/>
      <c r="I153" s="36"/>
      <c r="J153" s="36"/>
      <c r="K153" s="36"/>
      <c r="L153" s="36"/>
      <c r="M153" s="36"/>
      <c r="N153" s="36"/>
      <c r="O153" s="6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 spans="1:28" ht="18" customHeight="1">
      <c r="A154" s="1">
        <f t="shared" si="9"/>
        <v>22</v>
      </c>
      <c r="B154" s="1">
        <v>262710114</v>
      </c>
      <c r="C154" s="122" t="s">
        <v>674</v>
      </c>
      <c r="D154" s="51"/>
      <c r="E154" s="52"/>
      <c r="F154" s="53" t="s">
        <v>1</v>
      </c>
      <c r="G154" s="36"/>
      <c r="H154" s="36"/>
      <c r="I154" s="36"/>
      <c r="J154" s="36"/>
      <c r="K154" s="36"/>
      <c r="L154" s="36"/>
      <c r="M154" s="36"/>
      <c r="N154" s="36"/>
      <c r="O154" s="6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 spans="1:28" ht="18" customHeight="1">
      <c r="A155" s="1">
        <f t="shared" si="9"/>
        <v>23</v>
      </c>
      <c r="B155" s="1">
        <v>262710115</v>
      </c>
      <c r="C155" s="122" t="s">
        <v>677</v>
      </c>
      <c r="D155" s="51"/>
      <c r="E155" s="52"/>
      <c r="F155" s="53" t="s">
        <v>3</v>
      </c>
      <c r="G155" s="36"/>
      <c r="H155" s="36"/>
      <c r="I155" s="36"/>
      <c r="J155" s="36"/>
      <c r="K155" s="36"/>
      <c r="L155" s="36"/>
      <c r="M155" s="36"/>
      <c r="N155" s="36"/>
      <c r="O155" s="6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 spans="1:28" ht="18" customHeight="1">
      <c r="A156" s="1">
        <f t="shared" si="9"/>
        <v>24</v>
      </c>
      <c r="B156" s="1">
        <v>262710116</v>
      </c>
      <c r="C156" s="122" t="s">
        <v>680</v>
      </c>
      <c r="D156" s="51"/>
      <c r="E156" s="52"/>
      <c r="F156" s="53" t="s">
        <v>3</v>
      </c>
      <c r="G156" s="36"/>
      <c r="H156" s="36"/>
      <c r="I156" s="36"/>
      <c r="J156" s="36"/>
      <c r="K156" s="36"/>
      <c r="L156" s="36"/>
      <c r="M156" s="36"/>
      <c r="N156" s="36"/>
      <c r="O156" s="6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 spans="1:28" ht="18" customHeight="1">
      <c r="A157" s="1">
        <f t="shared" si="9"/>
        <v>25</v>
      </c>
      <c r="B157" s="1">
        <v>262710117</v>
      </c>
      <c r="C157" s="122" t="s">
        <v>684</v>
      </c>
      <c r="D157" s="51"/>
      <c r="E157" s="52"/>
      <c r="F157" s="53" t="s">
        <v>3</v>
      </c>
      <c r="G157" s="36"/>
      <c r="H157" s="36"/>
      <c r="I157" s="36"/>
      <c r="J157" s="36"/>
      <c r="K157" s="36"/>
      <c r="L157" s="36"/>
      <c r="M157" s="36"/>
      <c r="N157" s="36"/>
      <c r="O157" s="6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 spans="1:28" ht="18" customHeight="1">
      <c r="A158" s="1">
        <f t="shared" si="9"/>
        <v>26</v>
      </c>
      <c r="B158" s="1">
        <v>262710118</v>
      </c>
      <c r="C158" s="122" t="s">
        <v>686</v>
      </c>
      <c r="D158" s="51"/>
      <c r="E158" s="52"/>
      <c r="F158" s="53" t="s">
        <v>3</v>
      </c>
      <c r="G158" s="36"/>
      <c r="H158" s="36"/>
      <c r="I158" s="36"/>
      <c r="J158" s="36"/>
      <c r="K158" s="36"/>
      <c r="L158" s="36"/>
      <c r="M158" s="36"/>
      <c r="N158" s="36"/>
      <c r="O158" s="6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 spans="1:28" ht="18" customHeight="1">
      <c r="A159" s="1">
        <f t="shared" si="9"/>
        <v>27</v>
      </c>
      <c r="B159" s="1">
        <v>262710119</v>
      </c>
      <c r="C159" s="122" t="s">
        <v>690</v>
      </c>
      <c r="D159" s="51"/>
      <c r="E159" s="52"/>
      <c r="F159" s="53" t="s">
        <v>1</v>
      </c>
      <c r="G159" s="36"/>
      <c r="H159" s="36"/>
      <c r="I159" s="36"/>
      <c r="J159" s="36"/>
      <c r="K159" s="36"/>
      <c r="L159" s="36"/>
      <c r="M159" s="36"/>
      <c r="N159" s="36"/>
      <c r="O159" s="6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 spans="1:28" ht="18" customHeight="1">
      <c r="A160" s="1">
        <f t="shared" si="9"/>
        <v>28</v>
      </c>
      <c r="B160" s="1">
        <v>262710120</v>
      </c>
      <c r="C160" s="122" t="s">
        <v>692</v>
      </c>
      <c r="D160" s="51"/>
      <c r="E160" s="52"/>
      <c r="F160" s="53" t="s">
        <v>1</v>
      </c>
      <c r="G160" s="36"/>
      <c r="H160" s="36"/>
      <c r="I160" s="36"/>
      <c r="J160" s="36"/>
      <c r="K160" s="36"/>
      <c r="L160" s="36"/>
      <c r="M160" s="36"/>
      <c r="N160" s="36"/>
      <c r="O160" s="6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 spans="1:28" ht="18" customHeight="1">
      <c r="A161" s="1">
        <f t="shared" si="9"/>
        <v>29</v>
      </c>
      <c r="B161" s="1">
        <v>262710121</v>
      </c>
      <c r="C161" s="122" t="s">
        <v>695</v>
      </c>
      <c r="D161" s="51"/>
      <c r="E161" s="52"/>
      <c r="F161" s="53" t="s">
        <v>1</v>
      </c>
      <c r="G161" s="36"/>
      <c r="H161" s="36"/>
      <c r="I161" s="36"/>
      <c r="J161" s="36"/>
      <c r="K161" s="36"/>
      <c r="L161" s="36"/>
      <c r="M161" s="36"/>
      <c r="N161" s="36"/>
      <c r="O161" s="6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 spans="1:28" ht="18" customHeight="1">
      <c r="A162" s="1">
        <f t="shared" si="9"/>
        <v>30</v>
      </c>
      <c r="B162" s="1">
        <v>262710122</v>
      </c>
      <c r="C162" s="122" t="s">
        <v>699</v>
      </c>
      <c r="D162" s="51"/>
      <c r="E162" s="52"/>
      <c r="F162" s="53" t="s">
        <v>1</v>
      </c>
      <c r="G162" s="36"/>
      <c r="H162" s="36"/>
      <c r="I162" s="36"/>
      <c r="J162" s="36"/>
      <c r="K162" s="36"/>
      <c r="L162" s="36"/>
      <c r="M162" s="36"/>
      <c r="N162" s="36"/>
      <c r="O162" s="6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 spans="1:28" ht="18" customHeight="1">
      <c r="A163" s="1">
        <f t="shared" si="9"/>
        <v>31</v>
      </c>
      <c r="B163" s="1">
        <v>262710123</v>
      </c>
      <c r="C163" s="122" t="s">
        <v>702</v>
      </c>
      <c r="D163" s="51"/>
      <c r="E163" s="52"/>
      <c r="F163" s="53" t="s">
        <v>1</v>
      </c>
      <c r="G163" s="36"/>
      <c r="H163" s="36"/>
      <c r="I163" s="36"/>
      <c r="J163" s="36"/>
      <c r="K163" s="36"/>
      <c r="L163" s="36"/>
      <c r="M163" s="36"/>
      <c r="N163" s="36"/>
      <c r="O163" s="6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 spans="1:28" ht="18" customHeight="1">
      <c r="A164" s="1">
        <f t="shared" si="9"/>
        <v>32</v>
      </c>
      <c r="B164" s="1">
        <v>262710124</v>
      </c>
      <c r="C164" s="122" t="s">
        <v>706</v>
      </c>
      <c r="D164" s="51"/>
      <c r="E164" s="52"/>
      <c r="F164" s="53" t="s">
        <v>1</v>
      </c>
      <c r="G164" s="36"/>
      <c r="H164" s="36"/>
      <c r="I164" s="36"/>
      <c r="J164" s="36"/>
      <c r="K164" s="36"/>
      <c r="L164" s="36"/>
      <c r="M164" s="36"/>
      <c r="N164" s="36"/>
      <c r="O164" s="6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 spans="1:28" ht="18" customHeight="1">
      <c r="A165" s="1">
        <f t="shared" si="9"/>
        <v>33</v>
      </c>
      <c r="B165" s="1">
        <v>262710125</v>
      </c>
      <c r="C165" s="122" t="s">
        <v>709</v>
      </c>
      <c r="D165" s="51"/>
      <c r="E165" s="52"/>
      <c r="F165" s="53" t="s">
        <v>3</v>
      </c>
      <c r="G165" s="36"/>
      <c r="H165" s="36"/>
      <c r="I165" s="36"/>
      <c r="J165" s="36"/>
      <c r="K165" s="36"/>
      <c r="L165" s="36"/>
      <c r="M165" s="36"/>
      <c r="N165" s="36"/>
      <c r="O165" s="6"/>
      <c r="P165" s="7"/>
      <c r="Q165" s="3"/>
      <c r="R165" s="3"/>
      <c r="S165" s="3"/>
      <c r="T165" s="3"/>
      <c r="U165" s="3"/>
      <c r="V165" s="3"/>
      <c r="W165" s="3"/>
      <c r="X165" s="7"/>
      <c r="Y165" s="7"/>
      <c r="Z165" s="7"/>
      <c r="AA165" s="7"/>
      <c r="AB165" s="7"/>
    </row>
    <row r="166" spans="1:28" ht="18" customHeight="1">
      <c r="A166" s="1">
        <f t="shared" si="9"/>
        <v>34</v>
      </c>
      <c r="B166" s="1">
        <v>262710126</v>
      </c>
      <c r="C166" s="122" t="s">
        <v>712</v>
      </c>
      <c r="D166" s="51"/>
      <c r="E166" s="52"/>
      <c r="F166" s="53" t="s">
        <v>3</v>
      </c>
      <c r="G166" s="36"/>
      <c r="H166" s="36"/>
      <c r="I166" s="36"/>
      <c r="J166" s="36"/>
      <c r="K166" s="36"/>
      <c r="L166" s="36"/>
      <c r="M166" s="36"/>
      <c r="N166" s="36"/>
      <c r="O166" s="6"/>
      <c r="P166" s="7"/>
      <c r="Q166" s="3"/>
      <c r="R166" s="3"/>
      <c r="S166" s="3"/>
      <c r="T166" s="3"/>
      <c r="U166" s="3"/>
      <c r="V166" s="3"/>
      <c r="W166" s="3"/>
      <c r="X166" s="7"/>
      <c r="Y166" s="7"/>
      <c r="Z166" s="7"/>
      <c r="AA166" s="7"/>
      <c r="AB166" s="7"/>
    </row>
    <row r="167" spans="1:28" ht="18" customHeight="1">
      <c r="A167" s="83">
        <f t="shared" si="9"/>
        <v>35</v>
      </c>
      <c r="B167" s="1">
        <v>262710127</v>
      </c>
      <c r="C167" s="122" t="s">
        <v>715</v>
      </c>
      <c r="D167" s="51"/>
      <c r="E167" s="52"/>
      <c r="F167" s="53" t="s">
        <v>3</v>
      </c>
      <c r="G167" s="85"/>
      <c r="H167" s="85"/>
      <c r="I167" s="85"/>
      <c r="J167" s="85"/>
      <c r="K167" s="85"/>
      <c r="L167" s="85"/>
      <c r="M167" s="85"/>
      <c r="N167" s="85"/>
      <c r="O167" s="6"/>
      <c r="P167" s="7"/>
      <c r="Q167" s="3"/>
      <c r="R167" s="3"/>
      <c r="S167" s="3"/>
      <c r="T167" s="3"/>
      <c r="U167" s="3"/>
      <c r="V167" s="3"/>
      <c r="W167" s="3"/>
      <c r="X167" s="7"/>
      <c r="Y167" s="7"/>
      <c r="Z167" s="7"/>
      <c r="AA167" s="7"/>
      <c r="AB167" s="7"/>
    </row>
    <row r="168" spans="1:28" ht="18" customHeight="1">
      <c r="A168" s="1">
        <f t="shared" si="9"/>
        <v>36</v>
      </c>
      <c r="B168" s="1">
        <v>262710128</v>
      </c>
      <c r="C168" s="122" t="s">
        <v>719</v>
      </c>
      <c r="D168" s="51"/>
      <c r="E168" s="52"/>
      <c r="F168" s="53" t="s">
        <v>3</v>
      </c>
      <c r="G168" s="36"/>
      <c r="H168" s="36"/>
      <c r="I168" s="36"/>
      <c r="J168" s="36"/>
      <c r="K168" s="36"/>
      <c r="L168" s="36"/>
      <c r="M168" s="36"/>
      <c r="N168" s="36"/>
      <c r="O168" s="6"/>
      <c r="P168" s="7"/>
      <c r="Q168" s="3"/>
      <c r="R168" s="3"/>
      <c r="S168" s="3"/>
      <c r="T168" s="3"/>
      <c r="U168" s="3"/>
      <c r="V168" s="3"/>
      <c r="W168" s="3"/>
      <c r="X168" s="7"/>
      <c r="Y168" s="7"/>
      <c r="Z168" s="7"/>
      <c r="AA168" s="7"/>
      <c r="AB168" s="7"/>
    </row>
    <row r="169" spans="1:28" ht="18" customHeight="1">
      <c r="A169" s="1">
        <f t="shared" si="9"/>
        <v>37</v>
      </c>
      <c r="B169" s="1">
        <v>262710129</v>
      </c>
      <c r="C169" s="122" t="s">
        <v>722</v>
      </c>
      <c r="D169" s="51"/>
      <c r="E169" s="52"/>
      <c r="F169" s="53" t="s">
        <v>3</v>
      </c>
      <c r="G169" s="36"/>
      <c r="H169" s="36"/>
      <c r="I169" s="36"/>
      <c r="J169" s="36"/>
      <c r="K169" s="36"/>
      <c r="L169" s="36"/>
      <c r="M169" s="36"/>
      <c r="N169" s="36"/>
      <c r="O169" s="6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 spans="1:28" ht="18" customHeight="1">
      <c r="A170" s="1">
        <f t="shared" si="9"/>
        <v>38</v>
      </c>
      <c r="B170" s="1">
        <v>262710130</v>
      </c>
      <c r="C170" s="122" t="s">
        <v>726</v>
      </c>
      <c r="D170" s="51"/>
      <c r="E170" s="52"/>
      <c r="F170" s="53" t="s">
        <v>1</v>
      </c>
      <c r="G170" s="36"/>
      <c r="H170" s="36"/>
      <c r="I170" s="36"/>
      <c r="J170" s="36"/>
      <c r="K170" s="36"/>
      <c r="L170" s="36"/>
      <c r="M170" s="36"/>
      <c r="N170" s="36"/>
      <c r="O170" s="6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 spans="1:28" ht="18" customHeight="1">
      <c r="A171" s="1">
        <f t="shared" si="9"/>
        <v>39</v>
      </c>
      <c r="B171" s="1">
        <v>262710131</v>
      </c>
      <c r="C171" s="122" t="s">
        <v>730</v>
      </c>
      <c r="D171" s="51"/>
      <c r="E171" s="52"/>
      <c r="F171" s="53" t="s">
        <v>3</v>
      </c>
      <c r="G171" s="36"/>
      <c r="H171" s="36"/>
      <c r="I171" s="36"/>
      <c r="J171" s="36"/>
      <c r="K171" s="36"/>
      <c r="L171" s="36"/>
      <c r="M171" s="36"/>
      <c r="N171" s="36"/>
      <c r="O171" s="6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 spans="1:28" ht="18" customHeight="1">
      <c r="A172" s="1">
        <f t="shared" si="9"/>
        <v>40</v>
      </c>
      <c r="B172" s="1">
        <v>262710132</v>
      </c>
      <c r="C172" s="122" t="s">
        <v>733</v>
      </c>
      <c r="D172" s="51"/>
      <c r="E172" s="52"/>
      <c r="F172" s="53" t="s">
        <v>3</v>
      </c>
      <c r="G172" s="36"/>
      <c r="H172" s="36"/>
      <c r="I172" s="36"/>
      <c r="J172" s="36"/>
      <c r="K172" s="36"/>
      <c r="L172" s="36"/>
      <c r="M172" s="36"/>
      <c r="N172" s="36"/>
      <c r="O172" s="6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 spans="1:28" ht="18" customHeight="1">
      <c r="A173" s="1">
        <f t="shared" si="9"/>
        <v>41</v>
      </c>
      <c r="B173" s="1">
        <v>262710133</v>
      </c>
      <c r="C173" s="122" t="s">
        <v>736</v>
      </c>
      <c r="D173" s="51"/>
      <c r="E173" s="52"/>
      <c r="F173" s="53" t="s">
        <v>3</v>
      </c>
      <c r="G173" s="36"/>
      <c r="H173" s="36"/>
      <c r="I173" s="36"/>
      <c r="J173" s="36"/>
      <c r="K173" s="36"/>
      <c r="L173" s="36"/>
      <c r="M173" s="36"/>
      <c r="N173" s="36"/>
      <c r="O173" s="6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 spans="1:28" ht="18" customHeight="1">
      <c r="A174" s="1">
        <f t="shared" si="9"/>
        <v>42</v>
      </c>
      <c r="B174" s="1">
        <v>262710134</v>
      </c>
      <c r="C174" s="122" t="s">
        <v>738</v>
      </c>
      <c r="D174" s="51"/>
      <c r="E174" s="52"/>
      <c r="F174" s="53" t="s">
        <v>1</v>
      </c>
      <c r="G174" s="36"/>
      <c r="H174" s="36"/>
      <c r="I174" s="36"/>
      <c r="J174" s="36"/>
      <c r="K174" s="36"/>
      <c r="L174" s="36"/>
      <c r="M174" s="36"/>
      <c r="N174" s="36"/>
      <c r="O174" s="6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 spans="1:28" ht="18" customHeight="1">
      <c r="A175" s="1">
        <f t="shared" si="9"/>
        <v>43</v>
      </c>
      <c r="B175" s="1">
        <v>262710135</v>
      </c>
      <c r="C175" s="122" t="s">
        <v>739</v>
      </c>
      <c r="D175" s="51"/>
      <c r="E175" s="52"/>
      <c r="F175" s="53" t="s">
        <v>3</v>
      </c>
      <c r="G175" s="36"/>
      <c r="H175" s="36"/>
      <c r="I175" s="36"/>
      <c r="J175" s="36"/>
      <c r="K175" s="36"/>
      <c r="L175" s="36"/>
      <c r="M175" s="36"/>
      <c r="N175" s="36"/>
      <c r="O175" s="6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 spans="1:28" ht="18" customHeight="1">
      <c r="A176" s="1">
        <f t="shared" si="9"/>
        <v>44</v>
      </c>
      <c r="B176" s="1">
        <v>262710136</v>
      </c>
      <c r="C176" s="122" t="s">
        <v>740</v>
      </c>
      <c r="D176" s="51"/>
      <c r="E176" s="52"/>
      <c r="F176" s="53" t="s">
        <v>1</v>
      </c>
      <c r="G176" s="36"/>
      <c r="H176" s="36"/>
      <c r="I176" s="36"/>
      <c r="J176" s="36"/>
      <c r="K176" s="36"/>
      <c r="L176" s="36"/>
      <c r="M176" s="36"/>
      <c r="N176" s="36"/>
      <c r="O176" s="6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 spans="1:28" ht="18" customHeight="1">
      <c r="A177" s="1">
        <f t="shared" si="9"/>
        <v>45</v>
      </c>
      <c r="B177" s="1">
        <v>262710137</v>
      </c>
      <c r="C177" s="122" t="s">
        <v>741</v>
      </c>
      <c r="D177" s="51"/>
      <c r="E177" s="52"/>
      <c r="F177" s="53" t="s">
        <v>1</v>
      </c>
      <c r="G177" s="36"/>
      <c r="H177" s="36"/>
      <c r="I177" s="36"/>
      <c r="J177" s="36"/>
      <c r="K177" s="36"/>
      <c r="L177" s="36"/>
      <c r="M177" s="36"/>
      <c r="N177" s="36"/>
      <c r="O177" s="6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 spans="1:28" ht="18" customHeight="1">
      <c r="A178" s="1">
        <f t="shared" si="9"/>
        <v>46</v>
      </c>
      <c r="B178" s="1">
        <v>262710138</v>
      </c>
      <c r="C178" s="122" t="s">
        <v>742</v>
      </c>
      <c r="D178" s="51"/>
      <c r="E178" s="52"/>
      <c r="F178" s="53" t="s">
        <v>3</v>
      </c>
      <c r="G178" s="36"/>
      <c r="H178" s="36"/>
      <c r="I178" s="36"/>
      <c r="J178" s="36"/>
      <c r="K178" s="36"/>
      <c r="L178" s="36"/>
      <c r="M178" s="36"/>
      <c r="N178" s="36"/>
      <c r="O178" s="6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 spans="1:28" ht="15.8" customHeight="1">
      <c r="A179" s="79"/>
      <c r="B179" s="79" t="str">
        <f t="shared" ref="B179:B183" si="10">UPPER(C179)</f>
        <v/>
      </c>
      <c r="C179" s="20"/>
      <c r="D179" s="20"/>
      <c r="E179" s="20"/>
      <c r="F179" s="80" t="s">
        <v>1</v>
      </c>
      <c r="G179" s="80">
        <f>COUNTIF(F133:F178,"L")</f>
        <v>24</v>
      </c>
      <c r="H179" s="20"/>
      <c r="I179" s="20"/>
      <c r="J179" s="20"/>
      <c r="K179" s="20"/>
      <c r="L179" s="20"/>
      <c r="M179" s="20"/>
      <c r="N179" s="20"/>
      <c r="O179" s="6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 spans="1:28" ht="15.8" customHeight="1">
      <c r="A180" s="79"/>
      <c r="B180" s="79" t="str">
        <f t="shared" si="10"/>
        <v/>
      </c>
      <c r="C180" s="20"/>
      <c r="D180" s="20"/>
      <c r="E180" s="20"/>
      <c r="F180" s="30" t="s">
        <v>3</v>
      </c>
      <c r="G180" s="30">
        <f>COUNTIF(F133:F178,"P")</f>
        <v>22</v>
      </c>
      <c r="H180" s="20"/>
      <c r="I180" s="20"/>
      <c r="J180" s="20"/>
      <c r="K180" s="20"/>
      <c r="L180" s="20"/>
      <c r="M180" s="20"/>
      <c r="N180" s="20"/>
      <c r="O180" s="6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 spans="1:28" ht="15.8" customHeight="1">
      <c r="A181" s="79"/>
      <c r="B181" s="79" t="str">
        <f t="shared" si="10"/>
        <v/>
      </c>
      <c r="C181" s="20"/>
      <c r="D181" s="20"/>
      <c r="E181" s="20"/>
      <c r="F181" s="81" t="s">
        <v>251</v>
      </c>
      <c r="G181" s="81">
        <f>SUM(G179:G180)</f>
        <v>46</v>
      </c>
      <c r="H181" s="20"/>
      <c r="I181" s="20"/>
      <c r="J181" s="20"/>
      <c r="K181" s="20"/>
      <c r="L181" s="20"/>
      <c r="M181" s="20"/>
      <c r="N181" s="20"/>
      <c r="O181" s="6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 spans="1:28" ht="15.8" customHeight="1">
      <c r="A182" s="124" t="s">
        <v>275</v>
      </c>
      <c r="B182" s="79" t="str">
        <f t="shared" si="10"/>
        <v/>
      </c>
      <c r="C182" s="20"/>
      <c r="D182" s="20"/>
      <c r="E182" s="20"/>
      <c r="F182" s="94"/>
      <c r="G182" s="6"/>
      <c r="H182" s="6"/>
      <c r="I182" s="82" t="s">
        <v>254</v>
      </c>
      <c r="J182" s="6"/>
      <c r="K182" s="6"/>
      <c r="L182" s="6"/>
      <c r="M182" s="6"/>
      <c r="N182" s="6"/>
      <c r="O182" s="6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 spans="1:28" ht="15.8" customHeight="1">
      <c r="A183" s="124" t="s">
        <v>280</v>
      </c>
      <c r="B183" s="79" t="str">
        <f t="shared" si="10"/>
        <v/>
      </c>
      <c r="C183" s="20"/>
      <c r="D183" s="20"/>
      <c r="E183" s="20" t="s">
        <v>281</v>
      </c>
      <c r="F183" s="94"/>
      <c r="G183" s="6"/>
      <c r="H183" s="6"/>
      <c r="I183" s="6" t="s">
        <v>256</v>
      </c>
      <c r="J183" s="6"/>
      <c r="K183" s="6"/>
      <c r="L183" s="6"/>
      <c r="M183" s="6"/>
      <c r="N183" s="6"/>
      <c r="O183" s="6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 spans="1:28" ht="15.8" customHeight="1">
      <c r="A184" s="20"/>
      <c r="B184" s="6"/>
      <c r="C184" s="20"/>
      <c r="D184" s="20"/>
      <c r="E184" s="20"/>
      <c r="F184" s="79"/>
      <c r="G184" s="20"/>
      <c r="H184" s="20"/>
      <c r="I184" s="6"/>
      <c r="J184" s="6"/>
      <c r="K184" s="6"/>
      <c r="L184" s="6"/>
      <c r="M184" s="6"/>
      <c r="N184" s="6"/>
      <c r="O184" s="6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 spans="1:28" ht="15.8" customHeight="1">
      <c r="A185" s="20"/>
      <c r="B185" s="6"/>
      <c r="C185" s="20"/>
      <c r="D185" s="20"/>
      <c r="E185" s="20"/>
      <c r="F185" s="79"/>
      <c r="G185" s="20"/>
      <c r="H185" s="20"/>
      <c r="I185" s="6"/>
      <c r="J185" s="6"/>
      <c r="K185" s="6"/>
      <c r="L185" s="6"/>
      <c r="M185" s="6"/>
      <c r="N185" s="6"/>
      <c r="O185" s="6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 spans="1:28" ht="15.8" customHeight="1">
      <c r="A186" s="16" t="s">
        <v>759</v>
      </c>
      <c r="B186" s="6"/>
      <c r="C186" s="6"/>
      <c r="D186" s="6"/>
      <c r="E186" s="86" t="s">
        <v>368</v>
      </c>
      <c r="F186" s="94"/>
      <c r="G186" s="6"/>
      <c r="H186" s="20"/>
      <c r="I186" s="87"/>
      <c r="J186" s="87"/>
      <c r="K186" s="87"/>
      <c r="L186" s="87"/>
      <c r="M186" s="87"/>
      <c r="N186" s="87"/>
      <c r="O186" s="6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 spans="1:28" ht="15.8" customHeight="1">
      <c r="A187" s="41" t="s">
        <v>762</v>
      </c>
      <c r="B187" s="41"/>
      <c r="C187" s="20"/>
      <c r="D187" s="20"/>
      <c r="E187" s="20" t="s">
        <v>372</v>
      </c>
      <c r="F187" s="79"/>
      <c r="G187" s="20"/>
      <c r="H187" s="20" t="s">
        <v>266</v>
      </c>
      <c r="I187" s="6"/>
      <c r="J187" s="6"/>
      <c r="K187" s="6"/>
      <c r="L187" s="6"/>
      <c r="M187" s="6"/>
      <c r="N187" s="6"/>
      <c r="O187" s="6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 spans="1:28" ht="15.8" customHeight="1">
      <c r="A188" s="7"/>
      <c r="B188" s="7"/>
      <c r="C188" s="7"/>
      <c r="D188" s="7"/>
      <c r="E188" s="7"/>
      <c r="F188" s="125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 spans="1:28" ht="19.55" customHeight="1">
      <c r="A189" s="16" t="s">
        <v>79</v>
      </c>
      <c r="B189" s="16"/>
      <c r="C189" s="4" t="s">
        <v>768</v>
      </c>
      <c r="D189" s="16"/>
      <c r="E189" s="22"/>
      <c r="F189" s="23"/>
      <c r="G189" s="17"/>
      <c r="H189" s="19" t="s">
        <v>82</v>
      </c>
      <c r="I189" s="17"/>
      <c r="J189" s="17"/>
      <c r="K189" s="17"/>
      <c r="L189" s="17"/>
      <c r="M189" s="20"/>
      <c r="N189" s="20"/>
      <c r="O189" s="6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 spans="1:28" ht="9" customHeight="1">
      <c r="A190" s="20"/>
      <c r="B190" s="24"/>
      <c r="C190" s="24"/>
      <c r="D190" s="24"/>
      <c r="E190" s="25"/>
      <c r="F190" s="14"/>
      <c r="G190" s="20"/>
      <c r="H190" s="26"/>
      <c r="I190" s="27"/>
      <c r="J190" s="27"/>
      <c r="K190" s="27"/>
      <c r="L190" s="27"/>
      <c r="M190" s="27"/>
      <c r="N190" s="27"/>
      <c r="O190" s="6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 spans="1:28" ht="15.8" customHeight="1">
      <c r="A191" s="176" t="s">
        <v>84</v>
      </c>
      <c r="B191" s="177"/>
      <c r="C191" s="178" t="s">
        <v>85</v>
      </c>
      <c r="D191" s="179"/>
      <c r="E191" s="180"/>
      <c r="F191" s="184" t="s">
        <v>86</v>
      </c>
      <c r="G191" s="176" t="s">
        <v>87</v>
      </c>
      <c r="H191" s="186"/>
      <c r="I191" s="186"/>
      <c r="J191" s="186"/>
      <c r="K191" s="186"/>
      <c r="L191" s="186"/>
      <c r="M191" s="177"/>
      <c r="N191" s="184" t="s">
        <v>88</v>
      </c>
      <c r="O191" s="6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 spans="1:28" ht="15.8" customHeight="1">
      <c r="A192" s="28" t="s">
        <v>90</v>
      </c>
      <c r="B192" s="28" t="s">
        <v>91</v>
      </c>
      <c r="C192" s="181"/>
      <c r="D192" s="182"/>
      <c r="E192" s="183"/>
      <c r="F192" s="185"/>
      <c r="G192" s="28"/>
      <c r="H192" s="28"/>
      <c r="I192" s="28"/>
      <c r="J192" s="28"/>
      <c r="K192" s="28"/>
      <c r="L192" s="28"/>
      <c r="M192" s="28"/>
      <c r="N192" s="185"/>
      <c r="O192" s="6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 spans="1:28" ht="18" customHeight="1">
      <c r="A193" s="1">
        <v>1</v>
      </c>
      <c r="B193" s="1">
        <v>262710139</v>
      </c>
      <c r="C193" s="126" t="s">
        <v>780</v>
      </c>
      <c r="D193" s="51"/>
      <c r="E193" s="52"/>
      <c r="F193" s="53" t="s">
        <v>3</v>
      </c>
      <c r="G193" s="36"/>
      <c r="H193" s="36"/>
      <c r="I193" s="36"/>
      <c r="J193" s="36"/>
      <c r="K193" s="36"/>
      <c r="L193" s="36"/>
      <c r="M193" s="36"/>
      <c r="N193" s="36"/>
      <c r="O193" s="6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 spans="1:28" ht="18" customHeight="1">
      <c r="A194" s="1">
        <f t="shared" ref="A194:A232" si="11">A193+1</f>
        <v>2</v>
      </c>
      <c r="B194" s="1">
        <v>262710140</v>
      </c>
      <c r="C194" s="126" t="s">
        <v>784</v>
      </c>
      <c r="D194" s="51"/>
      <c r="E194" s="52"/>
      <c r="F194" s="53" t="s">
        <v>3</v>
      </c>
      <c r="G194" s="36"/>
      <c r="H194" s="36"/>
      <c r="I194" s="36"/>
      <c r="J194" s="36"/>
      <c r="K194" s="36"/>
      <c r="L194" s="36"/>
      <c r="M194" s="36"/>
      <c r="N194" s="36"/>
      <c r="O194" s="6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 spans="1:28" ht="18" customHeight="1">
      <c r="A195" s="1">
        <f t="shared" si="11"/>
        <v>3</v>
      </c>
      <c r="B195" s="1">
        <v>262710141</v>
      </c>
      <c r="C195" s="126" t="s">
        <v>787</v>
      </c>
      <c r="D195" s="51"/>
      <c r="E195" s="52"/>
      <c r="F195" s="53" t="s">
        <v>3</v>
      </c>
      <c r="G195" s="36"/>
      <c r="H195" s="36"/>
      <c r="I195" s="36"/>
      <c r="J195" s="36"/>
      <c r="K195" s="36"/>
      <c r="L195" s="36"/>
      <c r="M195" s="36"/>
      <c r="N195" s="36"/>
      <c r="O195" s="6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 spans="1:28" ht="18" customHeight="1">
      <c r="A196" s="1">
        <f t="shared" si="11"/>
        <v>4</v>
      </c>
      <c r="B196" s="1">
        <v>262710142</v>
      </c>
      <c r="C196" s="126" t="s">
        <v>790</v>
      </c>
      <c r="D196" s="51"/>
      <c r="E196" s="52"/>
      <c r="F196" s="53" t="s">
        <v>1</v>
      </c>
      <c r="G196" s="36"/>
      <c r="H196" s="36"/>
      <c r="I196" s="36"/>
      <c r="J196" s="36"/>
      <c r="K196" s="36"/>
      <c r="L196" s="36"/>
      <c r="M196" s="36"/>
      <c r="N196" s="36"/>
      <c r="O196" s="6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 spans="1:28" ht="18" customHeight="1">
      <c r="A197" s="1">
        <f t="shared" si="11"/>
        <v>5</v>
      </c>
      <c r="B197" s="1">
        <v>262710143</v>
      </c>
      <c r="C197" s="126" t="s">
        <v>793</v>
      </c>
      <c r="D197" s="51"/>
      <c r="E197" s="52"/>
      <c r="F197" s="53" t="s">
        <v>3</v>
      </c>
      <c r="G197" s="36"/>
      <c r="H197" s="36"/>
      <c r="I197" s="36"/>
      <c r="J197" s="36"/>
      <c r="K197" s="36"/>
      <c r="L197" s="36"/>
      <c r="M197" s="36"/>
      <c r="N197" s="36"/>
      <c r="O197" s="6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 spans="1:28" ht="18" customHeight="1">
      <c r="A198" s="1">
        <f t="shared" si="11"/>
        <v>6</v>
      </c>
      <c r="B198" s="1">
        <v>262710144</v>
      </c>
      <c r="C198" s="126" t="s">
        <v>796</v>
      </c>
      <c r="D198" s="51"/>
      <c r="E198" s="52"/>
      <c r="F198" s="53" t="s">
        <v>3</v>
      </c>
      <c r="G198" s="36"/>
      <c r="H198" s="36"/>
      <c r="I198" s="36"/>
      <c r="J198" s="36"/>
      <c r="K198" s="36"/>
      <c r="L198" s="36"/>
      <c r="M198" s="36"/>
      <c r="N198" s="36"/>
      <c r="O198" s="6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 spans="1:28" ht="18" customHeight="1">
      <c r="A199" s="1">
        <f t="shared" si="11"/>
        <v>7</v>
      </c>
      <c r="B199" s="1">
        <v>262710145</v>
      </c>
      <c r="C199" s="126" t="s">
        <v>800</v>
      </c>
      <c r="D199" s="51"/>
      <c r="E199" s="52"/>
      <c r="F199" s="53" t="s">
        <v>3</v>
      </c>
      <c r="G199" s="36"/>
      <c r="H199" s="36"/>
      <c r="I199" s="36"/>
      <c r="J199" s="36"/>
      <c r="K199" s="36"/>
      <c r="L199" s="36"/>
      <c r="M199" s="36"/>
      <c r="N199" s="36"/>
      <c r="O199" s="6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 spans="1:28" ht="18" customHeight="1">
      <c r="A200" s="1">
        <f t="shared" si="11"/>
        <v>8</v>
      </c>
      <c r="B200" s="1">
        <v>262710146</v>
      </c>
      <c r="C200" s="126" t="s">
        <v>802</v>
      </c>
      <c r="D200" s="51"/>
      <c r="E200" s="52"/>
      <c r="F200" s="53" t="s">
        <v>1</v>
      </c>
      <c r="G200" s="36"/>
      <c r="H200" s="36"/>
      <c r="I200" s="36"/>
      <c r="J200" s="36"/>
      <c r="K200" s="36"/>
      <c r="L200" s="36"/>
      <c r="M200" s="36"/>
      <c r="N200" s="36"/>
      <c r="O200" s="6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 spans="1:28" ht="18" customHeight="1">
      <c r="A201" s="1">
        <f t="shared" si="11"/>
        <v>9</v>
      </c>
      <c r="B201" s="1">
        <v>262710147</v>
      </c>
      <c r="C201" s="126" t="s">
        <v>805</v>
      </c>
      <c r="D201" s="51"/>
      <c r="E201" s="52"/>
      <c r="F201" s="53" t="s">
        <v>1</v>
      </c>
      <c r="G201" s="36"/>
      <c r="H201" s="36"/>
      <c r="I201" s="36"/>
      <c r="J201" s="36"/>
      <c r="K201" s="36"/>
      <c r="L201" s="36"/>
      <c r="M201" s="36"/>
      <c r="N201" s="36"/>
      <c r="O201" s="6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 spans="1:28" ht="18" customHeight="1">
      <c r="A202" s="1">
        <f t="shared" si="11"/>
        <v>10</v>
      </c>
      <c r="B202" s="1">
        <v>262710148</v>
      </c>
      <c r="C202" s="126" t="s">
        <v>807</v>
      </c>
      <c r="D202" s="51"/>
      <c r="E202" s="52"/>
      <c r="F202" s="53" t="s">
        <v>1</v>
      </c>
      <c r="G202" s="36"/>
      <c r="H202" s="36"/>
      <c r="I202" s="36"/>
      <c r="J202" s="36"/>
      <c r="K202" s="36"/>
      <c r="L202" s="36"/>
      <c r="M202" s="36"/>
      <c r="N202" s="36"/>
      <c r="O202" s="6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 spans="1:28" ht="18" customHeight="1">
      <c r="A203" s="1">
        <f t="shared" si="11"/>
        <v>11</v>
      </c>
      <c r="B203" s="1">
        <v>262710149</v>
      </c>
      <c r="C203" s="126" t="s">
        <v>810</v>
      </c>
      <c r="D203" s="51"/>
      <c r="E203" s="52"/>
      <c r="F203" s="53" t="s">
        <v>1</v>
      </c>
      <c r="G203" s="36"/>
      <c r="H203" s="36"/>
      <c r="I203" s="36"/>
      <c r="J203" s="36"/>
      <c r="K203" s="36"/>
      <c r="L203" s="36"/>
      <c r="M203" s="36"/>
      <c r="N203" s="36"/>
      <c r="O203" s="6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 spans="1:28" ht="18" customHeight="1">
      <c r="A204" s="1">
        <f t="shared" si="11"/>
        <v>12</v>
      </c>
      <c r="B204" s="1">
        <v>262710150</v>
      </c>
      <c r="C204" s="126" t="s">
        <v>813</v>
      </c>
      <c r="D204" s="51"/>
      <c r="E204" s="52"/>
      <c r="F204" s="53" t="s">
        <v>1</v>
      </c>
      <c r="G204" s="36"/>
      <c r="H204" s="36"/>
      <c r="I204" s="36"/>
      <c r="J204" s="36"/>
      <c r="K204" s="36"/>
      <c r="L204" s="36"/>
      <c r="M204" s="36"/>
      <c r="N204" s="36"/>
      <c r="O204" s="6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 spans="1:28" ht="18" customHeight="1">
      <c r="A205" s="1">
        <f t="shared" si="11"/>
        <v>13</v>
      </c>
      <c r="B205" s="1">
        <v>262710151</v>
      </c>
      <c r="C205" s="126" t="s">
        <v>815</v>
      </c>
      <c r="D205" s="51"/>
      <c r="E205" s="52"/>
      <c r="F205" s="53" t="s">
        <v>1</v>
      </c>
      <c r="G205" s="36"/>
      <c r="H205" s="36"/>
      <c r="I205" s="36"/>
      <c r="J205" s="36"/>
      <c r="K205" s="36"/>
      <c r="L205" s="36"/>
      <c r="M205" s="36"/>
      <c r="N205" s="36"/>
      <c r="O205" s="6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 spans="1:28" ht="18" customHeight="1">
      <c r="A206" s="1">
        <f t="shared" si="11"/>
        <v>14</v>
      </c>
      <c r="B206" s="1">
        <v>262710152</v>
      </c>
      <c r="C206" s="126" t="s">
        <v>819</v>
      </c>
      <c r="D206" s="51"/>
      <c r="E206" s="52"/>
      <c r="F206" s="53" t="s">
        <v>1</v>
      </c>
      <c r="G206" s="36"/>
      <c r="H206" s="36"/>
      <c r="I206" s="36"/>
      <c r="J206" s="36"/>
      <c r="K206" s="36"/>
      <c r="L206" s="36"/>
      <c r="M206" s="36"/>
      <c r="N206" s="36"/>
      <c r="O206" s="6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 spans="1:28" ht="18" customHeight="1">
      <c r="A207" s="1">
        <f t="shared" si="11"/>
        <v>15</v>
      </c>
      <c r="B207" s="1">
        <v>262710153</v>
      </c>
      <c r="C207" s="126" t="s">
        <v>823</v>
      </c>
      <c r="D207" s="51"/>
      <c r="E207" s="52"/>
      <c r="F207" s="53" t="s">
        <v>3</v>
      </c>
      <c r="G207" s="36"/>
      <c r="H207" s="36"/>
      <c r="I207" s="36"/>
      <c r="J207" s="36"/>
      <c r="K207" s="36"/>
      <c r="L207" s="36"/>
      <c r="M207" s="36"/>
      <c r="N207" s="36"/>
      <c r="O207" s="6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 spans="1:28" ht="18" customHeight="1">
      <c r="A208" s="1">
        <f t="shared" si="11"/>
        <v>16</v>
      </c>
      <c r="B208" s="1">
        <v>262710154</v>
      </c>
      <c r="C208" s="126" t="s">
        <v>826</v>
      </c>
      <c r="D208" s="51"/>
      <c r="E208" s="52"/>
      <c r="F208" s="53" t="s">
        <v>1</v>
      </c>
      <c r="G208" s="36"/>
      <c r="H208" s="36"/>
      <c r="I208" s="36"/>
      <c r="J208" s="36"/>
      <c r="K208" s="36"/>
      <c r="L208" s="36"/>
      <c r="M208" s="36"/>
      <c r="N208" s="36"/>
      <c r="O208" s="6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 spans="1:28" ht="18" customHeight="1">
      <c r="A209" s="1">
        <f t="shared" si="11"/>
        <v>17</v>
      </c>
      <c r="B209" s="1">
        <v>262710155</v>
      </c>
      <c r="C209" s="126" t="s">
        <v>830</v>
      </c>
      <c r="D209" s="51"/>
      <c r="E209" s="52"/>
      <c r="F209" s="53" t="s">
        <v>3</v>
      </c>
      <c r="G209" s="36"/>
      <c r="H209" s="36"/>
      <c r="I209" s="36"/>
      <c r="J209" s="36"/>
      <c r="K209" s="36"/>
      <c r="L209" s="36"/>
      <c r="M209" s="36"/>
      <c r="N209" s="36"/>
      <c r="O209" s="6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 spans="1:28" ht="18" customHeight="1">
      <c r="A210" s="1">
        <f t="shared" si="11"/>
        <v>18</v>
      </c>
      <c r="B210" s="1">
        <v>262710156</v>
      </c>
      <c r="C210" s="126" t="s">
        <v>833</v>
      </c>
      <c r="D210" s="51"/>
      <c r="E210" s="52"/>
      <c r="F210" s="53" t="s">
        <v>1</v>
      </c>
      <c r="G210" s="36"/>
      <c r="H210" s="36"/>
      <c r="I210" s="36"/>
      <c r="J210" s="36"/>
      <c r="K210" s="36"/>
      <c r="L210" s="36"/>
      <c r="M210" s="36"/>
      <c r="N210" s="36"/>
      <c r="O210" s="6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 spans="1:28" ht="18" customHeight="1">
      <c r="A211" s="1">
        <f t="shared" si="11"/>
        <v>19</v>
      </c>
      <c r="B211" s="1">
        <v>262710157</v>
      </c>
      <c r="C211" s="126" t="s">
        <v>836</v>
      </c>
      <c r="D211" s="51"/>
      <c r="E211" s="52"/>
      <c r="F211" s="53" t="s">
        <v>3</v>
      </c>
      <c r="G211" s="36"/>
      <c r="H211" s="36"/>
      <c r="I211" s="36"/>
      <c r="J211" s="36"/>
      <c r="K211" s="36"/>
      <c r="L211" s="36"/>
      <c r="M211" s="36"/>
      <c r="N211" s="1"/>
      <c r="O211" s="6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 spans="1:28" ht="18" customHeight="1">
      <c r="A212" s="1">
        <f t="shared" si="11"/>
        <v>20</v>
      </c>
      <c r="B212" s="1">
        <v>262710158</v>
      </c>
      <c r="C212" s="126" t="s">
        <v>838</v>
      </c>
      <c r="D212" s="51"/>
      <c r="E212" s="52"/>
      <c r="F212" s="53" t="s">
        <v>1</v>
      </c>
      <c r="G212" s="36"/>
      <c r="H212" s="36"/>
      <c r="I212" s="36"/>
      <c r="J212" s="36"/>
      <c r="K212" s="36"/>
      <c r="L212" s="36"/>
      <c r="M212" s="36"/>
      <c r="N212" s="36"/>
      <c r="O212" s="6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 spans="1:28" ht="18" customHeight="1">
      <c r="A213" s="1">
        <f t="shared" si="11"/>
        <v>21</v>
      </c>
      <c r="B213" s="1">
        <v>262710159</v>
      </c>
      <c r="C213" s="126" t="s">
        <v>841</v>
      </c>
      <c r="D213" s="51"/>
      <c r="E213" s="52"/>
      <c r="F213" s="53" t="s">
        <v>3</v>
      </c>
      <c r="G213" s="36"/>
      <c r="H213" s="36"/>
      <c r="I213" s="36"/>
      <c r="J213" s="36"/>
      <c r="K213" s="36"/>
      <c r="L213" s="36"/>
      <c r="M213" s="36"/>
      <c r="N213" s="36"/>
      <c r="O213" s="6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 spans="1:28" ht="18" customHeight="1">
      <c r="A214" s="1">
        <f t="shared" si="11"/>
        <v>22</v>
      </c>
      <c r="B214" s="1">
        <v>262710160</v>
      </c>
      <c r="C214" s="126" t="s">
        <v>843</v>
      </c>
      <c r="D214" s="51"/>
      <c r="E214" s="52"/>
      <c r="F214" s="53" t="s">
        <v>3</v>
      </c>
      <c r="G214" s="36"/>
      <c r="H214" s="36"/>
      <c r="I214" s="36"/>
      <c r="J214" s="36"/>
      <c r="K214" s="36"/>
      <c r="L214" s="36"/>
      <c r="M214" s="36"/>
      <c r="N214" s="36"/>
      <c r="O214" s="6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 spans="1:28" ht="18" customHeight="1">
      <c r="A215" s="1">
        <f t="shared" si="11"/>
        <v>23</v>
      </c>
      <c r="B215" s="1">
        <v>262710161</v>
      </c>
      <c r="C215" s="126" t="s">
        <v>845</v>
      </c>
      <c r="D215" s="51"/>
      <c r="E215" s="52"/>
      <c r="F215" s="53" t="s">
        <v>3</v>
      </c>
      <c r="G215" s="36"/>
      <c r="H215" s="36"/>
      <c r="I215" s="36"/>
      <c r="J215" s="36"/>
      <c r="K215" s="36"/>
      <c r="L215" s="36"/>
      <c r="M215" s="36"/>
      <c r="N215" s="36"/>
      <c r="O215" s="6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 spans="1:28" ht="18" customHeight="1">
      <c r="A216" s="1">
        <f t="shared" si="11"/>
        <v>24</v>
      </c>
      <c r="B216" s="1">
        <v>262710162</v>
      </c>
      <c r="C216" s="126" t="s">
        <v>847</v>
      </c>
      <c r="D216" s="51"/>
      <c r="E216" s="52"/>
      <c r="F216" s="53" t="s">
        <v>1</v>
      </c>
      <c r="G216" s="36"/>
      <c r="H216" s="36"/>
      <c r="I216" s="36"/>
      <c r="J216" s="36"/>
      <c r="K216" s="36"/>
      <c r="L216" s="36"/>
      <c r="M216" s="36"/>
      <c r="N216" s="36"/>
      <c r="O216" s="6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 spans="1:28" ht="18" customHeight="1">
      <c r="A217" s="1">
        <f t="shared" si="11"/>
        <v>25</v>
      </c>
      <c r="B217" s="1">
        <v>262710163</v>
      </c>
      <c r="C217" s="126" t="s">
        <v>849</v>
      </c>
      <c r="D217" s="51"/>
      <c r="E217" s="52"/>
      <c r="F217" s="53" t="s">
        <v>3</v>
      </c>
      <c r="G217" s="36"/>
      <c r="H217" s="36"/>
      <c r="I217" s="36"/>
      <c r="J217" s="36"/>
      <c r="K217" s="36"/>
      <c r="L217" s="36"/>
      <c r="M217" s="36"/>
      <c r="N217" s="36"/>
      <c r="O217" s="6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 spans="1:28" ht="18" customHeight="1">
      <c r="A218" s="1">
        <f t="shared" si="11"/>
        <v>26</v>
      </c>
      <c r="B218" s="1">
        <v>262710164</v>
      </c>
      <c r="C218" s="126" t="s">
        <v>851</v>
      </c>
      <c r="D218" s="51"/>
      <c r="E218" s="52"/>
      <c r="F218" s="53" t="s">
        <v>1</v>
      </c>
      <c r="G218" s="36"/>
      <c r="H218" s="36"/>
      <c r="I218" s="36"/>
      <c r="J218" s="36"/>
      <c r="K218" s="36"/>
      <c r="L218" s="36"/>
      <c r="M218" s="36"/>
      <c r="N218" s="36"/>
      <c r="O218" s="6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 spans="1:28" ht="18" customHeight="1">
      <c r="A219" s="1">
        <f t="shared" si="11"/>
        <v>27</v>
      </c>
      <c r="B219" s="1">
        <v>262710165</v>
      </c>
      <c r="C219" s="126" t="s">
        <v>853</v>
      </c>
      <c r="D219" s="51"/>
      <c r="E219" s="52"/>
      <c r="F219" s="53" t="s">
        <v>1</v>
      </c>
      <c r="G219" s="36"/>
      <c r="H219" s="36"/>
      <c r="I219" s="36"/>
      <c r="J219" s="36"/>
      <c r="K219" s="36"/>
      <c r="L219" s="36"/>
      <c r="M219" s="36"/>
      <c r="N219" s="36"/>
      <c r="O219" s="6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 spans="1:28" ht="18" customHeight="1">
      <c r="A220" s="1">
        <f t="shared" si="11"/>
        <v>28</v>
      </c>
      <c r="B220" s="1">
        <v>262710166</v>
      </c>
      <c r="C220" s="126" t="s">
        <v>855</v>
      </c>
      <c r="D220" s="51"/>
      <c r="E220" s="52"/>
      <c r="F220" s="53" t="s">
        <v>3</v>
      </c>
      <c r="G220" s="36"/>
      <c r="H220" s="36"/>
      <c r="I220" s="36"/>
      <c r="J220" s="36"/>
      <c r="K220" s="36"/>
      <c r="L220" s="36"/>
      <c r="M220" s="36"/>
      <c r="N220" s="36"/>
      <c r="O220" s="6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 spans="1:28" ht="18" customHeight="1">
      <c r="A221" s="1">
        <f t="shared" si="11"/>
        <v>29</v>
      </c>
      <c r="B221" s="1">
        <v>262710167</v>
      </c>
      <c r="C221" s="126" t="s">
        <v>858</v>
      </c>
      <c r="D221" s="51"/>
      <c r="E221" s="52"/>
      <c r="F221" s="53" t="s">
        <v>3</v>
      </c>
      <c r="G221" s="36"/>
      <c r="H221" s="36"/>
      <c r="I221" s="36"/>
      <c r="J221" s="36"/>
      <c r="K221" s="36"/>
      <c r="L221" s="36"/>
      <c r="M221" s="36"/>
      <c r="N221" s="36"/>
      <c r="O221" s="6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 spans="1:28" ht="18" customHeight="1">
      <c r="A222" s="1">
        <f t="shared" si="11"/>
        <v>30</v>
      </c>
      <c r="B222" s="1">
        <v>262710168</v>
      </c>
      <c r="C222" s="126" t="s">
        <v>861</v>
      </c>
      <c r="D222" s="51"/>
      <c r="E222" s="52"/>
      <c r="F222" s="53" t="s">
        <v>3</v>
      </c>
      <c r="G222" s="36"/>
      <c r="H222" s="36"/>
      <c r="I222" s="36"/>
      <c r="J222" s="36"/>
      <c r="K222" s="36"/>
      <c r="L222" s="36"/>
      <c r="M222" s="36"/>
      <c r="N222" s="36"/>
      <c r="O222" s="6"/>
      <c r="P222" s="7"/>
      <c r="Q222" s="3"/>
      <c r="R222" s="3"/>
      <c r="S222" s="3"/>
      <c r="T222" s="3"/>
      <c r="U222" s="3"/>
      <c r="V222" s="3"/>
      <c r="W222" s="3"/>
      <c r="X222" s="7"/>
      <c r="Y222" s="7"/>
      <c r="Z222" s="7"/>
      <c r="AA222" s="7"/>
      <c r="AB222" s="7"/>
    </row>
    <row r="223" spans="1:28" ht="18" customHeight="1">
      <c r="A223" s="1">
        <f t="shared" si="11"/>
        <v>31</v>
      </c>
      <c r="B223" s="1">
        <v>262710169</v>
      </c>
      <c r="C223" s="126" t="s">
        <v>863</v>
      </c>
      <c r="D223" s="51"/>
      <c r="E223" s="52"/>
      <c r="F223" s="53" t="s">
        <v>3</v>
      </c>
      <c r="G223" s="36"/>
      <c r="H223" s="36"/>
      <c r="I223" s="36"/>
      <c r="J223" s="36"/>
      <c r="K223" s="36"/>
      <c r="L223" s="36"/>
      <c r="M223" s="36"/>
      <c r="N223" s="36"/>
      <c r="O223" s="6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 spans="1:28" ht="18" customHeight="1">
      <c r="A224" s="83">
        <f t="shared" si="11"/>
        <v>32</v>
      </c>
      <c r="B224" s="1">
        <v>262710170</v>
      </c>
      <c r="C224" s="126" t="s">
        <v>865</v>
      </c>
      <c r="D224" s="51"/>
      <c r="E224" s="52"/>
      <c r="F224" s="53" t="s">
        <v>3</v>
      </c>
      <c r="G224" s="85"/>
      <c r="H224" s="85"/>
      <c r="I224" s="85"/>
      <c r="J224" s="85"/>
      <c r="K224" s="85"/>
      <c r="L224" s="85"/>
      <c r="M224" s="85"/>
      <c r="N224" s="85"/>
      <c r="O224" s="6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 spans="1:28" ht="18" customHeight="1">
      <c r="A225" s="1">
        <f t="shared" si="11"/>
        <v>33</v>
      </c>
      <c r="B225" s="1">
        <v>262710171</v>
      </c>
      <c r="C225" s="126" t="s">
        <v>867</v>
      </c>
      <c r="D225" s="51"/>
      <c r="E225" s="52"/>
      <c r="F225" s="53" t="s">
        <v>1</v>
      </c>
      <c r="G225" s="36"/>
      <c r="H225" s="36"/>
      <c r="I225" s="36"/>
      <c r="J225" s="36"/>
      <c r="K225" s="36"/>
      <c r="L225" s="36"/>
      <c r="M225" s="36"/>
      <c r="N225" s="36"/>
      <c r="O225" s="6"/>
      <c r="P225" s="7"/>
      <c r="Q225" s="3"/>
      <c r="R225" s="3"/>
      <c r="S225" s="3"/>
      <c r="T225" s="3"/>
      <c r="U225" s="3"/>
      <c r="V225" s="3"/>
      <c r="W225" s="3"/>
      <c r="X225" s="7"/>
      <c r="Y225" s="7"/>
      <c r="Z225" s="7"/>
      <c r="AA225" s="7"/>
      <c r="AB225" s="7"/>
    </row>
    <row r="226" spans="1:28" ht="18" customHeight="1">
      <c r="A226" s="1">
        <f t="shared" si="11"/>
        <v>34</v>
      </c>
      <c r="B226" s="1">
        <v>262710172</v>
      </c>
      <c r="C226" s="126" t="s">
        <v>869</v>
      </c>
      <c r="D226" s="51"/>
      <c r="E226" s="52"/>
      <c r="F226" s="53" t="s">
        <v>1</v>
      </c>
      <c r="G226" s="36"/>
      <c r="H226" s="36"/>
      <c r="I226" s="36"/>
      <c r="J226" s="36"/>
      <c r="K226" s="36"/>
      <c r="L226" s="36"/>
      <c r="M226" s="36"/>
      <c r="N226" s="36"/>
      <c r="O226" s="6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 spans="1:28" ht="18" customHeight="1">
      <c r="A227" s="1">
        <f t="shared" si="11"/>
        <v>35</v>
      </c>
      <c r="B227" s="1">
        <v>262710173</v>
      </c>
      <c r="C227" s="126" t="s">
        <v>870</v>
      </c>
      <c r="D227" s="51"/>
      <c r="E227" s="52"/>
      <c r="F227" s="53" t="s">
        <v>1</v>
      </c>
      <c r="G227" s="36"/>
      <c r="H227" s="36"/>
      <c r="I227" s="36"/>
      <c r="J227" s="36"/>
      <c r="K227" s="36"/>
      <c r="L227" s="36"/>
      <c r="M227" s="36"/>
      <c r="N227" s="36"/>
      <c r="O227" s="6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 spans="1:28" ht="18" customHeight="1">
      <c r="A228" s="1">
        <f t="shared" si="11"/>
        <v>36</v>
      </c>
      <c r="B228" s="1">
        <v>262710174</v>
      </c>
      <c r="C228" s="126" t="s">
        <v>873</v>
      </c>
      <c r="D228" s="51"/>
      <c r="E228" s="52"/>
      <c r="F228" s="53" t="s">
        <v>1</v>
      </c>
      <c r="G228" s="36"/>
      <c r="H228" s="36"/>
      <c r="I228" s="36"/>
      <c r="J228" s="36"/>
      <c r="K228" s="36"/>
      <c r="L228" s="36"/>
      <c r="M228" s="36"/>
      <c r="N228" s="36"/>
      <c r="O228" s="6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 spans="1:28" ht="18" customHeight="1">
      <c r="A229" s="1">
        <f t="shared" si="11"/>
        <v>37</v>
      </c>
      <c r="B229" s="1">
        <v>262710175</v>
      </c>
      <c r="C229" s="126" t="s">
        <v>874</v>
      </c>
      <c r="D229" s="51"/>
      <c r="E229" s="52"/>
      <c r="F229" s="53" t="s">
        <v>1</v>
      </c>
      <c r="G229" s="36"/>
      <c r="H229" s="36"/>
      <c r="I229" s="36"/>
      <c r="J229" s="36"/>
      <c r="K229" s="36"/>
      <c r="L229" s="36"/>
      <c r="M229" s="36"/>
      <c r="N229" s="36"/>
      <c r="O229" s="6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 spans="1:28" ht="18" customHeight="1">
      <c r="A230" s="1">
        <f t="shared" si="11"/>
        <v>38</v>
      </c>
      <c r="B230" s="1">
        <v>262710176</v>
      </c>
      <c r="C230" s="126" t="s">
        <v>876</v>
      </c>
      <c r="D230" s="51"/>
      <c r="E230" s="52"/>
      <c r="F230" s="53" t="s">
        <v>1</v>
      </c>
      <c r="G230" s="36"/>
      <c r="H230" s="36"/>
      <c r="I230" s="36"/>
      <c r="J230" s="36"/>
      <c r="K230" s="36"/>
      <c r="L230" s="36"/>
      <c r="M230" s="36"/>
      <c r="N230" s="36"/>
      <c r="O230" s="6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 spans="1:28" ht="18" customHeight="1">
      <c r="A231" s="1">
        <f t="shared" si="11"/>
        <v>39</v>
      </c>
      <c r="B231" s="1">
        <v>262710177</v>
      </c>
      <c r="C231" s="126" t="s">
        <v>878</v>
      </c>
      <c r="D231" s="51"/>
      <c r="E231" s="52"/>
      <c r="F231" s="53" t="s">
        <v>3</v>
      </c>
      <c r="G231" s="36"/>
      <c r="H231" s="36"/>
      <c r="I231" s="36"/>
      <c r="J231" s="36"/>
      <c r="K231" s="36"/>
      <c r="L231" s="36"/>
      <c r="M231" s="36"/>
      <c r="N231" s="36"/>
      <c r="O231" s="6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 spans="1:28" ht="18" customHeight="1">
      <c r="A232" s="1">
        <f t="shared" si="11"/>
        <v>40</v>
      </c>
      <c r="B232" s="1">
        <v>262710178</v>
      </c>
      <c r="C232" s="126" t="s">
        <v>880</v>
      </c>
      <c r="D232" s="51"/>
      <c r="E232" s="52"/>
      <c r="F232" s="53" t="s">
        <v>3</v>
      </c>
      <c r="G232" s="36"/>
      <c r="H232" s="36"/>
      <c r="I232" s="36"/>
      <c r="J232" s="36"/>
      <c r="K232" s="36"/>
      <c r="L232" s="36"/>
      <c r="M232" s="36"/>
      <c r="N232" s="36"/>
      <c r="O232" s="6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 spans="1:28" ht="15.8" customHeight="1">
      <c r="A233" s="79"/>
      <c r="B233" s="79"/>
      <c r="C233" s="20"/>
      <c r="D233" s="20"/>
      <c r="E233" s="20"/>
      <c r="F233" s="80" t="s">
        <v>1</v>
      </c>
      <c r="G233" s="80">
        <f>COUNTIF(F193:F232,"L")</f>
        <v>20</v>
      </c>
      <c r="H233" s="20"/>
      <c r="I233" s="20"/>
      <c r="J233" s="20"/>
      <c r="K233" s="20"/>
      <c r="L233" s="20"/>
      <c r="M233" s="20"/>
      <c r="N233" s="20"/>
      <c r="O233" s="6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 spans="1:28" ht="15.8" customHeight="1">
      <c r="A234" s="79"/>
      <c r="B234" s="79"/>
      <c r="C234" s="20"/>
      <c r="D234" s="20"/>
      <c r="E234" s="20"/>
      <c r="F234" s="30" t="s">
        <v>3</v>
      </c>
      <c r="G234" s="30">
        <f>COUNTIF(F193:F232,"P")</f>
        <v>20</v>
      </c>
      <c r="H234" s="20"/>
      <c r="I234" s="20"/>
      <c r="J234" s="20"/>
      <c r="K234" s="20"/>
      <c r="L234" s="20"/>
      <c r="M234" s="20"/>
      <c r="N234" s="20"/>
      <c r="O234" s="6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 spans="1:28" ht="15.8" customHeight="1">
      <c r="A235" s="79"/>
      <c r="B235" s="79"/>
      <c r="C235" s="20"/>
      <c r="D235" s="20"/>
      <c r="E235" s="20"/>
      <c r="F235" s="81" t="s">
        <v>251</v>
      </c>
      <c r="G235" s="81">
        <f>SUM(G233:G234)</f>
        <v>40</v>
      </c>
      <c r="H235" s="20"/>
      <c r="I235" s="20"/>
      <c r="J235" s="20"/>
      <c r="K235" s="20"/>
      <c r="L235" s="20"/>
      <c r="M235" s="20"/>
      <c r="N235" s="20"/>
      <c r="O235" s="6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 spans="1:28" ht="15.8" customHeight="1">
      <c r="A236" s="20" t="s">
        <v>275</v>
      </c>
      <c r="B236" s="6"/>
      <c r="C236" s="20"/>
      <c r="D236" s="20"/>
      <c r="E236" s="20"/>
      <c r="F236" s="94"/>
      <c r="G236" s="6"/>
      <c r="H236" s="6"/>
      <c r="I236" s="82" t="s">
        <v>254</v>
      </c>
      <c r="J236" s="6"/>
      <c r="K236" s="6"/>
      <c r="L236" s="6"/>
      <c r="M236" s="6"/>
      <c r="N236" s="6"/>
      <c r="O236" s="6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 spans="1:28" ht="15.8" customHeight="1">
      <c r="A237" s="20" t="s">
        <v>280</v>
      </c>
      <c r="B237" s="6"/>
      <c r="C237" s="20"/>
      <c r="D237" s="20"/>
      <c r="E237" s="20" t="s">
        <v>281</v>
      </c>
      <c r="F237" s="94"/>
      <c r="G237" s="6"/>
      <c r="H237" s="6"/>
      <c r="I237" s="6" t="s">
        <v>256</v>
      </c>
      <c r="J237" s="6"/>
      <c r="K237" s="6"/>
      <c r="L237" s="6"/>
      <c r="M237" s="6"/>
      <c r="N237" s="6"/>
      <c r="O237" s="6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 spans="1:28" ht="15.8" customHeight="1">
      <c r="A238" s="20"/>
      <c r="B238" s="6"/>
      <c r="C238" s="20"/>
      <c r="D238" s="20"/>
      <c r="E238" s="20"/>
      <c r="F238" s="79"/>
      <c r="G238" s="20"/>
      <c r="H238" s="20"/>
      <c r="I238" s="6"/>
      <c r="J238" s="6"/>
      <c r="K238" s="6"/>
      <c r="L238" s="6"/>
      <c r="M238" s="6"/>
      <c r="N238" s="6"/>
      <c r="O238" s="6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 spans="1:28" ht="15.8" customHeight="1">
      <c r="A239" s="20"/>
      <c r="B239" s="6"/>
      <c r="C239" s="20"/>
      <c r="D239" s="20"/>
      <c r="E239" s="20"/>
      <c r="F239" s="79"/>
      <c r="G239" s="20"/>
      <c r="H239" s="20"/>
      <c r="I239" s="6"/>
      <c r="J239" s="6"/>
      <c r="K239" s="6"/>
      <c r="L239" s="6"/>
      <c r="M239" s="6"/>
      <c r="N239" s="6"/>
      <c r="O239" s="6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 spans="1:28" ht="15.8" customHeight="1">
      <c r="A240" s="24" t="s">
        <v>889</v>
      </c>
      <c r="B240" s="6"/>
      <c r="C240" s="6"/>
      <c r="D240" s="6"/>
      <c r="E240" s="86" t="s">
        <v>368</v>
      </c>
      <c r="F240" s="94"/>
      <c r="G240" s="6"/>
      <c r="H240" s="20"/>
      <c r="I240" s="87"/>
      <c r="J240" s="87"/>
      <c r="K240" s="87"/>
      <c r="L240" s="87"/>
      <c r="M240" s="87"/>
      <c r="N240" s="87"/>
      <c r="O240" s="6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 spans="1:28" ht="15.8" customHeight="1">
      <c r="A241" s="41" t="s">
        <v>892</v>
      </c>
      <c r="B241" s="41"/>
      <c r="C241" s="20"/>
      <c r="D241" s="20"/>
      <c r="E241" s="20" t="s">
        <v>372</v>
      </c>
      <c r="F241" s="79"/>
      <c r="G241" s="20"/>
      <c r="H241" s="20" t="s">
        <v>266</v>
      </c>
      <c r="I241" s="6"/>
      <c r="J241" s="6"/>
      <c r="K241" s="6"/>
      <c r="L241" s="6"/>
      <c r="M241" s="6"/>
      <c r="N241" s="6"/>
      <c r="O241" s="6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 spans="1:28" ht="15.8" customHeight="1">
      <c r="A242" s="7"/>
      <c r="B242" s="7"/>
      <c r="C242" s="7"/>
      <c r="D242" s="7"/>
      <c r="E242" s="7"/>
      <c r="F242" s="125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 spans="1:28" ht="19.55" customHeight="1">
      <c r="A243" s="16" t="s">
        <v>79</v>
      </c>
      <c r="B243" s="16"/>
      <c r="C243" s="4" t="s">
        <v>897</v>
      </c>
      <c r="D243" s="16"/>
      <c r="E243" s="22"/>
      <c r="F243" s="23"/>
      <c r="G243" s="17"/>
      <c r="H243" s="19" t="s">
        <v>82</v>
      </c>
      <c r="I243" s="17"/>
      <c r="J243" s="17"/>
      <c r="K243" s="17"/>
      <c r="L243" s="17"/>
      <c r="M243" s="20"/>
      <c r="N243" s="20"/>
      <c r="O243" s="6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 spans="1:28" ht="9" customHeight="1">
      <c r="A244" s="20"/>
      <c r="B244" s="24"/>
      <c r="C244" s="24"/>
      <c r="D244" s="24"/>
      <c r="E244" s="25"/>
      <c r="F244" s="14"/>
      <c r="G244" s="20"/>
      <c r="H244" s="26"/>
      <c r="I244" s="27"/>
      <c r="J244" s="27"/>
      <c r="K244" s="27"/>
      <c r="L244" s="27"/>
      <c r="M244" s="27"/>
      <c r="N244" s="27"/>
      <c r="O244" s="6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 spans="1:28" ht="15.8" customHeight="1">
      <c r="A245" s="176" t="s">
        <v>84</v>
      </c>
      <c r="B245" s="177"/>
      <c r="C245" s="178" t="s">
        <v>85</v>
      </c>
      <c r="D245" s="179"/>
      <c r="E245" s="180"/>
      <c r="F245" s="184" t="s">
        <v>86</v>
      </c>
      <c r="G245" s="176" t="s">
        <v>87</v>
      </c>
      <c r="H245" s="186"/>
      <c r="I245" s="186"/>
      <c r="J245" s="186"/>
      <c r="K245" s="186"/>
      <c r="L245" s="186"/>
      <c r="M245" s="177"/>
      <c r="N245" s="184" t="s">
        <v>88</v>
      </c>
      <c r="O245" s="6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 spans="1:28" ht="15.8" customHeight="1">
      <c r="A246" s="28" t="s">
        <v>90</v>
      </c>
      <c r="B246" s="28" t="s">
        <v>91</v>
      </c>
      <c r="C246" s="181"/>
      <c r="D246" s="182"/>
      <c r="E246" s="183"/>
      <c r="F246" s="185"/>
      <c r="G246" s="28"/>
      <c r="H246" s="28"/>
      <c r="I246" s="28"/>
      <c r="J246" s="28"/>
      <c r="K246" s="28"/>
      <c r="L246" s="28"/>
      <c r="M246" s="28"/>
      <c r="N246" s="185"/>
      <c r="O246" s="6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 spans="1:28" ht="18" customHeight="1">
      <c r="A247" s="1">
        <v>1</v>
      </c>
      <c r="B247" s="1">
        <v>262710179</v>
      </c>
      <c r="C247" s="129" t="s">
        <v>905</v>
      </c>
      <c r="D247" s="51"/>
      <c r="E247" s="52"/>
      <c r="F247" s="53" t="s">
        <v>3</v>
      </c>
      <c r="G247" s="36"/>
      <c r="H247" s="36"/>
      <c r="I247" s="36"/>
      <c r="J247" s="36"/>
      <c r="K247" s="36"/>
      <c r="L247" s="36"/>
      <c r="M247" s="36"/>
      <c r="N247" s="36"/>
      <c r="O247" s="6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 spans="1:28" ht="18" customHeight="1">
      <c r="A248" s="1">
        <f t="shared" ref="A248:A294" si="12">A247+1</f>
        <v>2</v>
      </c>
      <c r="B248" s="1">
        <v>262710180</v>
      </c>
      <c r="C248" s="129" t="s">
        <v>908</v>
      </c>
      <c r="D248" s="51"/>
      <c r="E248" s="52"/>
      <c r="F248" s="53" t="s">
        <v>3</v>
      </c>
      <c r="G248" s="36"/>
      <c r="H248" s="36"/>
      <c r="I248" s="36"/>
      <c r="J248" s="36"/>
      <c r="K248" s="36"/>
      <c r="L248" s="36"/>
      <c r="M248" s="36"/>
      <c r="N248" s="36"/>
      <c r="O248" s="6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 spans="1:28" ht="18" customHeight="1">
      <c r="A249" s="1">
        <f t="shared" si="12"/>
        <v>3</v>
      </c>
      <c r="B249" s="1">
        <v>262710181</v>
      </c>
      <c r="C249" s="129" t="s">
        <v>911</v>
      </c>
      <c r="D249" s="51"/>
      <c r="E249" s="52"/>
      <c r="F249" s="53" t="s">
        <v>3</v>
      </c>
      <c r="G249" s="36"/>
      <c r="H249" s="36"/>
      <c r="I249" s="36"/>
      <c r="J249" s="36"/>
      <c r="K249" s="36"/>
      <c r="L249" s="36"/>
      <c r="M249" s="36"/>
      <c r="N249" s="36"/>
      <c r="O249" s="6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 spans="1:28" ht="18" customHeight="1">
      <c r="A250" s="1">
        <f t="shared" si="12"/>
        <v>4</v>
      </c>
      <c r="B250" s="1">
        <v>262710182</v>
      </c>
      <c r="C250" s="129" t="s">
        <v>915</v>
      </c>
      <c r="D250" s="51"/>
      <c r="E250" s="52"/>
      <c r="F250" s="53" t="s">
        <v>1</v>
      </c>
      <c r="G250" s="36"/>
      <c r="H250" s="36"/>
      <c r="I250" s="36"/>
      <c r="J250" s="36"/>
      <c r="K250" s="36"/>
      <c r="L250" s="36"/>
      <c r="M250" s="36"/>
      <c r="N250" s="36"/>
      <c r="O250" s="6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 spans="1:28" ht="18" customHeight="1">
      <c r="A251" s="1">
        <f t="shared" si="12"/>
        <v>5</v>
      </c>
      <c r="B251" s="1">
        <v>262710183</v>
      </c>
      <c r="C251" s="129" t="s">
        <v>918</v>
      </c>
      <c r="D251" s="51"/>
      <c r="E251" s="52"/>
      <c r="F251" s="53" t="s">
        <v>3</v>
      </c>
      <c r="G251" s="36"/>
      <c r="H251" s="36"/>
      <c r="I251" s="36"/>
      <c r="J251" s="36"/>
      <c r="K251" s="36"/>
      <c r="L251" s="36"/>
      <c r="M251" s="36"/>
      <c r="N251" s="36"/>
      <c r="O251" s="6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 spans="1:28" ht="18" customHeight="1">
      <c r="A252" s="1">
        <f t="shared" si="12"/>
        <v>6</v>
      </c>
      <c r="B252" s="1">
        <v>262710184</v>
      </c>
      <c r="C252" s="129" t="s">
        <v>921</v>
      </c>
      <c r="D252" s="51"/>
      <c r="E252" s="52"/>
      <c r="F252" s="53" t="s">
        <v>3</v>
      </c>
      <c r="G252" s="36"/>
      <c r="H252" s="36"/>
      <c r="I252" s="36"/>
      <c r="J252" s="36"/>
      <c r="K252" s="36"/>
      <c r="L252" s="36"/>
      <c r="M252" s="36"/>
      <c r="N252" s="36"/>
      <c r="O252" s="6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 spans="1:28" ht="18" customHeight="1">
      <c r="A253" s="1">
        <f t="shared" si="12"/>
        <v>7</v>
      </c>
      <c r="B253" s="1">
        <v>262710185</v>
      </c>
      <c r="C253" s="129" t="s">
        <v>924</v>
      </c>
      <c r="D253" s="51"/>
      <c r="E253" s="52"/>
      <c r="F253" s="53" t="s">
        <v>1</v>
      </c>
      <c r="G253" s="36"/>
      <c r="H253" s="36"/>
      <c r="I253" s="36"/>
      <c r="J253" s="36"/>
      <c r="K253" s="36"/>
      <c r="L253" s="36"/>
      <c r="M253" s="36"/>
      <c r="N253" s="36"/>
      <c r="O253" s="6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 spans="1:28" ht="18" customHeight="1">
      <c r="A254" s="1">
        <f t="shared" si="12"/>
        <v>8</v>
      </c>
      <c r="B254" s="1">
        <v>262710186</v>
      </c>
      <c r="C254" s="129" t="s">
        <v>927</v>
      </c>
      <c r="D254" s="51"/>
      <c r="E254" s="52"/>
      <c r="F254" s="53" t="s">
        <v>3</v>
      </c>
      <c r="G254" s="36"/>
      <c r="H254" s="36"/>
      <c r="I254" s="36"/>
      <c r="J254" s="36"/>
      <c r="K254" s="36"/>
      <c r="L254" s="36"/>
      <c r="M254" s="36"/>
      <c r="N254" s="36"/>
      <c r="O254" s="6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 spans="1:28" ht="18" customHeight="1">
      <c r="A255" s="1">
        <f t="shared" si="12"/>
        <v>9</v>
      </c>
      <c r="B255" s="1">
        <v>262710187</v>
      </c>
      <c r="C255" s="129" t="s">
        <v>932</v>
      </c>
      <c r="D255" s="51"/>
      <c r="E255" s="52"/>
      <c r="F255" s="53" t="s">
        <v>3</v>
      </c>
      <c r="G255" s="36"/>
      <c r="H255" s="36"/>
      <c r="I255" s="36"/>
      <c r="J255" s="36"/>
      <c r="K255" s="36"/>
      <c r="L255" s="36"/>
      <c r="M255" s="36"/>
      <c r="N255" s="36"/>
      <c r="O255" s="6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 spans="1:28" ht="18" customHeight="1">
      <c r="A256" s="1">
        <f t="shared" si="12"/>
        <v>10</v>
      </c>
      <c r="B256" s="1">
        <v>262710188</v>
      </c>
      <c r="C256" s="129" t="s">
        <v>935</v>
      </c>
      <c r="D256" s="51"/>
      <c r="E256" s="52"/>
      <c r="F256" s="53" t="s">
        <v>1</v>
      </c>
      <c r="G256" s="36"/>
      <c r="H256" s="36"/>
      <c r="I256" s="36"/>
      <c r="J256" s="36"/>
      <c r="K256" s="36"/>
      <c r="L256" s="36"/>
      <c r="M256" s="36"/>
      <c r="N256" s="36"/>
      <c r="O256" s="6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 spans="1:28" ht="18" customHeight="1">
      <c r="A257" s="1">
        <f t="shared" si="12"/>
        <v>11</v>
      </c>
      <c r="B257" s="1">
        <v>262710189</v>
      </c>
      <c r="C257" s="129" t="s">
        <v>938</v>
      </c>
      <c r="D257" s="51"/>
      <c r="E257" s="52"/>
      <c r="F257" s="53" t="s">
        <v>3</v>
      </c>
      <c r="G257" s="36"/>
      <c r="H257" s="36"/>
      <c r="I257" s="36"/>
      <c r="J257" s="36"/>
      <c r="K257" s="36"/>
      <c r="L257" s="36"/>
      <c r="M257" s="36"/>
      <c r="N257" s="36"/>
      <c r="O257" s="6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 spans="1:28" ht="18" customHeight="1">
      <c r="A258" s="1">
        <f t="shared" si="12"/>
        <v>12</v>
      </c>
      <c r="B258" s="1">
        <v>262710190</v>
      </c>
      <c r="C258" s="129" t="s">
        <v>941</v>
      </c>
      <c r="D258" s="51"/>
      <c r="E258" s="52"/>
      <c r="F258" s="53" t="s">
        <v>1</v>
      </c>
      <c r="G258" s="36"/>
      <c r="H258" s="36"/>
      <c r="I258" s="36"/>
      <c r="J258" s="36"/>
      <c r="K258" s="36"/>
      <c r="L258" s="36"/>
      <c r="M258" s="36"/>
      <c r="N258" s="36"/>
      <c r="O258" s="6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 spans="1:28" ht="18" customHeight="1">
      <c r="A259" s="1">
        <f t="shared" si="12"/>
        <v>13</v>
      </c>
      <c r="B259" s="1">
        <v>262710191</v>
      </c>
      <c r="C259" s="129" t="s">
        <v>944</v>
      </c>
      <c r="D259" s="51"/>
      <c r="E259" s="52"/>
      <c r="F259" s="53" t="s">
        <v>3</v>
      </c>
      <c r="G259" s="36"/>
      <c r="H259" s="36"/>
      <c r="I259" s="36"/>
      <c r="J259" s="36"/>
      <c r="K259" s="36"/>
      <c r="L259" s="36"/>
      <c r="M259" s="36"/>
      <c r="N259" s="36"/>
      <c r="O259" s="6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 spans="1:28" ht="18" customHeight="1">
      <c r="A260" s="1">
        <f t="shared" si="12"/>
        <v>14</v>
      </c>
      <c r="B260" s="1">
        <v>262710192</v>
      </c>
      <c r="C260" s="129" t="s">
        <v>946</v>
      </c>
      <c r="D260" s="51"/>
      <c r="E260" s="52"/>
      <c r="F260" s="53" t="s">
        <v>3</v>
      </c>
      <c r="G260" s="36"/>
      <c r="H260" s="36"/>
      <c r="I260" s="36"/>
      <c r="J260" s="36"/>
      <c r="K260" s="36"/>
      <c r="L260" s="36"/>
      <c r="M260" s="36"/>
      <c r="N260" s="36"/>
      <c r="O260" s="6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 spans="1:28" ht="18" customHeight="1">
      <c r="A261" s="1">
        <f t="shared" si="12"/>
        <v>15</v>
      </c>
      <c r="B261" s="1">
        <v>262710193</v>
      </c>
      <c r="C261" s="129" t="s">
        <v>948</v>
      </c>
      <c r="D261" s="51"/>
      <c r="E261" s="52"/>
      <c r="F261" s="53" t="s">
        <v>1</v>
      </c>
      <c r="G261" s="36"/>
      <c r="H261" s="36"/>
      <c r="I261" s="36"/>
      <c r="J261" s="36"/>
      <c r="K261" s="36"/>
      <c r="L261" s="36"/>
      <c r="M261" s="36"/>
      <c r="N261" s="36"/>
      <c r="O261" s="6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 spans="1:28" ht="18" customHeight="1">
      <c r="A262" s="1">
        <f t="shared" si="12"/>
        <v>16</v>
      </c>
      <c r="B262" s="1">
        <v>262710194</v>
      </c>
      <c r="C262" s="129" t="s">
        <v>950</v>
      </c>
      <c r="D262" s="51"/>
      <c r="E262" s="52"/>
      <c r="F262" s="53" t="s">
        <v>3</v>
      </c>
      <c r="G262" s="36"/>
      <c r="H262" s="36"/>
      <c r="I262" s="36"/>
      <c r="J262" s="36"/>
      <c r="K262" s="36"/>
      <c r="L262" s="36"/>
      <c r="M262" s="36"/>
      <c r="N262" s="36"/>
      <c r="O262" s="6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 spans="1:28" ht="18" customHeight="1">
      <c r="A263" s="1">
        <f t="shared" si="12"/>
        <v>17</v>
      </c>
      <c r="B263" s="1">
        <v>262710195</v>
      </c>
      <c r="C263" s="129" t="s">
        <v>952</v>
      </c>
      <c r="D263" s="51"/>
      <c r="E263" s="52"/>
      <c r="F263" s="53" t="s">
        <v>3</v>
      </c>
      <c r="G263" s="36"/>
      <c r="H263" s="36"/>
      <c r="I263" s="36"/>
      <c r="J263" s="36"/>
      <c r="K263" s="36"/>
      <c r="L263" s="36"/>
      <c r="M263" s="36"/>
      <c r="N263" s="36"/>
      <c r="O263" s="6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 spans="1:28" ht="18" customHeight="1">
      <c r="A264" s="1">
        <f t="shared" si="12"/>
        <v>18</v>
      </c>
      <c r="B264" s="1">
        <v>262710196</v>
      </c>
      <c r="C264" s="129" t="s">
        <v>954</v>
      </c>
      <c r="D264" s="51"/>
      <c r="E264" s="52"/>
      <c r="F264" s="53" t="s">
        <v>3</v>
      </c>
      <c r="G264" s="36"/>
      <c r="H264" s="36"/>
      <c r="I264" s="36"/>
      <c r="J264" s="36"/>
      <c r="K264" s="36"/>
      <c r="L264" s="36"/>
      <c r="M264" s="36"/>
      <c r="N264" s="36"/>
      <c r="O264" s="6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 spans="1:28" ht="18" customHeight="1">
      <c r="A265" s="1">
        <f t="shared" si="12"/>
        <v>19</v>
      </c>
      <c r="B265" s="1">
        <v>262710197</v>
      </c>
      <c r="C265" s="129" t="s">
        <v>956</v>
      </c>
      <c r="D265" s="51"/>
      <c r="E265" s="52"/>
      <c r="F265" s="53" t="s">
        <v>3</v>
      </c>
      <c r="G265" s="36"/>
      <c r="H265" s="36"/>
      <c r="I265" s="36"/>
      <c r="J265" s="36"/>
      <c r="K265" s="36"/>
      <c r="L265" s="36"/>
      <c r="M265" s="36"/>
      <c r="N265" s="1"/>
      <c r="O265" s="6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 spans="1:28" ht="18" customHeight="1">
      <c r="A266" s="1">
        <f t="shared" si="12"/>
        <v>20</v>
      </c>
      <c r="B266" s="1">
        <v>262710198</v>
      </c>
      <c r="C266" s="129" t="s">
        <v>958</v>
      </c>
      <c r="D266" s="51"/>
      <c r="E266" s="52"/>
      <c r="F266" s="53" t="s">
        <v>1</v>
      </c>
      <c r="G266" s="36"/>
      <c r="H266" s="36"/>
      <c r="I266" s="36"/>
      <c r="J266" s="36"/>
      <c r="K266" s="36"/>
      <c r="L266" s="36"/>
      <c r="M266" s="36"/>
      <c r="N266" s="36"/>
      <c r="O266" s="6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 spans="1:28" ht="18" customHeight="1">
      <c r="A267" s="1">
        <f t="shared" si="12"/>
        <v>21</v>
      </c>
      <c r="B267" s="1">
        <v>262710199</v>
      </c>
      <c r="C267" s="129" t="s">
        <v>960</v>
      </c>
      <c r="D267" s="51"/>
      <c r="E267" s="52"/>
      <c r="F267" s="53" t="s">
        <v>3</v>
      </c>
      <c r="G267" s="36"/>
      <c r="H267" s="36"/>
      <c r="I267" s="36"/>
      <c r="J267" s="36"/>
      <c r="K267" s="36"/>
      <c r="L267" s="36"/>
      <c r="M267" s="36"/>
      <c r="N267" s="36"/>
      <c r="O267" s="6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 spans="1:28" ht="18" customHeight="1">
      <c r="A268" s="1">
        <f t="shared" si="12"/>
        <v>22</v>
      </c>
      <c r="B268" s="1">
        <v>262710200</v>
      </c>
      <c r="C268" s="129" t="s">
        <v>963</v>
      </c>
      <c r="D268" s="51"/>
      <c r="E268" s="52"/>
      <c r="F268" s="53" t="s">
        <v>1</v>
      </c>
      <c r="G268" s="36"/>
      <c r="H268" s="36"/>
      <c r="I268" s="36"/>
      <c r="J268" s="36"/>
      <c r="K268" s="36"/>
      <c r="L268" s="36"/>
      <c r="M268" s="36"/>
      <c r="N268" s="36"/>
      <c r="O268" s="6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 spans="1:28" ht="18" customHeight="1">
      <c r="A269" s="1">
        <f t="shared" si="12"/>
        <v>23</v>
      </c>
      <c r="B269" s="1">
        <v>262710201</v>
      </c>
      <c r="C269" s="129" t="s">
        <v>967</v>
      </c>
      <c r="D269" s="51"/>
      <c r="E269" s="52"/>
      <c r="F269" s="53" t="s">
        <v>3</v>
      </c>
      <c r="G269" s="36"/>
      <c r="H269" s="36"/>
      <c r="I269" s="36"/>
      <c r="J269" s="36"/>
      <c r="K269" s="36"/>
      <c r="L269" s="36"/>
      <c r="M269" s="36"/>
      <c r="N269" s="36"/>
      <c r="O269" s="6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 spans="1:28" ht="18" customHeight="1">
      <c r="A270" s="1">
        <f t="shared" si="12"/>
        <v>24</v>
      </c>
      <c r="B270" s="1">
        <v>262710202</v>
      </c>
      <c r="C270" s="129" t="s">
        <v>970</v>
      </c>
      <c r="D270" s="51"/>
      <c r="E270" s="52"/>
      <c r="F270" s="53" t="s">
        <v>1</v>
      </c>
      <c r="G270" s="36"/>
      <c r="H270" s="36"/>
      <c r="I270" s="36"/>
      <c r="J270" s="36"/>
      <c r="K270" s="36"/>
      <c r="L270" s="36"/>
      <c r="M270" s="36"/>
      <c r="N270" s="36"/>
      <c r="O270" s="6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 spans="1:28" ht="18" customHeight="1">
      <c r="A271" s="1">
        <f t="shared" si="12"/>
        <v>25</v>
      </c>
      <c r="B271" s="1">
        <v>262710203</v>
      </c>
      <c r="C271" s="129" t="s">
        <v>973</v>
      </c>
      <c r="D271" s="51"/>
      <c r="E271" s="52"/>
      <c r="F271" s="53" t="s">
        <v>1</v>
      </c>
      <c r="G271" s="36"/>
      <c r="H271" s="36"/>
      <c r="I271" s="36"/>
      <c r="J271" s="36"/>
      <c r="K271" s="36"/>
      <c r="L271" s="36"/>
      <c r="M271" s="36"/>
      <c r="N271" s="36"/>
      <c r="O271" s="6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 spans="1:28" ht="18" customHeight="1">
      <c r="A272" s="1">
        <f t="shared" si="12"/>
        <v>26</v>
      </c>
      <c r="B272" s="1">
        <v>262710204</v>
      </c>
      <c r="C272" s="129" t="s">
        <v>975</v>
      </c>
      <c r="D272" s="51"/>
      <c r="E272" s="52"/>
      <c r="F272" s="53" t="s">
        <v>1</v>
      </c>
      <c r="G272" s="36"/>
      <c r="H272" s="36"/>
      <c r="I272" s="36"/>
      <c r="J272" s="36"/>
      <c r="K272" s="36"/>
      <c r="L272" s="36"/>
      <c r="M272" s="36"/>
      <c r="N272" s="36"/>
      <c r="O272" s="6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 spans="1:28" ht="18" customHeight="1">
      <c r="A273" s="1">
        <f t="shared" si="12"/>
        <v>27</v>
      </c>
      <c r="B273" s="1">
        <v>262710205</v>
      </c>
      <c r="C273" s="129" t="s">
        <v>978</v>
      </c>
      <c r="D273" s="51"/>
      <c r="E273" s="52"/>
      <c r="F273" s="53" t="s">
        <v>1</v>
      </c>
      <c r="G273" s="36"/>
      <c r="H273" s="36"/>
      <c r="I273" s="36"/>
      <c r="J273" s="36"/>
      <c r="K273" s="36"/>
      <c r="L273" s="36"/>
      <c r="M273" s="36"/>
      <c r="N273" s="36"/>
      <c r="O273" s="6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 spans="1:28" ht="18" customHeight="1">
      <c r="A274" s="1">
        <f t="shared" si="12"/>
        <v>28</v>
      </c>
      <c r="B274" s="1">
        <v>262710206</v>
      </c>
      <c r="C274" s="129" t="s">
        <v>981</v>
      </c>
      <c r="D274" s="51"/>
      <c r="E274" s="52"/>
      <c r="F274" s="53" t="s">
        <v>1</v>
      </c>
      <c r="G274" s="36"/>
      <c r="H274" s="36"/>
      <c r="I274" s="36"/>
      <c r="J274" s="36"/>
      <c r="K274" s="36"/>
      <c r="L274" s="36"/>
      <c r="M274" s="36"/>
      <c r="N274" s="36"/>
      <c r="O274" s="6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 spans="1:28" ht="18" customHeight="1">
      <c r="A275" s="1">
        <f t="shared" si="12"/>
        <v>29</v>
      </c>
      <c r="B275" s="1">
        <v>262710207</v>
      </c>
      <c r="C275" s="129" t="s">
        <v>985</v>
      </c>
      <c r="D275" s="51"/>
      <c r="E275" s="52"/>
      <c r="F275" s="53" t="s">
        <v>1</v>
      </c>
      <c r="G275" s="36"/>
      <c r="H275" s="36"/>
      <c r="I275" s="36"/>
      <c r="J275" s="36"/>
      <c r="K275" s="36"/>
      <c r="L275" s="36"/>
      <c r="M275" s="36"/>
      <c r="N275" s="36"/>
      <c r="O275" s="6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 spans="1:28" ht="18" customHeight="1">
      <c r="A276" s="1">
        <f t="shared" si="12"/>
        <v>30</v>
      </c>
      <c r="B276" s="1">
        <v>262710208</v>
      </c>
      <c r="C276" s="129" t="s">
        <v>988</v>
      </c>
      <c r="D276" s="51"/>
      <c r="E276" s="52"/>
      <c r="F276" s="53" t="s">
        <v>1</v>
      </c>
      <c r="G276" s="36"/>
      <c r="H276" s="36"/>
      <c r="I276" s="36"/>
      <c r="J276" s="36"/>
      <c r="K276" s="36"/>
      <c r="L276" s="36"/>
      <c r="M276" s="36"/>
      <c r="N276" s="36"/>
      <c r="O276" s="6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 spans="1:28" ht="18" customHeight="1">
      <c r="A277" s="123">
        <f t="shared" si="12"/>
        <v>31</v>
      </c>
      <c r="B277" s="1">
        <v>262710209</v>
      </c>
      <c r="C277" s="129" t="s">
        <v>991</v>
      </c>
      <c r="D277" s="51"/>
      <c r="E277" s="52"/>
      <c r="F277" s="53" t="s">
        <v>1</v>
      </c>
      <c r="G277" s="78"/>
      <c r="H277" s="78"/>
      <c r="I277" s="78"/>
      <c r="J277" s="78"/>
      <c r="K277" s="78"/>
      <c r="L277" s="78"/>
      <c r="M277" s="78"/>
      <c r="N277" s="78"/>
      <c r="O277" s="21"/>
      <c r="P277" s="123" t="s">
        <v>982</v>
      </c>
      <c r="Q277" s="91"/>
      <c r="R277" s="91"/>
      <c r="S277" s="91"/>
      <c r="T277" s="91"/>
      <c r="U277" s="91"/>
      <c r="V277" s="91"/>
      <c r="W277" s="91"/>
      <c r="X277" s="91"/>
      <c r="Y277" s="91"/>
      <c r="Z277" s="91"/>
      <c r="AA277" s="91"/>
      <c r="AB277" s="91"/>
    </row>
    <row r="278" spans="1:28" ht="18" customHeight="1">
      <c r="A278" s="1">
        <f t="shared" si="12"/>
        <v>32</v>
      </c>
      <c r="B278" s="1">
        <v>262710210</v>
      </c>
      <c r="C278" s="129" t="s">
        <v>994</v>
      </c>
      <c r="D278" s="51"/>
      <c r="E278" s="52"/>
      <c r="F278" s="53" t="s">
        <v>1</v>
      </c>
      <c r="G278" s="36"/>
      <c r="H278" s="36"/>
      <c r="I278" s="36"/>
      <c r="J278" s="36"/>
      <c r="K278" s="36"/>
      <c r="L278" s="36"/>
      <c r="M278" s="36"/>
      <c r="N278" s="36"/>
      <c r="O278" s="6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 spans="1:28" ht="18" customHeight="1">
      <c r="A279" s="1">
        <f t="shared" si="12"/>
        <v>33</v>
      </c>
      <c r="B279" s="1">
        <v>262710211</v>
      </c>
      <c r="C279" s="129" t="s">
        <v>997</v>
      </c>
      <c r="D279" s="51"/>
      <c r="E279" s="52"/>
      <c r="F279" s="53" t="s">
        <v>3</v>
      </c>
      <c r="G279" s="36"/>
      <c r="H279" s="36"/>
      <c r="I279" s="36"/>
      <c r="J279" s="36"/>
      <c r="K279" s="36"/>
      <c r="L279" s="36"/>
      <c r="M279" s="36"/>
      <c r="N279" s="36"/>
      <c r="O279" s="6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 spans="1:28" ht="18" customHeight="1">
      <c r="A280" s="1">
        <f t="shared" si="12"/>
        <v>34</v>
      </c>
      <c r="B280" s="1">
        <v>262710212</v>
      </c>
      <c r="C280" s="129" t="s">
        <v>1000</v>
      </c>
      <c r="D280" s="51"/>
      <c r="E280" s="52"/>
      <c r="F280" s="53" t="s">
        <v>3</v>
      </c>
      <c r="G280" s="36"/>
      <c r="H280" s="36"/>
      <c r="I280" s="36"/>
      <c r="J280" s="36"/>
      <c r="K280" s="36"/>
      <c r="L280" s="36"/>
      <c r="M280" s="36"/>
      <c r="N280" s="36"/>
      <c r="O280" s="6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 spans="1:28" ht="18" customHeight="1">
      <c r="A281" s="1">
        <f t="shared" si="12"/>
        <v>35</v>
      </c>
      <c r="B281" s="1">
        <v>262710213</v>
      </c>
      <c r="C281" s="129" t="s">
        <v>1003</v>
      </c>
      <c r="D281" s="51"/>
      <c r="E281" s="52"/>
      <c r="F281" s="53" t="s">
        <v>3</v>
      </c>
      <c r="G281" s="36"/>
      <c r="H281" s="36"/>
      <c r="I281" s="36"/>
      <c r="J281" s="36"/>
      <c r="K281" s="36"/>
      <c r="L281" s="36"/>
      <c r="M281" s="36"/>
      <c r="N281" s="36"/>
      <c r="O281" s="6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 spans="1:28" ht="18" customHeight="1">
      <c r="A282" s="83">
        <f t="shared" si="12"/>
        <v>36</v>
      </c>
      <c r="B282" s="1">
        <v>262710214</v>
      </c>
      <c r="C282" s="129" t="s">
        <v>1006</v>
      </c>
      <c r="D282" s="51"/>
      <c r="E282" s="52"/>
      <c r="F282" s="53" t="s">
        <v>1</v>
      </c>
      <c r="G282" s="85"/>
      <c r="H282" s="85"/>
      <c r="I282" s="85"/>
      <c r="J282" s="85"/>
      <c r="K282" s="85"/>
      <c r="L282" s="85"/>
      <c r="M282" s="85"/>
      <c r="N282" s="85"/>
      <c r="O282" s="6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 spans="1:28" ht="18" customHeight="1">
      <c r="A283" s="1">
        <f t="shared" si="12"/>
        <v>37</v>
      </c>
      <c r="B283" s="1">
        <v>262710215</v>
      </c>
      <c r="C283" s="129" t="s">
        <v>1009</v>
      </c>
      <c r="D283" s="51"/>
      <c r="E283" s="52"/>
      <c r="F283" s="53" t="s">
        <v>3</v>
      </c>
      <c r="G283" s="36"/>
      <c r="H283" s="36"/>
      <c r="I283" s="36"/>
      <c r="J283" s="36"/>
      <c r="K283" s="36"/>
      <c r="L283" s="36"/>
      <c r="M283" s="36"/>
      <c r="N283" s="36"/>
      <c r="O283" s="6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 spans="1:28" ht="18" customHeight="1">
      <c r="A284" s="1">
        <f t="shared" si="12"/>
        <v>38</v>
      </c>
      <c r="B284" s="1">
        <v>262710216</v>
      </c>
      <c r="C284" s="129" t="s">
        <v>1012</v>
      </c>
      <c r="D284" s="51"/>
      <c r="E284" s="52"/>
      <c r="F284" s="53" t="s">
        <v>3</v>
      </c>
      <c r="G284" s="36"/>
      <c r="H284" s="36"/>
      <c r="I284" s="36"/>
      <c r="J284" s="36"/>
      <c r="K284" s="36"/>
      <c r="L284" s="36"/>
      <c r="M284" s="36"/>
      <c r="N284" s="36"/>
      <c r="O284" s="6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 spans="1:28" ht="18" customHeight="1">
      <c r="A285" s="1">
        <f t="shared" si="12"/>
        <v>39</v>
      </c>
      <c r="B285" s="1">
        <v>262710217</v>
      </c>
      <c r="C285" s="129" t="s">
        <v>1015</v>
      </c>
      <c r="D285" s="51"/>
      <c r="E285" s="52"/>
      <c r="F285" s="53" t="s">
        <v>1</v>
      </c>
      <c r="G285" s="36"/>
      <c r="H285" s="36"/>
      <c r="I285" s="36"/>
      <c r="J285" s="36"/>
      <c r="K285" s="36"/>
      <c r="L285" s="36"/>
      <c r="M285" s="36"/>
      <c r="N285" s="36"/>
      <c r="O285" s="6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 spans="1:28" ht="18" customHeight="1">
      <c r="A286" s="83">
        <f t="shared" si="12"/>
        <v>40</v>
      </c>
      <c r="B286" s="1">
        <v>262710218</v>
      </c>
      <c r="C286" s="129" t="s">
        <v>1019</v>
      </c>
      <c r="D286" s="51"/>
      <c r="E286" s="52"/>
      <c r="F286" s="53" t="s">
        <v>3</v>
      </c>
      <c r="G286" s="36"/>
      <c r="H286" s="36"/>
      <c r="I286" s="36"/>
      <c r="J286" s="36"/>
      <c r="K286" s="36"/>
      <c r="L286" s="36"/>
      <c r="M286" s="36"/>
      <c r="N286" s="36"/>
      <c r="O286" s="6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 spans="1:28" ht="18" customHeight="1">
      <c r="A287" s="1">
        <f t="shared" si="12"/>
        <v>41</v>
      </c>
      <c r="B287" s="1">
        <v>262710219</v>
      </c>
      <c r="C287" s="129" t="s">
        <v>1023</v>
      </c>
      <c r="D287" s="51"/>
      <c r="E287" s="52"/>
      <c r="F287" s="53" t="s">
        <v>1</v>
      </c>
      <c r="G287" s="36"/>
      <c r="H287" s="36"/>
      <c r="I287" s="36"/>
      <c r="J287" s="36"/>
      <c r="K287" s="36"/>
      <c r="L287" s="36"/>
      <c r="M287" s="36"/>
      <c r="N287" s="36"/>
      <c r="O287" s="6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 spans="1:28" ht="18" customHeight="1">
      <c r="A288" s="1">
        <f t="shared" si="12"/>
        <v>42</v>
      </c>
      <c r="B288" s="1">
        <v>262710220</v>
      </c>
      <c r="C288" s="129" t="s">
        <v>1025</v>
      </c>
      <c r="D288" s="51"/>
      <c r="E288" s="52"/>
      <c r="F288" s="53" t="s">
        <v>1</v>
      </c>
      <c r="G288" s="36"/>
      <c r="H288" s="36"/>
      <c r="I288" s="36"/>
      <c r="J288" s="36"/>
      <c r="K288" s="36"/>
      <c r="L288" s="36"/>
      <c r="M288" s="36"/>
      <c r="N288" s="36"/>
      <c r="O288" s="6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 spans="1:28" ht="18" customHeight="1">
      <c r="A289" s="1">
        <f t="shared" si="12"/>
        <v>43</v>
      </c>
      <c r="B289" s="1">
        <v>262710221</v>
      </c>
      <c r="C289" s="129" t="s">
        <v>1027</v>
      </c>
      <c r="D289" s="51"/>
      <c r="E289" s="52"/>
      <c r="F289" s="53" t="s">
        <v>1</v>
      </c>
      <c r="G289" s="36"/>
      <c r="H289" s="36"/>
      <c r="I289" s="36"/>
      <c r="J289" s="36"/>
      <c r="K289" s="36"/>
      <c r="L289" s="36"/>
      <c r="M289" s="36"/>
      <c r="N289" s="36"/>
      <c r="O289" s="6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 spans="1:28" ht="18" customHeight="1">
      <c r="A290" s="83">
        <f t="shared" si="12"/>
        <v>44</v>
      </c>
      <c r="B290" s="1">
        <v>262710222</v>
      </c>
      <c r="C290" s="129" t="s">
        <v>1029</v>
      </c>
      <c r="D290" s="51"/>
      <c r="E290" s="52"/>
      <c r="F290" s="53" t="s">
        <v>3</v>
      </c>
      <c r="G290" s="36"/>
      <c r="H290" s="36"/>
      <c r="I290" s="36"/>
      <c r="J290" s="36"/>
      <c r="K290" s="36"/>
      <c r="L290" s="36"/>
      <c r="M290" s="36"/>
      <c r="N290" s="36"/>
      <c r="O290" s="6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 spans="1:28" ht="18" customHeight="1">
      <c r="A291" s="1">
        <f t="shared" si="12"/>
        <v>45</v>
      </c>
      <c r="B291" s="1">
        <v>262710223</v>
      </c>
      <c r="C291" s="129" t="s">
        <v>1031</v>
      </c>
      <c r="D291" s="51"/>
      <c r="E291" s="52"/>
      <c r="F291" s="53" t="s">
        <v>1</v>
      </c>
      <c r="G291" s="36"/>
      <c r="H291" s="36"/>
      <c r="I291" s="36"/>
      <c r="J291" s="36"/>
      <c r="K291" s="36"/>
      <c r="L291" s="36"/>
      <c r="M291" s="36"/>
      <c r="N291" s="36"/>
      <c r="O291" s="6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 spans="1:28" ht="18" customHeight="1">
      <c r="A292" s="83">
        <f t="shared" si="12"/>
        <v>46</v>
      </c>
      <c r="B292" s="1">
        <v>262710224</v>
      </c>
      <c r="C292" s="129" t="s">
        <v>1034</v>
      </c>
      <c r="D292" s="71"/>
      <c r="E292" s="103"/>
      <c r="F292" s="53" t="s">
        <v>1</v>
      </c>
      <c r="G292" s="85"/>
      <c r="H292" s="85"/>
      <c r="I292" s="85"/>
      <c r="J292" s="85"/>
      <c r="K292" s="85"/>
      <c r="L292" s="85"/>
      <c r="M292" s="85"/>
      <c r="N292" s="85"/>
      <c r="O292" s="6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 spans="1:28" ht="18" customHeight="1">
      <c r="A293" s="1">
        <f t="shared" si="12"/>
        <v>47</v>
      </c>
      <c r="B293" s="1">
        <v>262710225</v>
      </c>
      <c r="C293" s="129" t="s">
        <v>1037</v>
      </c>
      <c r="D293" s="51"/>
      <c r="E293" s="51"/>
      <c r="F293" s="53" t="s">
        <v>1</v>
      </c>
      <c r="G293" s="36"/>
      <c r="H293" s="36"/>
      <c r="I293" s="36"/>
      <c r="J293" s="36"/>
      <c r="K293" s="36"/>
      <c r="L293" s="36"/>
      <c r="M293" s="36"/>
      <c r="N293" s="36"/>
      <c r="O293" s="6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 spans="1:28" ht="15.8" customHeight="1">
      <c r="A294" s="1">
        <f t="shared" si="12"/>
        <v>48</v>
      </c>
      <c r="B294" s="1">
        <v>262710226</v>
      </c>
      <c r="C294" s="129" t="s">
        <v>1039</v>
      </c>
      <c r="D294" s="130"/>
      <c r="E294" s="130"/>
      <c r="F294" s="53" t="s">
        <v>3</v>
      </c>
      <c r="G294" s="107"/>
      <c r="H294" s="36"/>
      <c r="I294" s="36"/>
      <c r="J294" s="36"/>
      <c r="K294" s="36"/>
      <c r="L294" s="36"/>
      <c r="M294" s="36"/>
      <c r="N294" s="36"/>
      <c r="O294" s="6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 spans="1:28" ht="15.8" customHeight="1">
      <c r="A295" s="105"/>
      <c r="B295" s="79"/>
      <c r="C295" s="20" t="s">
        <v>266</v>
      </c>
      <c r="D295" s="20"/>
      <c r="E295" s="20"/>
      <c r="F295" s="80" t="s">
        <v>1</v>
      </c>
      <c r="G295" s="80">
        <f>COUNTIF(F247:F294,"L")</f>
        <v>24</v>
      </c>
      <c r="H295" s="20"/>
      <c r="I295" s="20"/>
      <c r="J295" s="20"/>
      <c r="K295" s="20"/>
      <c r="L295" s="20"/>
      <c r="M295" s="20"/>
      <c r="N295" s="20"/>
      <c r="O295" s="6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 spans="1:28" ht="15.8" customHeight="1">
      <c r="A296" s="79"/>
      <c r="B296" s="79"/>
      <c r="C296" s="20" t="s">
        <v>266</v>
      </c>
      <c r="D296" s="20"/>
      <c r="E296" s="20"/>
      <c r="F296" s="30" t="s">
        <v>3</v>
      </c>
      <c r="G296" s="30">
        <f>COUNTIF(F247:F294,"P")</f>
        <v>24</v>
      </c>
      <c r="H296" s="20"/>
      <c r="I296" s="20"/>
      <c r="J296" s="20"/>
      <c r="K296" s="20"/>
      <c r="L296" s="20"/>
      <c r="M296" s="20"/>
      <c r="N296" s="20"/>
      <c r="O296" s="6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 spans="1:28" ht="15.8" customHeight="1">
      <c r="A297" s="20" t="s">
        <v>275</v>
      </c>
      <c r="B297" s="79"/>
      <c r="C297" s="20" t="s">
        <v>266</v>
      </c>
      <c r="D297" s="20"/>
      <c r="E297" s="20"/>
      <c r="F297" s="81" t="s">
        <v>251</v>
      </c>
      <c r="G297" s="81">
        <f>SUM(G295:G296)</f>
        <v>48</v>
      </c>
      <c r="H297" s="6"/>
      <c r="I297" s="82" t="s">
        <v>254</v>
      </c>
      <c r="J297" s="6"/>
      <c r="K297" s="6"/>
      <c r="L297" s="6"/>
      <c r="M297" s="6"/>
      <c r="N297" s="6"/>
      <c r="O297" s="6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 spans="1:28" ht="15.8" customHeight="1">
      <c r="A298" s="20" t="s">
        <v>280</v>
      </c>
      <c r="B298" s="79"/>
      <c r="C298" s="20" t="s">
        <v>266</v>
      </c>
      <c r="D298" s="20"/>
      <c r="E298" s="20" t="s">
        <v>281</v>
      </c>
      <c r="F298" s="94"/>
      <c r="G298" s="6"/>
      <c r="H298" s="6"/>
      <c r="I298" s="6" t="s">
        <v>256</v>
      </c>
      <c r="J298" s="6"/>
      <c r="K298" s="6"/>
      <c r="L298" s="6"/>
      <c r="M298" s="6"/>
      <c r="N298" s="6"/>
      <c r="O298" s="6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 spans="1:28" ht="15.8" customHeight="1">
      <c r="A299" s="20"/>
      <c r="B299" s="6"/>
      <c r="C299" s="20"/>
      <c r="D299" s="20"/>
      <c r="E299" s="20"/>
      <c r="F299" s="79"/>
      <c r="G299" s="20"/>
      <c r="H299" s="20"/>
      <c r="I299" s="6"/>
      <c r="J299" s="6"/>
      <c r="K299" s="6"/>
      <c r="L299" s="6"/>
      <c r="M299" s="6"/>
      <c r="N299" s="6"/>
      <c r="O299" s="6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 spans="1:28" ht="15.8" customHeight="1">
      <c r="A300" s="20"/>
      <c r="B300" s="6"/>
      <c r="C300" s="20"/>
      <c r="D300" s="20"/>
      <c r="E300" s="20"/>
      <c r="F300" s="79"/>
      <c r="G300" s="20"/>
      <c r="H300" s="20"/>
      <c r="I300" s="6"/>
      <c r="J300" s="6"/>
      <c r="K300" s="6"/>
      <c r="L300" s="6"/>
      <c r="M300" s="6"/>
      <c r="N300" s="6"/>
      <c r="O300" s="6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 spans="1:28" ht="15.8" customHeight="1">
      <c r="A301" s="131" t="s">
        <v>1051</v>
      </c>
      <c r="B301" s="6"/>
      <c r="C301" s="6"/>
      <c r="D301" s="6"/>
      <c r="E301" s="86" t="s">
        <v>744</v>
      </c>
      <c r="F301" s="94"/>
      <c r="G301" s="6"/>
      <c r="H301" s="20"/>
      <c r="I301" s="87"/>
      <c r="J301" s="87"/>
      <c r="K301" s="87"/>
      <c r="L301" s="87"/>
      <c r="M301" s="87"/>
      <c r="N301" s="87"/>
      <c r="O301" s="6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 spans="1:28" ht="15.8" customHeight="1">
      <c r="A302" s="41" t="s">
        <v>1053</v>
      </c>
      <c r="B302" s="41"/>
      <c r="C302" s="20"/>
      <c r="D302" s="20"/>
      <c r="E302" s="20" t="s">
        <v>1054</v>
      </c>
      <c r="F302" s="79"/>
      <c r="G302" s="20"/>
      <c r="H302" s="20" t="s">
        <v>266</v>
      </c>
      <c r="I302" s="6"/>
      <c r="J302" s="6"/>
      <c r="K302" s="6"/>
      <c r="L302" s="6"/>
      <c r="M302" s="6"/>
      <c r="N302" s="6"/>
      <c r="O302" s="6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 spans="1:28" ht="15.8" customHeight="1">
      <c r="A303" s="43"/>
      <c r="B303" s="44"/>
      <c r="C303" s="44"/>
      <c r="D303" s="44"/>
      <c r="E303" s="44"/>
      <c r="F303" s="45"/>
      <c r="G303" s="46"/>
      <c r="H303" s="46"/>
      <c r="I303" s="44"/>
      <c r="J303" s="44"/>
      <c r="K303" s="44"/>
      <c r="L303" s="44"/>
      <c r="M303" s="44"/>
      <c r="N303" s="44"/>
      <c r="O303" s="6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 spans="1:28" ht="19.55" customHeight="1">
      <c r="A304" s="16" t="s">
        <v>79</v>
      </c>
      <c r="B304" s="16"/>
      <c r="C304" s="4" t="s">
        <v>1058</v>
      </c>
      <c r="D304" s="16"/>
      <c r="E304" s="22"/>
      <c r="F304" s="23"/>
      <c r="G304" s="17"/>
      <c r="H304" s="19" t="s">
        <v>82</v>
      </c>
      <c r="I304" s="17"/>
      <c r="J304" s="17"/>
      <c r="K304" s="17"/>
      <c r="L304" s="17"/>
      <c r="M304" s="20"/>
      <c r="N304" s="20"/>
      <c r="O304" s="6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 spans="1:28" ht="9" customHeight="1">
      <c r="A305" s="20"/>
      <c r="B305" s="24"/>
      <c r="C305" s="24"/>
      <c r="D305" s="24"/>
      <c r="E305" s="25"/>
      <c r="F305" s="14"/>
      <c r="G305" s="20"/>
      <c r="H305" s="26"/>
      <c r="I305" s="27"/>
      <c r="J305" s="27"/>
      <c r="K305" s="27"/>
      <c r="L305" s="27"/>
      <c r="M305" s="27"/>
      <c r="N305" s="27"/>
      <c r="O305" s="6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 spans="1:28" ht="15.8" customHeight="1">
      <c r="A306" s="176" t="s">
        <v>84</v>
      </c>
      <c r="B306" s="177"/>
      <c r="C306" s="178" t="s">
        <v>85</v>
      </c>
      <c r="D306" s="179"/>
      <c r="E306" s="180"/>
      <c r="F306" s="184" t="s">
        <v>86</v>
      </c>
      <c r="G306" s="176" t="s">
        <v>87</v>
      </c>
      <c r="H306" s="186"/>
      <c r="I306" s="186"/>
      <c r="J306" s="186"/>
      <c r="K306" s="186"/>
      <c r="L306" s="186"/>
      <c r="M306" s="177"/>
      <c r="N306" s="184" t="s">
        <v>88</v>
      </c>
      <c r="O306" s="6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 spans="1:28" ht="15.8" customHeight="1">
      <c r="A307" s="28" t="s">
        <v>90</v>
      </c>
      <c r="B307" s="28" t="s">
        <v>91</v>
      </c>
      <c r="C307" s="181"/>
      <c r="D307" s="182"/>
      <c r="E307" s="183"/>
      <c r="F307" s="185"/>
      <c r="G307" s="28"/>
      <c r="H307" s="28"/>
      <c r="I307" s="28"/>
      <c r="J307" s="28"/>
      <c r="K307" s="28"/>
      <c r="L307" s="28"/>
      <c r="M307" s="28"/>
      <c r="N307" s="185"/>
      <c r="O307" s="6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 spans="1:28" ht="18" customHeight="1">
      <c r="A308" s="1">
        <v>1</v>
      </c>
      <c r="B308" s="1">
        <v>262710227</v>
      </c>
      <c r="C308" s="132" t="s">
        <v>1063</v>
      </c>
      <c r="D308" s="51"/>
      <c r="E308" s="52"/>
      <c r="F308" s="53" t="s">
        <v>1</v>
      </c>
      <c r="G308" s="54"/>
      <c r="H308" s="36"/>
      <c r="I308" s="36"/>
      <c r="J308" s="36"/>
      <c r="K308" s="36"/>
      <c r="L308" s="36"/>
      <c r="M308" s="36"/>
      <c r="N308" s="36"/>
      <c r="O308" s="6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 spans="1:28" ht="18" customHeight="1">
      <c r="A309" s="1">
        <f t="shared" ref="A309:A355" si="13">A308+1</f>
        <v>2</v>
      </c>
      <c r="B309" s="1">
        <v>262710228</v>
      </c>
      <c r="C309" s="132" t="s">
        <v>1066</v>
      </c>
      <c r="D309" s="51"/>
      <c r="E309" s="52"/>
      <c r="F309" s="53" t="s">
        <v>1</v>
      </c>
      <c r="G309" s="54"/>
      <c r="H309" s="36"/>
      <c r="I309" s="36"/>
      <c r="J309" s="36"/>
      <c r="K309" s="36"/>
      <c r="L309" s="36"/>
      <c r="M309" s="36"/>
      <c r="N309" s="36"/>
      <c r="O309" s="6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 spans="1:28" ht="18" customHeight="1">
      <c r="A310" s="1">
        <f t="shared" si="13"/>
        <v>3</v>
      </c>
      <c r="B310" s="1">
        <v>262710229</v>
      </c>
      <c r="C310" s="132" t="s">
        <v>1070</v>
      </c>
      <c r="D310" s="51"/>
      <c r="E310" s="52"/>
      <c r="F310" s="53" t="s">
        <v>1</v>
      </c>
      <c r="G310" s="54"/>
      <c r="H310" s="36"/>
      <c r="I310" s="36"/>
      <c r="J310" s="36"/>
      <c r="K310" s="36"/>
      <c r="L310" s="36"/>
      <c r="M310" s="36"/>
      <c r="N310" s="36"/>
      <c r="O310" s="6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 spans="1:28" ht="18" customHeight="1">
      <c r="A311" s="1">
        <f t="shared" si="13"/>
        <v>4</v>
      </c>
      <c r="B311" s="1">
        <v>262710230</v>
      </c>
      <c r="C311" s="132" t="s">
        <v>1072</v>
      </c>
      <c r="D311" s="51"/>
      <c r="E311" s="52"/>
      <c r="F311" s="53" t="s">
        <v>1</v>
      </c>
      <c r="G311" s="54"/>
      <c r="H311" s="36"/>
      <c r="I311" s="36"/>
      <c r="J311" s="36"/>
      <c r="K311" s="36"/>
      <c r="L311" s="36"/>
      <c r="M311" s="36"/>
      <c r="N311" s="36"/>
      <c r="O311" s="6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 spans="1:28" ht="18" customHeight="1">
      <c r="A312" s="1">
        <f t="shared" si="13"/>
        <v>5</v>
      </c>
      <c r="B312" s="1">
        <v>262710231</v>
      </c>
      <c r="C312" s="132" t="s">
        <v>1076</v>
      </c>
      <c r="D312" s="51"/>
      <c r="E312" s="52"/>
      <c r="F312" s="53" t="s">
        <v>1</v>
      </c>
      <c r="G312" s="54"/>
      <c r="H312" s="36"/>
      <c r="I312" s="36"/>
      <c r="J312" s="36"/>
      <c r="K312" s="36"/>
      <c r="L312" s="36"/>
      <c r="M312" s="36"/>
      <c r="N312" s="36"/>
      <c r="O312" s="6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 spans="1:28" ht="18" customHeight="1">
      <c r="A313" s="1">
        <f t="shared" si="13"/>
        <v>6</v>
      </c>
      <c r="B313" s="1">
        <v>262710232</v>
      </c>
      <c r="C313" s="132" t="s">
        <v>1078</v>
      </c>
      <c r="D313" s="51"/>
      <c r="E313" s="52"/>
      <c r="F313" s="53" t="s">
        <v>3</v>
      </c>
      <c r="G313" s="54"/>
      <c r="H313" s="36"/>
      <c r="I313" s="36"/>
      <c r="J313" s="36"/>
      <c r="K313" s="36"/>
      <c r="L313" s="36"/>
      <c r="M313" s="36"/>
      <c r="N313" s="36"/>
      <c r="O313" s="6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 spans="1:28" ht="18" customHeight="1">
      <c r="A314" s="1">
        <f t="shared" si="13"/>
        <v>7</v>
      </c>
      <c r="B314" s="1">
        <v>262710233</v>
      </c>
      <c r="C314" s="132" t="s">
        <v>1080</v>
      </c>
      <c r="D314" s="51"/>
      <c r="E314" s="52"/>
      <c r="F314" s="53" t="s">
        <v>3</v>
      </c>
      <c r="G314" s="54"/>
      <c r="H314" s="36"/>
      <c r="I314" s="36"/>
      <c r="J314" s="36"/>
      <c r="K314" s="36"/>
      <c r="L314" s="36"/>
      <c r="M314" s="36"/>
      <c r="N314" s="36"/>
      <c r="O314" s="6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 spans="1:28" ht="18" customHeight="1">
      <c r="A315" s="1">
        <f t="shared" si="13"/>
        <v>8</v>
      </c>
      <c r="B315" s="1">
        <v>262710234</v>
      </c>
      <c r="C315" s="132" t="s">
        <v>1082</v>
      </c>
      <c r="D315" s="51"/>
      <c r="E315" s="52"/>
      <c r="F315" s="53" t="s">
        <v>3</v>
      </c>
      <c r="G315" s="54"/>
      <c r="H315" s="36"/>
      <c r="I315" s="36"/>
      <c r="J315" s="36"/>
      <c r="K315" s="36"/>
      <c r="L315" s="36"/>
      <c r="M315" s="36"/>
      <c r="N315" s="36"/>
      <c r="O315" s="6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 spans="1:28" ht="18" customHeight="1">
      <c r="A316" s="123">
        <f t="shared" si="13"/>
        <v>9</v>
      </c>
      <c r="B316" s="1">
        <v>262710235</v>
      </c>
      <c r="C316" s="132" t="s">
        <v>1085</v>
      </c>
      <c r="D316" s="51"/>
      <c r="E316" s="52"/>
      <c r="F316" s="53" t="s">
        <v>1</v>
      </c>
      <c r="G316" s="133"/>
      <c r="H316" s="78"/>
      <c r="I316" s="78"/>
      <c r="J316" s="78"/>
      <c r="K316" s="78"/>
      <c r="L316" s="78"/>
      <c r="M316" s="78"/>
      <c r="N316" s="78"/>
      <c r="O316" s="21"/>
      <c r="P316" s="91" t="s">
        <v>982</v>
      </c>
      <c r="Q316" s="91"/>
      <c r="R316" s="91"/>
      <c r="S316" s="91"/>
      <c r="T316" s="91"/>
      <c r="U316" s="91"/>
      <c r="V316" s="91"/>
      <c r="W316" s="91"/>
      <c r="X316" s="91"/>
      <c r="Y316" s="91"/>
      <c r="Z316" s="91"/>
      <c r="AA316" s="91"/>
      <c r="AB316" s="91"/>
    </row>
    <row r="317" spans="1:28" ht="18" customHeight="1">
      <c r="A317" s="1">
        <f t="shared" si="13"/>
        <v>10</v>
      </c>
      <c r="B317" s="1">
        <v>262710236</v>
      </c>
      <c r="C317" s="132" t="s">
        <v>1089</v>
      </c>
      <c r="D317" s="51"/>
      <c r="E317" s="52"/>
      <c r="F317" s="53" t="s">
        <v>3</v>
      </c>
      <c r="G317" s="54"/>
      <c r="H317" s="36"/>
      <c r="I317" s="36"/>
      <c r="J317" s="36"/>
      <c r="K317" s="36"/>
      <c r="L317" s="36"/>
      <c r="M317" s="36"/>
      <c r="N317" s="36"/>
      <c r="O317" s="6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 spans="1:28" ht="18" customHeight="1">
      <c r="A318" s="1">
        <f t="shared" si="13"/>
        <v>11</v>
      </c>
      <c r="B318" s="1">
        <v>262710237</v>
      </c>
      <c r="C318" s="132" t="s">
        <v>1092</v>
      </c>
      <c r="D318" s="51"/>
      <c r="E318" s="52"/>
      <c r="F318" s="53" t="s">
        <v>3</v>
      </c>
      <c r="G318" s="54"/>
      <c r="H318" s="36"/>
      <c r="I318" s="36"/>
      <c r="J318" s="36"/>
      <c r="K318" s="36"/>
      <c r="L318" s="36"/>
      <c r="M318" s="36"/>
      <c r="N318" s="36"/>
      <c r="O318" s="6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 spans="1:28" ht="18" customHeight="1">
      <c r="A319" s="1">
        <f t="shared" si="13"/>
        <v>12</v>
      </c>
      <c r="B319" s="1">
        <v>262710238</v>
      </c>
      <c r="C319" s="132" t="s">
        <v>1095</v>
      </c>
      <c r="D319" s="51"/>
      <c r="E319" s="52"/>
      <c r="F319" s="53" t="s">
        <v>3</v>
      </c>
      <c r="G319" s="54"/>
      <c r="H319" s="36"/>
      <c r="I319" s="36"/>
      <c r="J319" s="36"/>
      <c r="K319" s="36"/>
      <c r="L319" s="36"/>
      <c r="M319" s="36"/>
      <c r="N319" s="36"/>
      <c r="O319" s="6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 spans="1:28" ht="18" customHeight="1">
      <c r="A320" s="1">
        <f t="shared" si="13"/>
        <v>13</v>
      </c>
      <c r="B320" s="1">
        <v>262710239</v>
      </c>
      <c r="C320" s="132" t="s">
        <v>1098</v>
      </c>
      <c r="D320" s="51"/>
      <c r="E320" s="52"/>
      <c r="F320" s="53" t="s">
        <v>3</v>
      </c>
      <c r="G320" s="54"/>
      <c r="H320" s="36"/>
      <c r="I320" s="36"/>
      <c r="J320" s="36"/>
      <c r="K320" s="36"/>
      <c r="L320" s="36"/>
      <c r="M320" s="36"/>
      <c r="N320" s="36"/>
      <c r="O320" s="6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 spans="1:28" ht="18" customHeight="1">
      <c r="A321" s="1">
        <f t="shared" si="13"/>
        <v>14</v>
      </c>
      <c r="B321" s="1">
        <v>262710240</v>
      </c>
      <c r="C321" s="132" t="s">
        <v>1101</v>
      </c>
      <c r="D321" s="51"/>
      <c r="E321" s="52"/>
      <c r="F321" s="53" t="s">
        <v>1</v>
      </c>
      <c r="G321" s="54"/>
      <c r="H321" s="36"/>
      <c r="I321" s="36"/>
      <c r="J321" s="36"/>
      <c r="K321" s="36"/>
      <c r="L321" s="36"/>
      <c r="M321" s="36"/>
      <c r="N321" s="36"/>
      <c r="O321" s="6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 spans="1:28" ht="18" customHeight="1">
      <c r="A322" s="1">
        <f t="shared" si="13"/>
        <v>15</v>
      </c>
      <c r="B322" s="1">
        <v>262710241</v>
      </c>
      <c r="C322" s="132" t="s">
        <v>1104</v>
      </c>
      <c r="D322" s="51"/>
      <c r="E322" s="52"/>
      <c r="F322" s="53" t="s">
        <v>3</v>
      </c>
      <c r="G322" s="54"/>
      <c r="H322" s="36"/>
      <c r="I322" s="36"/>
      <c r="J322" s="36"/>
      <c r="K322" s="36"/>
      <c r="L322" s="36"/>
      <c r="M322" s="36"/>
      <c r="N322" s="36"/>
      <c r="O322" s="6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 spans="1:28" ht="18" customHeight="1">
      <c r="A323" s="1">
        <f t="shared" si="13"/>
        <v>16</v>
      </c>
      <c r="B323" s="1">
        <v>262710242</v>
      </c>
      <c r="C323" s="132" t="s">
        <v>1107</v>
      </c>
      <c r="D323" s="51"/>
      <c r="E323" s="52"/>
      <c r="F323" s="53" t="s">
        <v>1</v>
      </c>
      <c r="G323" s="54"/>
      <c r="H323" s="36"/>
      <c r="I323" s="36"/>
      <c r="J323" s="36"/>
      <c r="K323" s="36"/>
      <c r="L323" s="36"/>
      <c r="M323" s="36"/>
      <c r="N323" s="36"/>
      <c r="O323" s="6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 spans="1:28" ht="18" customHeight="1">
      <c r="A324" s="1">
        <f t="shared" si="13"/>
        <v>17</v>
      </c>
      <c r="B324" s="1">
        <v>262710243</v>
      </c>
      <c r="C324" s="132" t="s">
        <v>1110</v>
      </c>
      <c r="D324" s="51"/>
      <c r="E324" s="52"/>
      <c r="F324" s="53" t="s">
        <v>1</v>
      </c>
      <c r="G324" s="54"/>
      <c r="H324" s="36"/>
      <c r="I324" s="36"/>
      <c r="J324" s="36"/>
      <c r="K324" s="36"/>
      <c r="L324" s="36"/>
      <c r="M324" s="36"/>
      <c r="N324" s="36"/>
      <c r="O324" s="6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 spans="1:28" ht="18" customHeight="1">
      <c r="A325" s="1">
        <f t="shared" si="13"/>
        <v>18</v>
      </c>
      <c r="B325" s="1">
        <v>262710244</v>
      </c>
      <c r="C325" s="132" t="s">
        <v>1113</v>
      </c>
      <c r="D325" s="51"/>
      <c r="E325" s="52"/>
      <c r="F325" s="53" t="s">
        <v>3</v>
      </c>
      <c r="G325" s="54"/>
      <c r="H325" s="36"/>
      <c r="I325" s="36"/>
      <c r="J325" s="36"/>
      <c r="K325" s="36"/>
      <c r="L325" s="36"/>
      <c r="M325" s="36"/>
      <c r="N325" s="36"/>
      <c r="O325" s="6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 spans="1:28" ht="18" customHeight="1">
      <c r="A326" s="1">
        <f t="shared" si="13"/>
        <v>19</v>
      </c>
      <c r="B326" s="1">
        <v>262710245</v>
      </c>
      <c r="C326" s="132" t="s">
        <v>1117</v>
      </c>
      <c r="D326" s="51"/>
      <c r="E326" s="52"/>
      <c r="F326" s="53" t="s">
        <v>3</v>
      </c>
      <c r="G326" s="54"/>
      <c r="H326" s="36"/>
      <c r="I326" s="36"/>
      <c r="J326" s="36"/>
      <c r="K326" s="36"/>
      <c r="L326" s="36"/>
      <c r="M326" s="36"/>
      <c r="N326" s="1"/>
      <c r="O326" s="6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 spans="1:28" ht="18" customHeight="1">
      <c r="A327" s="1">
        <f t="shared" si="13"/>
        <v>20</v>
      </c>
      <c r="B327" s="1">
        <v>262710246</v>
      </c>
      <c r="C327" s="132" t="s">
        <v>1120</v>
      </c>
      <c r="D327" s="51"/>
      <c r="E327" s="52"/>
      <c r="F327" s="53" t="s">
        <v>3</v>
      </c>
      <c r="G327" s="54"/>
      <c r="H327" s="36"/>
      <c r="I327" s="36"/>
      <c r="J327" s="36"/>
      <c r="K327" s="36"/>
      <c r="L327" s="36"/>
      <c r="M327" s="36"/>
      <c r="N327" s="36"/>
      <c r="O327" s="6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 spans="1:28" ht="18" customHeight="1">
      <c r="A328" s="1">
        <f t="shared" si="13"/>
        <v>21</v>
      </c>
      <c r="B328" s="1">
        <v>262710247</v>
      </c>
      <c r="C328" s="132" t="s">
        <v>1124</v>
      </c>
      <c r="D328" s="51"/>
      <c r="E328" s="52"/>
      <c r="F328" s="53" t="s">
        <v>3</v>
      </c>
      <c r="G328" s="54"/>
      <c r="H328" s="36"/>
      <c r="I328" s="36"/>
      <c r="J328" s="36"/>
      <c r="K328" s="36"/>
      <c r="L328" s="36"/>
      <c r="M328" s="36"/>
      <c r="N328" s="36"/>
      <c r="O328" s="6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 spans="1:28" ht="18" customHeight="1">
      <c r="A329" s="1">
        <f t="shared" si="13"/>
        <v>22</v>
      </c>
      <c r="B329" s="1">
        <v>262710248</v>
      </c>
      <c r="C329" s="132" t="s">
        <v>1127</v>
      </c>
      <c r="D329" s="51"/>
      <c r="E329" s="52"/>
      <c r="F329" s="53" t="s">
        <v>3</v>
      </c>
      <c r="G329" s="54"/>
      <c r="H329" s="36"/>
      <c r="I329" s="36"/>
      <c r="J329" s="36"/>
      <c r="K329" s="36"/>
      <c r="L329" s="36"/>
      <c r="M329" s="36"/>
      <c r="N329" s="36"/>
      <c r="O329" s="6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 spans="1:28" ht="18" customHeight="1">
      <c r="A330" s="1">
        <f t="shared" si="13"/>
        <v>23</v>
      </c>
      <c r="B330" s="1">
        <v>262710249</v>
      </c>
      <c r="C330" s="132" t="s">
        <v>1130</v>
      </c>
      <c r="D330" s="51"/>
      <c r="E330" s="52"/>
      <c r="F330" s="53" t="s">
        <v>1</v>
      </c>
      <c r="G330" s="54"/>
      <c r="H330" s="36"/>
      <c r="I330" s="36"/>
      <c r="J330" s="36"/>
      <c r="K330" s="36"/>
      <c r="L330" s="36"/>
      <c r="M330" s="36"/>
      <c r="N330" s="36"/>
      <c r="O330" s="6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 spans="1:28" ht="18" customHeight="1">
      <c r="A331" s="1">
        <f t="shared" si="13"/>
        <v>24</v>
      </c>
      <c r="B331" s="1">
        <v>262710250</v>
      </c>
      <c r="C331" s="132" t="s">
        <v>1133</v>
      </c>
      <c r="D331" s="51"/>
      <c r="E331" s="52"/>
      <c r="F331" s="53" t="s">
        <v>3</v>
      </c>
      <c r="G331" s="54"/>
      <c r="H331" s="36"/>
      <c r="I331" s="36"/>
      <c r="J331" s="36"/>
      <c r="K331" s="36"/>
      <c r="L331" s="36"/>
      <c r="M331" s="36"/>
      <c r="N331" s="36"/>
      <c r="O331" s="6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 spans="1:28" ht="18" customHeight="1">
      <c r="A332" s="1">
        <f t="shared" si="13"/>
        <v>25</v>
      </c>
      <c r="B332" s="1">
        <v>262710251</v>
      </c>
      <c r="C332" s="132" t="s">
        <v>1136</v>
      </c>
      <c r="D332" s="51"/>
      <c r="E332" s="52"/>
      <c r="F332" s="53" t="s">
        <v>1</v>
      </c>
      <c r="G332" s="54"/>
      <c r="H332" s="36"/>
      <c r="I332" s="36"/>
      <c r="J332" s="36"/>
      <c r="K332" s="36"/>
      <c r="L332" s="36"/>
      <c r="M332" s="36"/>
      <c r="N332" s="36"/>
      <c r="O332" s="6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 spans="1:28" ht="18" customHeight="1">
      <c r="A333" s="1">
        <f t="shared" si="13"/>
        <v>26</v>
      </c>
      <c r="B333" s="1">
        <v>262710252</v>
      </c>
      <c r="C333" s="132" t="s">
        <v>1138</v>
      </c>
      <c r="D333" s="51"/>
      <c r="E333" s="52"/>
      <c r="F333" s="53" t="s">
        <v>1</v>
      </c>
      <c r="G333" s="54"/>
      <c r="H333" s="36"/>
      <c r="I333" s="36"/>
      <c r="J333" s="36"/>
      <c r="K333" s="36"/>
      <c r="L333" s="36"/>
      <c r="M333" s="36"/>
      <c r="N333" s="36"/>
      <c r="O333" s="6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 spans="1:28" ht="18" customHeight="1">
      <c r="A334" s="1">
        <f t="shared" si="13"/>
        <v>27</v>
      </c>
      <c r="B334" s="1">
        <v>262710253</v>
      </c>
      <c r="C334" s="132" t="s">
        <v>1141</v>
      </c>
      <c r="D334" s="51"/>
      <c r="E334" s="52"/>
      <c r="F334" s="53" t="s">
        <v>1</v>
      </c>
      <c r="G334" s="54"/>
      <c r="H334" s="36"/>
      <c r="I334" s="36"/>
      <c r="J334" s="36"/>
      <c r="K334" s="36"/>
      <c r="L334" s="36"/>
      <c r="M334" s="36"/>
      <c r="N334" s="36"/>
      <c r="O334" s="6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 spans="1:28" ht="18" customHeight="1">
      <c r="A335" s="1">
        <f t="shared" si="13"/>
        <v>28</v>
      </c>
      <c r="B335" s="1">
        <v>262710254</v>
      </c>
      <c r="C335" s="132" t="s">
        <v>1144</v>
      </c>
      <c r="D335" s="51"/>
      <c r="E335" s="52"/>
      <c r="F335" s="53" t="s">
        <v>1</v>
      </c>
      <c r="G335" s="54"/>
      <c r="H335" s="36"/>
      <c r="I335" s="36"/>
      <c r="J335" s="36"/>
      <c r="K335" s="36"/>
      <c r="L335" s="36"/>
      <c r="M335" s="36"/>
      <c r="N335" s="36"/>
      <c r="O335" s="6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 spans="1:28" ht="18" customHeight="1">
      <c r="A336" s="1">
        <f t="shared" si="13"/>
        <v>29</v>
      </c>
      <c r="B336" s="1">
        <v>262710255</v>
      </c>
      <c r="C336" s="132" t="s">
        <v>1148</v>
      </c>
      <c r="D336" s="51"/>
      <c r="E336" s="52"/>
      <c r="F336" s="53" t="s">
        <v>1</v>
      </c>
      <c r="G336" s="54"/>
      <c r="H336" s="36"/>
      <c r="I336" s="36"/>
      <c r="J336" s="36"/>
      <c r="K336" s="36"/>
      <c r="L336" s="36"/>
      <c r="M336" s="36"/>
      <c r="N336" s="36"/>
      <c r="O336" s="6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 spans="1:28" ht="18" customHeight="1">
      <c r="A337" s="1">
        <f t="shared" si="13"/>
        <v>30</v>
      </c>
      <c r="B337" s="1">
        <v>262710256</v>
      </c>
      <c r="C337" s="132" t="s">
        <v>1151</v>
      </c>
      <c r="D337" s="51"/>
      <c r="E337" s="52"/>
      <c r="F337" s="53" t="s">
        <v>1</v>
      </c>
      <c r="G337" s="54"/>
      <c r="H337" s="36"/>
      <c r="I337" s="36"/>
      <c r="J337" s="36"/>
      <c r="K337" s="36"/>
      <c r="L337" s="36"/>
      <c r="M337" s="36"/>
      <c r="N337" s="36"/>
      <c r="O337" s="6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 spans="1:28" ht="18" customHeight="1">
      <c r="A338" s="1">
        <f t="shared" si="13"/>
        <v>31</v>
      </c>
      <c r="B338" s="1">
        <v>262710257</v>
      </c>
      <c r="C338" s="132" t="s">
        <v>1154</v>
      </c>
      <c r="D338" s="51"/>
      <c r="E338" s="52"/>
      <c r="F338" s="53" t="s">
        <v>1</v>
      </c>
      <c r="G338" s="54"/>
      <c r="H338" s="36"/>
      <c r="I338" s="36"/>
      <c r="J338" s="36"/>
      <c r="K338" s="36"/>
      <c r="L338" s="36"/>
      <c r="M338" s="36"/>
      <c r="N338" s="36"/>
      <c r="O338" s="6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 spans="1:28" ht="18" customHeight="1">
      <c r="A339" s="1">
        <f t="shared" si="13"/>
        <v>32</v>
      </c>
      <c r="B339" s="1">
        <v>262710258</v>
      </c>
      <c r="C339" s="132" t="s">
        <v>1157</v>
      </c>
      <c r="D339" s="51"/>
      <c r="E339" s="52"/>
      <c r="F339" s="53" t="s">
        <v>1</v>
      </c>
      <c r="G339" s="54"/>
      <c r="H339" s="36"/>
      <c r="I339" s="36"/>
      <c r="J339" s="36"/>
      <c r="K339" s="36"/>
      <c r="L339" s="36"/>
      <c r="M339" s="36"/>
      <c r="N339" s="36"/>
      <c r="O339" s="6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 spans="1:28" ht="18" customHeight="1">
      <c r="A340" s="1">
        <f t="shared" si="13"/>
        <v>33</v>
      </c>
      <c r="B340" s="1">
        <v>262710259</v>
      </c>
      <c r="C340" s="132" t="s">
        <v>1160</v>
      </c>
      <c r="D340" s="51"/>
      <c r="E340" s="52"/>
      <c r="F340" s="53" t="s">
        <v>1</v>
      </c>
      <c r="G340" s="54"/>
      <c r="H340" s="36"/>
      <c r="I340" s="36"/>
      <c r="J340" s="36"/>
      <c r="K340" s="36"/>
      <c r="L340" s="36"/>
      <c r="M340" s="36"/>
      <c r="N340" s="36"/>
      <c r="O340" s="6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 spans="1:28" ht="18" customHeight="1">
      <c r="A341" s="1">
        <f t="shared" si="13"/>
        <v>34</v>
      </c>
      <c r="B341" s="1">
        <v>262710260</v>
      </c>
      <c r="C341" s="132" t="s">
        <v>1163</v>
      </c>
      <c r="D341" s="51"/>
      <c r="E341" s="52"/>
      <c r="F341" s="53" t="s">
        <v>3</v>
      </c>
      <c r="G341" s="54"/>
      <c r="H341" s="36"/>
      <c r="I341" s="36"/>
      <c r="J341" s="36"/>
      <c r="K341" s="36"/>
      <c r="L341" s="36"/>
      <c r="M341" s="36"/>
      <c r="N341" s="36"/>
      <c r="O341" s="6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 spans="1:28" ht="18" customHeight="1">
      <c r="A342" s="83">
        <f t="shared" si="13"/>
        <v>35</v>
      </c>
      <c r="B342" s="1">
        <v>262710261</v>
      </c>
      <c r="C342" s="132" t="s">
        <v>1166</v>
      </c>
      <c r="D342" s="51"/>
      <c r="E342" s="52"/>
      <c r="F342" s="53" t="s">
        <v>3</v>
      </c>
      <c r="G342" s="135"/>
      <c r="H342" s="85"/>
      <c r="I342" s="85"/>
      <c r="J342" s="85"/>
      <c r="K342" s="85"/>
      <c r="L342" s="85"/>
      <c r="M342" s="85"/>
      <c r="N342" s="85"/>
      <c r="O342" s="6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 spans="1:28" ht="18" customHeight="1">
      <c r="A343" s="1">
        <f t="shared" si="13"/>
        <v>36</v>
      </c>
      <c r="B343" s="1">
        <v>262710262</v>
      </c>
      <c r="C343" s="132" t="s">
        <v>1169</v>
      </c>
      <c r="D343" s="51"/>
      <c r="E343" s="52"/>
      <c r="F343" s="53" t="s">
        <v>3</v>
      </c>
      <c r="G343" s="54"/>
      <c r="H343" s="36"/>
      <c r="I343" s="36"/>
      <c r="J343" s="36"/>
      <c r="K343" s="36"/>
      <c r="L343" s="36"/>
      <c r="M343" s="36"/>
      <c r="N343" s="36"/>
      <c r="O343" s="6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 spans="1:28" ht="18" customHeight="1">
      <c r="A344" s="1">
        <f t="shared" si="13"/>
        <v>37</v>
      </c>
      <c r="B344" s="1">
        <v>262710263</v>
      </c>
      <c r="C344" s="132" t="s">
        <v>1171</v>
      </c>
      <c r="D344" s="51"/>
      <c r="E344" s="52"/>
      <c r="F344" s="53" t="s">
        <v>1</v>
      </c>
      <c r="G344" s="54"/>
      <c r="H344" s="36"/>
      <c r="I344" s="36"/>
      <c r="J344" s="36"/>
      <c r="K344" s="36"/>
      <c r="L344" s="36"/>
      <c r="M344" s="36"/>
      <c r="N344" s="36"/>
      <c r="O344" s="6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 spans="1:28" ht="18" customHeight="1">
      <c r="A345" s="1">
        <f t="shared" si="13"/>
        <v>38</v>
      </c>
      <c r="B345" s="1">
        <v>262710264</v>
      </c>
      <c r="C345" s="132" t="s">
        <v>1173</v>
      </c>
      <c r="D345" s="51"/>
      <c r="E345" s="52"/>
      <c r="F345" s="53" t="s">
        <v>1</v>
      </c>
      <c r="G345" s="54"/>
      <c r="H345" s="36"/>
      <c r="I345" s="36"/>
      <c r="J345" s="36"/>
      <c r="K345" s="36"/>
      <c r="L345" s="36"/>
      <c r="M345" s="36"/>
      <c r="N345" s="36"/>
      <c r="O345" s="6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 spans="1:28" ht="18" customHeight="1">
      <c r="A346" s="1">
        <f t="shared" si="13"/>
        <v>39</v>
      </c>
      <c r="B346" s="1">
        <v>262710265</v>
      </c>
      <c r="C346" s="132" t="s">
        <v>1175</v>
      </c>
      <c r="D346" s="51"/>
      <c r="E346" s="52"/>
      <c r="F346" s="53" t="s">
        <v>1</v>
      </c>
      <c r="G346" s="54"/>
      <c r="H346" s="36"/>
      <c r="I346" s="36"/>
      <c r="J346" s="36"/>
      <c r="K346" s="36"/>
      <c r="L346" s="36"/>
      <c r="M346" s="36"/>
      <c r="N346" s="36"/>
      <c r="O346" s="6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 spans="1:28" ht="18" customHeight="1">
      <c r="A347" s="1">
        <f t="shared" si="13"/>
        <v>40</v>
      </c>
      <c r="B347" s="1">
        <v>262710266</v>
      </c>
      <c r="C347" s="132" t="s">
        <v>1177</v>
      </c>
      <c r="D347" s="51"/>
      <c r="E347" s="52"/>
      <c r="F347" s="53" t="s">
        <v>3</v>
      </c>
      <c r="G347" s="54"/>
      <c r="H347" s="36"/>
      <c r="I347" s="36"/>
      <c r="J347" s="36"/>
      <c r="K347" s="36"/>
      <c r="L347" s="36"/>
      <c r="M347" s="36"/>
      <c r="N347" s="36"/>
      <c r="O347" s="6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 spans="1:28" ht="18" customHeight="1">
      <c r="A348" s="1">
        <f t="shared" si="13"/>
        <v>41</v>
      </c>
      <c r="B348" s="1">
        <v>262710267</v>
      </c>
      <c r="C348" s="132" t="s">
        <v>1179</v>
      </c>
      <c r="D348" s="51"/>
      <c r="E348" s="52"/>
      <c r="F348" s="53" t="s">
        <v>1</v>
      </c>
      <c r="G348" s="54"/>
      <c r="H348" s="36"/>
      <c r="I348" s="36"/>
      <c r="J348" s="36"/>
      <c r="K348" s="36"/>
      <c r="L348" s="36"/>
      <c r="M348" s="36"/>
      <c r="N348" s="36"/>
      <c r="O348" s="6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 spans="1:28" ht="18" customHeight="1">
      <c r="A349" s="1">
        <f t="shared" si="13"/>
        <v>42</v>
      </c>
      <c r="B349" s="1">
        <v>262710268</v>
      </c>
      <c r="C349" s="132" t="s">
        <v>1182</v>
      </c>
      <c r="D349" s="51"/>
      <c r="E349" s="52"/>
      <c r="F349" s="53" t="s">
        <v>3</v>
      </c>
      <c r="G349" s="54"/>
      <c r="H349" s="36"/>
      <c r="I349" s="36"/>
      <c r="J349" s="36"/>
      <c r="K349" s="36"/>
      <c r="L349" s="36"/>
      <c r="M349" s="36"/>
      <c r="N349" s="36"/>
      <c r="O349" s="6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 spans="1:28" ht="18" customHeight="1">
      <c r="A350" s="1">
        <f t="shared" si="13"/>
        <v>43</v>
      </c>
      <c r="B350" s="1">
        <v>262710269</v>
      </c>
      <c r="C350" s="132" t="s">
        <v>1183</v>
      </c>
      <c r="D350" s="51"/>
      <c r="E350" s="52"/>
      <c r="F350" s="53" t="s">
        <v>3</v>
      </c>
      <c r="G350" s="54"/>
      <c r="H350" s="36"/>
      <c r="I350" s="36"/>
      <c r="J350" s="36"/>
      <c r="K350" s="36"/>
      <c r="L350" s="36"/>
      <c r="M350" s="36"/>
      <c r="N350" s="36"/>
      <c r="O350" s="6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 spans="1:28" ht="18" customHeight="1">
      <c r="A351" s="1">
        <f t="shared" si="13"/>
        <v>44</v>
      </c>
      <c r="B351" s="1">
        <v>262710270</v>
      </c>
      <c r="C351" s="132" t="s">
        <v>1184</v>
      </c>
      <c r="D351" s="51"/>
      <c r="E351" s="52"/>
      <c r="F351" s="53" t="s">
        <v>3</v>
      </c>
      <c r="G351" s="54"/>
      <c r="H351" s="36"/>
      <c r="I351" s="36"/>
      <c r="J351" s="36"/>
      <c r="K351" s="36"/>
      <c r="L351" s="36"/>
      <c r="M351" s="36"/>
      <c r="N351" s="36"/>
      <c r="O351" s="6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 spans="1:28" ht="18" customHeight="1">
      <c r="A352" s="1">
        <f t="shared" si="13"/>
        <v>45</v>
      </c>
      <c r="B352" s="1">
        <v>262710271</v>
      </c>
      <c r="C352" s="132" t="s">
        <v>1186</v>
      </c>
      <c r="D352" s="51"/>
      <c r="E352" s="52"/>
      <c r="F352" s="53" t="s">
        <v>3</v>
      </c>
      <c r="G352" s="54"/>
      <c r="H352" s="36"/>
      <c r="I352" s="36"/>
      <c r="J352" s="36"/>
      <c r="K352" s="36"/>
      <c r="L352" s="36"/>
      <c r="M352" s="36"/>
      <c r="N352" s="36"/>
      <c r="O352" s="6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 spans="1:28" ht="18" customHeight="1">
      <c r="A353" s="83">
        <f t="shared" si="13"/>
        <v>46</v>
      </c>
      <c r="B353" s="1">
        <v>262710272</v>
      </c>
      <c r="C353" s="137" t="s">
        <v>1188</v>
      </c>
      <c r="D353" s="71"/>
      <c r="E353" s="103"/>
      <c r="F353" s="53" t="s">
        <v>3</v>
      </c>
      <c r="G353" s="135"/>
      <c r="H353" s="85"/>
      <c r="I353" s="85"/>
      <c r="J353" s="85"/>
      <c r="K353" s="85"/>
      <c r="L353" s="85"/>
      <c r="M353" s="85"/>
      <c r="N353" s="85"/>
      <c r="O353" s="6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 spans="1:28" ht="18" customHeight="1">
      <c r="A354" s="1">
        <f t="shared" si="13"/>
        <v>47</v>
      </c>
      <c r="B354" s="1">
        <v>262710273</v>
      </c>
      <c r="C354" s="138" t="s">
        <v>1189</v>
      </c>
      <c r="D354" s="107"/>
      <c r="E354" s="107"/>
      <c r="F354" s="53" t="s">
        <v>3</v>
      </c>
      <c r="G354" s="54"/>
      <c r="H354" s="36"/>
      <c r="I354" s="36"/>
      <c r="J354" s="36"/>
      <c r="K354" s="36"/>
      <c r="L354" s="36"/>
      <c r="M354" s="36"/>
      <c r="N354" s="36"/>
      <c r="O354" s="6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 spans="1:28" ht="15.8" customHeight="1">
      <c r="A355" s="1">
        <f t="shared" si="13"/>
        <v>48</v>
      </c>
      <c r="B355" s="119">
        <v>262710274</v>
      </c>
      <c r="C355" s="54" t="s">
        <v>1191</v>
      </c>
      <c r="D355" s="36"/>
      <c r="E355" s="36"/>
      <c r="F355" s="53" t="s">
        <v>1</v>
      </c>
      <c r="G355" s="49"/>
      <c r="H355" s="36"/>
      <c r="I355" s="36"/>
      <c r="J355" s="36"/>
      <c r="K355" s="36"/>
      <c r="L355" s="36"/>
      <c r="M355" s="36"/>
      <c r="N355" s="36"/>
      <c r="O355" s="6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 spans="1:28" ht="15.8" customHeight="1">
      <c r="A356" s="79"/>
      <c r="B356" s="79" t="str">
        <f t="shared" ref="B356:B359" si="14">UPPER(C356)</f>
        <v/>
      </c>
      <c r="C356" s="20" t="s">
        <v>266</v>
      </c>
      <c r="D356" s="20"/>
      <c r="E356" s="20"/>
      <c r="F356" s="80" t="s">
        <v>1</v>
      </c>
      <c r="G356" s="80">
        <f>COUNTIF(F308:F355,"L")</f>
        <v>24</v>
      </c>
      <c r="H356" s="20"/>
      <c r="I356" s="20"/>
      <c r="J356" s="20"/>
      <c r="K356" s="20"/>
      <c r="L356" s="20"/>
      <c r="M356" s="20"/>
      <c r="N356" s="20"/>
      <c r="O356" s="6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 spans="1:28" ht="15.8" customHeight="1">
      <c r="A357" s="79"/>
      <c r="B357" s="79" t="str">
        <f t="shared" si="14"/>
        <v/>
      </c>
      <c r="C357" s="20" t="s">
        <v>266</v>
      </c>
      <c r="D357" s="20"/>
      <c r="E357" s="20"/>
      <c r="F357" s="30" t="s">
        <v>3</v>
      </c>
      <c r="G357" s="30">
        <f>COUNTIF(F308:F355,"P")</f>
        <v>24</v>
      </c>
      <c r="H357" s="20"/>
      <c r="I357" s="20"/>
      <c r="J357" s="20"/>
      <c r="K357" s="20"/>
      <c r="L357" s="20"/>
      <c r="M357" s="20"/>
      <c r="N357" s="20"/>
      <c r="O357" s="6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 spans="1:28" ht="15.8" customHeight="1">
      <c r="A358" s="20" t="s">
        <v>275</v>
      </c>
      <c r="B358" s="79" t="str">
        <f t="shared" si="14"/>
        <v/>
      </c>
      <c r="C358" s="20" t="s">
        <v>266</v>
      </c>
      <c r="D358" s="20"/>
      <c r="E358" s="20"/>
      <c r="F358" s="81" t="s">
        <v>251</v>
      </c>
      <c r="G358" s="81">
        <f>SUM(G356:G357)</f>
        <v>48</v>
      </c>
      <c r="H358" s="6"/>
      <c r="I358" s="82" t="s">
        <v>254</v>
      </c>
      <c r="J358" s="6"/>
      <c r="K358" s="6"/>
      <c r="L358" s="6"/>
      <c r="M358" s="6"/>
      <c r="N358" s="6"/>
      <c r="O358" s="6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 spans="1:28" ht="15.8" customHeight="1">
      <c r="A359" s="20" t="s">
        <v>280</v>
      </c>
      <c r="B359" s="79" t="str">
        <f t="shared" si="14"/>
        <v/>
      </c>
      <c r="C359" s="20" t="s">
        <v>266</v>
      </c>
      <c r="D359" s="20"/>
      <c r="E359" s="20" t="s">
        <v>281</v>
      </c>
      <c r="F359" s="94"/>
      <c r="G359" s="6"/>
      <c r="H359" s="6"/>
      <c r="I359" s="6" t="s">
        <v>256</v>
      </c>
      <c r="J359" s="6"/>
      <c r="K359" s="6"/>
      <c r="L359" s="6"/>
      <c r="M359" s="6"/>
      <c r="N359" s="6"/>
      <c r="O359" s="6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 spans="1:28" ht="15.8" customHeight="1">
      <c r="A360" s="20"/>
      <c r="B360" s="6"/>
      <c r="C360" s="20"/>
      <c r="D360" s="20"/>
      <c r="E360" s="20"/>
      <c r="F360" s="79"/>
      <c r="G360" s="20"/>
      <c r="H360" s="20"/>
      <c r="I360" s="6"/>
      <c r="J360" s="6"/>
      <c r="K360" s="6"/>
      <c r="L360" s="6"/>
      <c r="M360" s="6"/>
      <c r="N360" s="6"/>
      <c r="O360" s="6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 spans="1:28" ht="15.8" customHeight="1">
      <c r="A361" s="20"/>
      <c r="B361" s="6"/>
      <c r="C361" s="20"/>
      <c r="D361" s="20"/>
      <c r="E361" s="20"/>
      <c r="F361" s="79"/>
      <c r="G361" s="20"/>
      <c r="H361" s="20"/>
      <c r="I361" s="6"/>
      <c r="J361" s="6"/>
      <c r="K361" s="6"/>
      <c r="L361" s="6"/>
      <c r="M361" s="6"/>
      <c r="N361" s="6"/>
      <c r="O361" s="6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 spans="1:28" ht="15.8" customHeight="1">
      <c r="A362" s="24" t="s">
        <v>1201</v>
      </c>
      <c r="B362" s="6"/>
      <c r="C362" s="6"/>
      <c r="D362" s="6"/>
      <c r="E362" s="86" t="s">
        <v>744</v>
      </c>
      <c r="F362" s="94"/>
      <c r="G362" s="6"/>
      <c r="H362" s="20"/>
      <c r="I362" s="87"/>
      <c r="J362" s="87"/>
      <c r="K362" s="87"/>
      <c r="L362" s="87"/>
      <c r="M362" s="87"/>
      <c r="N362" s="87"/>
      <c r="O362" s="6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 spans="1:28" ht="15.8" customHeight="1">
      <c r="A363" s="41" t="s">
        <v>1206</v>
      </c>
      <c r="B363" s="41"/>
      <c r="C363" s="20"/>
      <c r="D363" s="20"/>
      <c r="E363" s="20" t="s">
        <v>1054</v>
      </c>
      <c r="F363" s="79"/>
      <c r="G363" s="20"/>
      <c r="H363" s="20" t="s">
        <v>266</v>
      </c>
      <c r="I363" s="6"/>
      <c r="J363" s="6"/>
      <c r="K363" s="6"/>
      <c r="L363" s="6"/>
      <c r="M363" s="6"/>
      <c r="N363" s="6"/>
      <c r="O363" s="6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 spans="1:28" ht="15.8" customHeight="1">
      <c r="A364" s="7"/>
      <c r="B364" s="7"/>
      <c r="C364" s="7"/>
      <c r="D364" s="7"/>
      <c r="E364" s="7"/>
      <c r="F364" s="125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 spans="1:28" ht="19.55" customHeight="1">
      <c r="A365" s="16" t="s">
        <v>79</v>
      </c>
      <c r="B365" s="16"/>
      <c r="C365" s="4" t="s">
        <v>1213</v>
      </c>
      <c r="D365" s="16"/>
      <c r="E365" s="22"/>
      <c r="F365" s="23"/>
      <c r="G365" s="17"/>
      <c r="H365" s="19" t="s">
        <v>82</v>
      </c>
      <c r="I365" s="17"/>
      <c r="J365" s="17"/>
      <c r="K365" s="17"/>
      <c r="L365" s="17"/>
      <c r="M365" s="20"/>
      <c r="N365" s="20"/>
      <c r="O365" s="6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 spans="1:28" ht="9" customHeight="1">
      <c r="A366" s="20"/>
      <c r="B366" s="24"/>
      <c r="C366" s="24"/>
      <c r="D366" s="24"/>
      <c r="E366" s="25"/>
      <c r="F366" s="14"/>
      <c r="G366" s="20"/>
      <c r="H366" s="26"/>
      <c r="I366" s="27"/>
      <c r="J366" s="27"/>
      <c r="K366" s="27"/>
      <c r="L366" s="27"/>
      <c r="M366" s="27"/>
      <c r="N366" s="27"/>
      <c r="O366" s="6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 spans="1:28" ht="15.8" customHeight="1">
      <c r="A367" s="176" t="s">
        <v>84</v>
      </c>
      <c r="B367" s="177"/>
      <c r="C367" s="178" t="s">
        <v>85</v>
      </c>
      <c r="D367" s="179"/>
      <c r="E367" s="180"/>
      <c r="F367" s="184" t="s">
        <v>86</v>
      </c>
      <c r="G367" s="176" t="s">
        <v>87</v>
      </c>
      <c r="H367" s="186"/>
      <c r="I367" s="186"/>
      <c r="J367" s="186"/>
      <c r="K367" s="186"/>
      <c r="L367" s="186"/>
      <c r="M367" s="177"/>
      <c r="N367" s="184" t="s">
        <v>88</v>
      </c>
      <c r="O367" s="6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 spans="1:28" ht="15.8" customHeight="1">
      <c r="A368" s="28" t="s">
        <v>90</v>
      </c>
      <c r="B368" s="28" t="s">
        <v>91</v>
      </c>
      <c r="C368" s="181"/>
      <c r="D368" s="182"/>
      <c r="E368" s="183"/>
      <c r="F368" s="185"/>
      <c r="G368" s="28"/>
      <c r="H368" s="28"/>
      <c r="I368" s="28"/>
      <c r="J368" s="28"/>
      <c r="K368" s="28"/>
      <c r="L368" s="28"/>
      <c r="M368" s="28"/>
      <c r="N368" s="185"/>
      <c r="O368" s="6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 spans="1:28" ht="18" customHeight="1">
      <c r="A369" s="1">
        <v>1</v>
      </c>
      <c r="B369" s="1">
        <v>262710275</v>
      </c>
      <c r="C369" s="49" t="s">
        <v>1225</v>
      </c>
      <c r="D369" s="51"/>
      <c r="E369" s="52"/>
      <c r="F369" s="53" t="s">
        <v>1</v>
      </c>
      <c r="G369" s="36"/>
      <c r="H369" s="36"/>
      <c r="I369" s="36"/>
      <c r="J369" s="36"/>
      <c r="K369" s="36"/>
      <c r="L369" s="36"/>
      <c r="M369" s="36"/>
      <c r="N369" s="36"/>
      <c r="O369" s="6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 spans="1:28" ht="18" customHeight="1">
      <c r="A370" s="1">
        <f t="shared" ref="A370:A414" si="15">A369+1</f>
        <v>2</v>
      </c>
      <c r="B370" s="1">
        <v>262710276</v>
      </c>
      <c r="C370" s="49" t="s">
        <v>1230</v>
      </c>
      <c r="D370" s="51"/>
      <c r="E370" s="52"/>
      <c r="F370" s="53" t="s">
        <v>3</v>
      </c>
      <c r="G370" s="36"/>
      <c r="H370" s="36"/>
      <c r="I370" s="36"/>
      <c r="J370" s="36"/>
      <c r="K370" s="36"/>
      <c r="L370" s="36"/>
      <c r="M370" s="36"/>
      <c r="N370" s="36"/>
      <c r="O370" s="6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 spans="1:28" ht="18" customHeight="1">
      <c r="A371" s="1">
        <f t="shared" si="15"/>
        <v>3</v>
      </c>
      <c r="B371" s="1">
        <v>262710277</v>
      </c>
      <c r="C371" s="49" t="s">
        <v>1234</v>
      </c>
      <c r="D371" s="51"/>
      <c r="E371" s="52"/>
      <c r="F371" s="53" t="s">
        <v>1</v>
      </c>
      <c r="G371" s="36"/>
      <c r="H371" s="36"/>
      <c r="I371" s="36"/>
      <c r="J371" s="36"/>
      <c r="K371" s="36"/>
      <c r="L371" s="36"/>
      <c r="M371" s="36"/>
      <c r="N371" s="36"/>
      <c r="O371" s="6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 spans="1:28" ht="18" customHeight="1">
      <c r="A372" s="1">
        <f t="shared" si="15"/>
        <v>4</v>
      </c>
      <c r="B372" s="1">
        <v>262710278</v>
      </c>
      <c r="C372" s="49" t="s">
        <v>1237</v>
      </c>
      <c r="D372" s="51"/>
      <c r="E372" s="52"/>
      <c r="F372" s="53" t="s">
        <v>3</v>
      </c>
      <c r="G372" s="36"/>
      <c r="H372" s="36"/>
      <c r="I372" s="36"/>
      <c r="J372" s="36"/>
      <c r="K372" s="36"/>
      <c r="L372" s="36"/>
      <c r="M372" s="36"/>
      <c r="N372" s="36"/>
      <c r="O372" s="6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 spans="1:28" ht="18" customHeight="1">
      <c r="A373" s="1">
        <f t="shared" si="15"/>
        <v>5</v>
      </c>
      <c r="B373" s="1">
        <v>262710279</v>
      </c>
      <c r="C373" s="49" t="s">
        <v>1240</v>
      </c>
      <c r="D373" s="51"/>
      <c r="E373" s="52"/>
      <c r="F373" s="53" t="s">
        <v>1</v>
      </c>
      <c r="G373" s="36"/>
      <c r="H373" s="36"/>
      <c r="I373" s="36"/>
      <c r="J373" s="36"/>
      <c r="K373" s="36"/>
      <c r="L373" s="36"/>
      <c r="M373" s="36"/>
      <c r="N373" s="36"/>
      <c r="O373" s="6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 spans="1:28" ht="18" customHeight="1">
      <c r="A374" s="1">
        <f t="shared" si="15"/>
        <v>6</v>
      </c>
      <c r="B374" s="1">
        <v>262710280</v>
      </c>
      <c r="C374" s="49" t="s">
        <v>1245</v>
      </c>
      <c r="D374" s="51"/>
      <c r="E374" s="52"/>
      <c r="F374" s="53" t="s">
        <v>3</v>
      </c>
      <c r="G374" s="36"/>
      <c r="H374" s="36"/>
      <c r="I374" s="36"/>
      <c r="J374" s="36"/>
      <c r="K374" s="36"/>
      <c r="L374" s="36"/>
      <c r="M374" s="36"/>
      <c r="N374" s="36"/>
      <c r="O374" s="6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 spans="1:28" ht="18" customHeight="1">
      <c r="A375" s="1">
        <f t="shared" si="15"/>
        <v>7</v>
      </c>
      <c r="B375" s="1">
        <v>262710281</v>
      </c>
      <c r="C375" s="49" t="s">
        <v>1248</v>
      </c>
      <c r="D375" s="51"/>
      <c r="E375" s="52"/>
      <c r="F375" s="53" t="s">
        <v>1</v>
      </c>
      <c r="G375" s="36"/>
      <c r="H375" s="36"/>
      <c r="I375" s="36"/>
      <c r="J375" s="36"/>
      <c r="K375" s="36"/>
      <c r="L375" s="36"/>
      <c r="M375" s="36"/>
      <c r="N375" s="36"/>
      <c r="O375" s="6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 spans="1:28" ht="18" customHeight="1">
      <c r="A376" s="1">
        <f t="shared" si="15"/>
        <v>8</v>
      </c>
      <c r="B376" s="1">
        <v>262710282</v>
      </c>
      <c r="C376" s="49" t="s">
        <v>1251</v>
      </c>
      <c r="D376" s="51"/>
      <c r="E376" s="52"/>
      <c r="F376" s="53" t="s">
        <v>3</v>
      </c>
      <c r="G376" s="36"/>
      <c r="H376" s="36"/>
      <c r="I376" s="36"/>
      <c r="J376" s="36"/>
      <c r="K376" s="36"/>
      <c r="L376" s="36"/>
      <c r="M376" s="36"/>
      <c r="N376" s="36"/>
      <c r="O376" s="6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 spans="1:28" ht="18" customHeight="1">
      <c r="A377" s="1">
        <f t="shared" si="15"/>
        <v>9</v>
      </c>
      <c r="B377" s="1">
        <v>262710283</v>
      </c>
      <c r="C377" s="49" t="s">
        <v>1256</v>
      </c>
      <c r="D377" s="51"/>
      <c r="E377" s="52"/>
      <c r="F377" s="53" t="s">
        <v>3</v>
      </c>
      <c r="G377" s="36"/>
      <c r="H377" s="36"/>
      <c r="I377" s="36"/>
      <c r="J377" s="36"/>
      <c r="K377" s="36"/>
      <c r="L377" s="36"/>
      <c r="M377" s="36"/>
      <c r="N377" s="36"/>
      <c r="O377" s="6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 spans="1:28" ht="18" customHeight="1">
      <c r="A378" s="1">
        <f t="shared" si="15"/>
        <v>10</v>
      </c>
      <c r="B378" s="1">
        <v>262710284</v>
      </c>
      <c r="C378" s="49" t="s">
        <v>1258</v>
      </c>
      <c r="D378" s="51"/>
      <c r="E378" s="52"/>
      <c r="F378" s="53" t="s">
        <v>3</v>
      </c>
      <c r="G378" s="36"/>
      <c r="H378" s="36"/>
      <c r="I378" s="36"/>
      <c r="J378" s="36"/>
      <c r="K378" s="36"/>
      <c r="L378" s="36"/>
      <c r="M378" s="36"/>
      <c r="N378" s="36"/>
      <c r="O378" s="6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 spans="1:28" ht="18" customHeight="1">
      <c r="A379" s="1">
        <f t="shared" si="15"/>
        <v>11</v>
      </c>
      <c r="B379" s="1">
        <v>262710285</v>
      </c>
      <c r="C379" s="49" t="s">
        <v>1261</v>
      </c>
      <c r="D379" s="51"/>
      <c r="E379" s="52"/>
      <c r="F379" s="53" t="s">
        <v>1</v>
      </c>
      <c r="G379" s="36"/>
      <c r="H379" s="36"/>
      <c r="I379" s="36"/>
      <c r="J379" s="36"/>
      <c r="K379" s="36"/>
      <c r="L379" s="36"/>
      <c r="M379" s="36"/>
      <c r="N379" s="36"/>
      <c r="O379" s="6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 spans="1:28" ht="18" customHeight="1">
      <c r="A380" s="1">
        <f t="shared" si="15"/>
        <v>12</v>
      </c>
      <c r="B380" s="1">
        <v>262710286</v>
      </c>
      <c r="C380" s="49" t="s">
        <v>1264</v>
      </c>
      <c r="D380" s="51"/>
      <c r="E380" s="52"/>
      <c r="F380" s="53" t="s">
        <v>1</v>
      </c>
      <c r="G380" s="36"/>
      <c r="H380" s="36"/>
      <c r="I380" s="36"/>
      <c r="J380" s="36"/>
      <c r="K380" s="36"/>
      <c r="L380" s="36"/>
      <c r="M380" s="36"/>
      <c r="N380" s="36"/>
      <c r="O380" s="6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 spans="1:28" ht="18" customHeight="1">
      <c r="A381" s="1">
        <f t="shared" si="15"/>
        <v>13</v>
      </c>
      <c r="B381" s="1">
        <v>262710287</v>
      </c>
      <c r="C381" s="140" t="s">
        <v>1267</v>
      </c>
      <c r="D381" s="71"/>
      <c r="E381" s="103"/>
      <c r="F381" s="53" t="s">
        <v>3</v>
      </c>
      <c r="G381" s="36"/>
      <c r="H381" s="36"/>
      <c r="I381" s="36"/>
      <c r="J381" s="36"/>
      <c r="K381" s="36"/>
      <c r="L381" s="36"/>
      <c r="M381" s="36"/>
      <c r="N381" s="36"/>
      <c r="O381" s="6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 spans="1:28" ht="18" customHeight="1">
      <c r="A382" s="1">
        <f t="shared" si="15"/>
        <v>14</v>
      </c>
      <c r="B382" s="1">
        <v>262710288</v>
      </c>
      <c r="C382" s="141" t="s">
        <v>1269</v>
      </c>
      <c r="D382" s="51"/>
      <c r="E382" s="52"/>
      <c r="F382" s="53" t="s">
        <v>1</v>
      </c>
      <c r="G382" s="36"/>
      <c r="H382" s="36"/>
      <c r="I382" s="36"/>
      <c r="J382" s="36"/>
      <c r="K382" s="36"/>
      <c r="L382" s="36"/>
      <c r="M382" s="36"/>
      <c r="N382" s="36"/>
      <c r="O382" s="6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 spans="1:28" ht="18" customHeight="1">
      <c r="A383" s="1">
        <f t="shared" si="15"/>
        <v>15</v>
      </c>
      <c r="B383" s="1">
        <v>262710289</v>
      </c>
      <c r="C383" s="142" t="s">
        <v>1272</v>
      </c>
      <c r="D383" s="143"/>
      <c r="E383" s="144"/>
      <c r="F383" s="53" t="s">
        <v>3</v>
      </c>
      <c r="G383" s="36"/>
      <c r="H383" s="36"/>
      <c r="I383" s="36"/>
      <c r="J383" s="36"/>
      <c r="K383" s="36"/>
      <c r="L383" s="36"/>
      <c r="M383" s="36"/>
      <c r="N383" s="36"/>
      <c r="O383" s="6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 spans="1:28" ht="18" customHeight="1">
      <c r="A384" s="1">
        <f t="shared" si="15"/>
        <v>16</v>
      </c>
      <c r="B384" s="1">
        <v>262710290</v>
      </c>
      <c r="C384" s="49" t="s">
        <v>1275</v>
      </c>
      <c r="D384" s="51"/>
      <c r="E384" s="52"/>
      <c r="F384" s="53" t="s">
        <v>1</v>
      </c>
      <c r="G384" s="36"/>
      <c r="H384" s="36"/>
      <c r="I384" s="36"/>
      <c r="J384" s="36"/>
      <c r="K384" s="36"/>
      <c r="L384" s="36"/>
      <c r="M384" s="36"/>
      <c r="N384" s="36"/>
      <c r="O384" s="6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 spans="1:28" ht="18" customHeight="1">
      <c r="A385" s="1">
        <f t="shared" si="15"/>
        <v>17</v>
      </c>
      <c r="B385" s="1">
        <v>262710291</v>
      </c>
      <c r="C385" s="49" t="s">
        <v>1278</v>
      </c>
      <c r="D385" s="51"/>
      <c r="E385" s="52"/>
      <c r="F385" s="53" t="s">
        <v>3</v>
      </c>
      <c r="G385" s="36"/>
      <c r="H385" s="36"/>
      <c r="I385" s="36"/>
      <c r="J385" s="36"/>
      <c r="K385" s="36"/>
      <c r="L385" s="36"/>
      <c r="M385" s="36"/>
      <c r="N385" s="36"/>
      <c r="O385" s="6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 spans="1:28" ht="18" customHeight="1">
      <c r="A386" s="1">
        <f t="shared" si="15"/>
        <v>18</v>
      </c>
      <c r="B386" s="1">
        <v>262710292</v>
      </c>
      <c r="C386" s="49" t="s">
        <v>1280</v>
      </c>
      <c r="D386" s="51"/>
      <c r="E386" s="52"/>
      <c r="F386" s="53" t="s">
        <v>1</v>
      </c>
      <c r="G386" s="36"/>
      <c r="H386" s="36"/>
      <c r="I386" s="36"/>
      <c r="J386" s="36"/>
      <c r="K386" s="36"/>
      <c r="L386" s="36"/>
      <c r="M386" s="36"/>
      <c r="N386" s="36"/>
      <c r="O386" s="6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 spans="1:28" ht="18" customHeight="1">
      <c r="A387" s="1">
        <f t="shared" si="15"/>
        <v>19</v>
      </c>
      <c r="B387" s="1">
        <v>262710293</v>
      </c>
      <c r="C387" s="49" t="s">
        <v>1283</v>
      </c>
      <c r="D387" s="51"/>
      <c r="E387" s="52"/>
      <c r="F387" s="53" t="s">
        <v>3</v>
      </c>
      <c r="G387" s="36"/>
      <c r="H387" s="36"/>
      <c r="I387" s="36"/>
      <c r="J387" s="36"/>
      <c r="K387" s="36"/>
      <c r="L387" s="36"/>
      <c r="M387" s="36"/>
      <c r="N387" s="1"/>
      <c r="O387" s="6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 spans="1:28" ht="18" customHeight="1">
      <c r="A388" s="1">
        <f t="shared" si="15"/>
        <v>20</v>
      </c>
      <c r="B388" s="1">
        <v>262710294</v>
      </c>
      <c r="C388" s="49" t="s">
        <v>1286</v>
      </c>
      <c r="D388" s="51"/>
      <c r="E388" s="52"/>
      <c r="F388" s="53" t="s">
        <v>1</v>
      </c>
      <c r="G388" s="36"/>
      <c r="H388" s="36"/>
      <c r="I388" s="36"/>
      <c r="J388" s="36"/>
      <c r="K388" s="36"/>
      <c r="L388" s="36"/>
      <c r="M388" s="36"/>
      <c r="N388" s="36"/>
      <c r="O388" s="6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 spans="1:28" ht="18" customHeight="1">
      <c r="A389" s="1">
        <f t="shared" si="15"/>
        <v>21</v>
      </c>
      <c r="B389" s="1">
        <v>262710295</v>
      </c>
      <c r="C389" s="49" t="s">
        <v>1289</v>
      </c>
      <c r="D389" s="51"/>
      <c r="E389" s="52"/>
      <c r="F389" s="53" t="s">
        <v>1</v>
      </c>
      <c r="G389" s="36"/>
      <c r="H389" s="36"/>
      <c r="I389" s="36"/>
      <c r="J389" s="36"/>
      <c r="K389" s="36"/>
      <c r="L389" s="36"/>
      <c r="M389" s="36"/>
      <c r="N389" s="36"/>
      <c r="O389" s="6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 spans="1:28" ht="18" customHeight="1">
      <c r="A390" s="1">
        <f t="shared" si="15"/>
        <v>22</v>
      </c>
      <c r="B390" s="1">
        <v>262710296</v>
      </c>
      <c r="C390" s="49" t="s">
        <v>1291</v>
      </c>
      <c r="D390" s="51"/>
      <c r="E390" s="52"/>
      <c r="F390" s="53" t="s">
        <v>3</v>
      </c>
      <c r="G390" s="36"/>
      <c r="H390" s="36"/>
      <c r="I390" s="36"/>
      <c r="J390" s="36"/>
      <c r="K390" s="36"/>
      <c r="L390" s="36"/>
      <c r="M390" s="36"/>
      <c r="N390" s="36"/>
      <c r="O390" s="6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 spans="1:28" ht="18" customHeight="1">
      <c r="A391" s="1">
        <f t="shared" si="15"/>
        <v>23</v>
      </c>
      <c r="B391" s="1">
        <v>262710297</v>
      </c>
      <c r="C391" s="49" t="s">
        <v>1294</v>
      </c>
      <c r="D391" s="51"/>
      <c r="E391" s="52"/>
      <c r="F391" s="53" t="s">
        <v>1</v>
      </c>
      <c r="G391" s="36"/>
      <c r="H391" s="36"/>
      <c r="I391" s="36"/>
      <c r="J391" s="36"/>
      <c r="K391" s="36"/>
      <c r="L391" s="36"/>
      <c r="M391" s="36"/>
      <c r="N391" s="36"/>
      <c r="O391" s="6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 spans="1:28" ht="18" customHeight="1">
      <c r="A392" s="1">
        <f t="shared" si="15"/>
        <v>24</v>
      </c>
      <c r="B392" s="1">
        <v>262710298</v>
      </c>
      <c r="C392" s="49" t="s">
        <v>1297</v>
      </c>
      <c r="D392" s="51"/>
      <c r="E392" s="52"/>
      <c r="F392" s="53" t="s">
        <v>3</v>
      </c>
      <c r="G392" s="36"/>
      <c r="H392" s="36"/>
      <c r="I392" s="36"/>
      <c r="J392" s="36"/>
      <c r="K392" s="36"/>
      <c r="L392" s="36"/>
      <c r="M392" s="36"/>
      <c r="N392" s="36"/>
      <c r="O392" s="6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 spans="1:28" ht="18" customHeight="1">
      <c r="A393" s="1">
        <f t="shared" si="15"/>
        <v>25</v>
      </c>
      <c r="B393" s="1">
        <v>262710299</v>
      </c>
      <c r="C393" s="49" t="s">
        <v>1299</v>
      </c>
      <c r="D393" s="51"/>
      <c r="E393" s="52"/>
      <c r="F393" s="53" t="s">
        <v>1</v>
      </c>
      <c r="G393" s="36"/>
      <c r="H393" s="36"/>
      <c r="I393" s="36"/>
      <c r="J393" s="36"/>
      <c r="K393" s="36"/>
      <c r="L393" s="36"/>
      <c r="M393" s="36"/>
      <c r="N393" s="36"/>
      <c r="O393" s="6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 spans="1:28" ht="18" customHeight="1">
      <c r="A394" s="123">
        <f t="shared" si="15"/>
        <v>26</v>
      </c>
      <c r="B394" s="1">
        <v>262710300</v>
      </c>
      <c r="C394" s="49" t="s">
        <v>1301</v>
      </c>
      <c r="D394" s="51"/>
      <c r="E394" s="52"/>
      <c r="F394" s="53" t="s">
        <v>1</v>
      </c>
      <c r="G394" s="91"/>
      <c r="H394" s="78"/>
      <c r="I394" s="78"/>
      <c r="J394" s="78"/>
      <c r="K394" s="78"/>
      <c r="L394" s="78"/>
      <c r="M394" s="78"/>
      <c r="N394" s="78"/>
      <c r="O394" s="21"/>
      <c r="P394" s="91"/>
      <c r="Q394" s="78"/>
      <c r="R394" s="91"/>
      <c r="S394" s="91"/>
      <c r="T394" s="91"/>
      <c r="U394" s="91"/>
      <c r="V394" s="91"/>
      <c r="W394" s="91"/>
      <c r="X394" s="91"/>
      <c r="Y394" s="91"/>
      <c r="Z394" s="91"/>
      <c r="AA394" s="91"/>
      <c r="AB394" s="91"/>
    </row>
    <row r="395" spans="1:28" ht="18" customHeight="1">
      <c r="A395" s="1">
        <f t="shared" si="15"/>
        <v>27</v>
      </c>
      <c r="B395" s="1">
        <v>262710301</v>
      </c>
      <c r="C395" s="49" t="s">
        <v>1303</v>
      </c>
      <c r="D395" s="51"/>
      <c r="E395" s="52"/>
      <c r="F395" s="53" t="s">
        <v>1</v>
      </c>
      <c r="G395" s="36"/>
      <c r="H395" s="36"/>
      <c r="I395" s="36"/>
      <c r="J395" s="36"/>
      <c r="K395" s="36"/>
      <c r="L395" s="36"/>
      <c r="M395" s="36"/>
      <c r="N395" s="36"/>
      <c r="O395" s="6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 spans="1:28" ht="18" customHeight="1">
      <c r="A396" s="1">
        <f t="shared" si="15"/>
        <v>28</v>
      </c>
      <c r="B396" s="1">
        <v>262710302</v>
      </c>
      <c r="C396" s="49" t="s">
        <v>1305</v>
      </c>
      <c r="D396" s="51"/>
      <c r="E396" s="52"/>
      <c r="F396" s="53" t="s">
        <v>1</v>
      </c>
      <c r="G396" s="36"/>
      <c r="H396" s="36"/>
      <c r="I396" s="36"/>
      <c r="J396" s="36"/>
      <c r="K396" s="36"/>
      <c r="L396" s="36"/>
      <c r="M396" s="36"/>
      <c r="N396" s="36"/>
      <c r="O396" s="6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 spans="1:28" ht="18" customHeight="1">
      <c r="A397" s="1">
        <f t="shared" si="15"/>
        <v>29</v>
      </c>
      <c r="B397" s="1">
        <v>262710303</v>
      </c>
      <c r="C397" s="49" t="s">
        <v>1306</v>
      </c>
      <c r="D397" s="51"/>
      <c r="E397" s="52"/>
      <c r="F397" s="53" t="s">
        <v>1</v>
      </c>
      <c r="G397" s="36"/>
      <c r="H397" s="36"/>
      <c r="I397" s="36"/>
      <c r="J397" s="36"/>
      <c r="K397" s="36"/>
      <c r="L397" s="36"/>
      <c r="M397" s="36"/>
      <c r="N397" s="36"/>
      <c r="O397" s="6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 spans="1:28" ht="18" customHeight="1">
      <c r="A398" s="1">
        <f t="shared" si="15"/>
        <v>30</v>
      </c>
      <c r="B398" s="1">
        <v>262710304</v>
      </c>
      <c r="C398" s="49" t="s">
        <v>1307</v>
      </c>
      <c r="D398" s="51"/>
      <c r="E398" s="52"/>
      <c r="F398" s="53" t="s">
        <v>1</v>
      </c>
      <c r="G398" s="36"/>
      <c r="H398" s="36"/>
      <c r="I398" s="36"/>
      <c r="J398" s="36"/>
      <c r="K398" s="36"/>
      <c r="L398" s="36"/>
      <c r="M398" s="36"/>
      <c r="N398" s="36"/>
      <c r="O398" s="6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 spans="1:28" ht="18" customHeight="1">
      <c r="A399" s="1">
        <f t="shared" si="15"/>
        <v>31</v>
      </c>
      <c r="B399" s="1">
        <v>262710305</v>
      </c>
      <c r="C399" s="49" t="s">
        <v>1308</v>
      </c>
      <c r="D399" s="51"/>
      <c r="E399" s="52"/>
      <c r="F399" s="53" t="s">
        <v>3</v>
      </c>
      <c r="G399" s="36"/>
      <c r="H399" s="36"/>
      <c r="I399" s="36"/>
      <c r="J399" s="36"/>
      <c r="K399" s="36"/>
      <c r="L399" s="36"/>
      <c r="M399" s="36"/>
      <c r="N399" s="36"/>
      <c r="O399" s="6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 spans="1:28" ht="18" customHeight="1">
      <c r="A400" s="1">
        <f t="shared" si="15"/>
        <v>32</v>
      </c>
      <c r="B400" s="1">
        <v>262710306</v>
      </c>
      <c r="C400" s="49" t="s">
        <v>1310</v>
      </c>
      <c r="D400" s="51"/>
      <c r="E400" s="52"/>
      <c r="F400" s="53" t="s">
        <v>3</v>
      </c>
      <c r="G400" s="36"/>
      <c r="H400" s="36"/>
      <c r="I400" s="36"/>
      <c r="J400" s="36"/>
      <c r="K400" s="36"/>
      <c r="L400" s="36"/>
      <c r="M400" s="36"/>
      <c r="N400" s="36"/>
      <c r="O400" s="6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 spans="1:28" ht="18" customHeight="1">
      <c r="A401" s="1">
        <f t="shared" si="15"/>
        <v>33</v>
      </c>
      <c r="B401" s="1">
        <v>262710307</v>
      </c>
      <c r="C401" s="49" t="s">
        <v>1312</v>
      </c>
      <c r="D401" s="51"/>
      <c r="E401" s="52"/>
      <c r="F401" s="53" t="s">
        <v>3</v>
      </c>
      <c r="G401" s="36"/>
      <c r="H401" s="36"/>
      <c r="I401" s="36"/>
      <c r="J401" s="36"/>
      <c r="K401" s="36"/>
      <c r="L401" s="36"/>
      <c r="M401" s="36"/>
      <c r="N401" s="36"/>
      <c r="O401" s="6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 spans="1:28" ht="18" customHeight="1">
      <c r="A402" s="83">
        <f t="shared" si="15"/>
        <v>34</v>
      </c>
      <c r="B402" s="1">
        <v>262710308</v>
      </c>
      <c r="C402" s="49" t="s">
        <v>1313</v>
      </c>
      <c r="D402" s="51"/>
      <c r="E402" s="52"/>
      <c r="F402" s="53" t="s">
        <v>3</v>
      </c>
      <c r="G402" s="85"/>
      <c r="H402" s="85"/>
      <c r="I402" s="85"/>
      <c r="J402" s="85"/>
      <c r="K402" s="85"/>
      <c r="L402" s="85"/>
      <c r="M402" s="85"/>
      <c r="N402" s="85"/>
      <c r="O402" s="6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 spans="1:28" ht="18" customHeight="1">
      <c r="A403" s="1">
        <f t="shared" si="15"/>
        <v>35</v>
      </c>
      <c r="B403" s="1">
        <v>262710309</v>
      </c>
      <c r="C403" s="49" t="s">
        <v>1315</v>
      </c>
      <c r="D403" s="51"/>
      <c r="E403" s="52"/>
      <c r="F403" s="53" t="s">
        <v>1</v>
      </c>
      <c r="G403" s="36"/>
      <c r="H403" s="36"/>
      <c r="I403" s="36"/>
      <c r="J403" s="36"/>
      <c r="K403" s="36"/>
      <c r="L403" s="36"/>
      <c r="M403" s="36"/>
      <c r="N403" s="36"/>
      <c r="O403" s="6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 spans="1:28" ht="18" customHeight="1">
      <c r="A404" s="1">
        <f t="shared" si="15"/>
        <v>36</v>
      </c>
      <c r="B404" s="1">
        <v>262710310</v>
      </c>
      <c r="C404" s="49" t="s">
        <v>1316</v>
      </c>
      <c r="D404" s="51"/>
      <c r="E404" s="52"/>
      <c r="F404" s="53" t="s">
        <v>3</v>
      </c>
      <c r="G404" s="36"/>
      <c r="H404" s="36"/>
      <c r="I404" s="36"/>
      <c r="J404" s="36"/>
      <c r="K404" s="36"/>
      <c r="L404" s="36"/>
      <c r="M404" s="36"/>
      <c r="N404" s="36"/>
      <c r="O404" s="6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 spans="1:28" ht="18" customHeight="1">
      <c r="A405" s="1">
        <f t="shared" si="15"/>
        <v>37</v>
      </c>
      <c r="B405" s="1">
        <v>262710311</v>
      </c>
      <c r="C405" s="49" t="s">
        <v>1317</v>
      </c>
      <c r="D405" s="51"/>
      <c r="E405" s="52"/>
      <c r="F405" s="53" t="s">
        <v>1</v>
      </c>
      <c r="G405" s="36"/>
      <c r="H405" s="36"/>
      <c r="I405" s="36"/>
      <c r="J405" s="36"/>
      <c r="K405" s="36"/>
      <c r="L405" s="36"/>
      <c r="M405" s="36"/>
      <c r="N405" s="36"/>
      <c r="O405" s="6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 spans="1:28" ht="18" customHeight="1">
      <c r="A406" s="1">
        <f t="shared" si="15"/>
        <v>38</v>
      </c>
      <c r="B406" s="1">
        <v>262710312</v>
      </c>
      <c r="C406" s="49" t="s">
        <v>1318</v>
      </c>
      <c r="D406" s="51"/>
      <c r="E406" s="52"/>
      <c r="F406" s="53" t="s">
        <v>1</v>
      </c>
      <c r="G406" s="36"/>
      <c r="H406" s="36"/>
      <c r="I406" s="36"/>
      <c r="J406" s="36"/>
      <c r="K406" s="36"/>
      <c r="L406" s="36"/>
      <c r="M406" s="36"/>
      <c r="N406" s="36"/>
      <c r="O406" s="6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 spans="1:28" ht="18" customHeight="1">
      <c r="A407" s="1">
        <f t="shared" si="15"/>
        <v>39</v>
      </c>
      <c r="B407" s="1">
        <v>262710313</v>
      </c>
      <c r="C407" s="49" t="s">
        <v>1320</v>
      </c>
      <c r="D407" s="51"/>
      <c r="E407" s="52"/>
      <c r="F407" s="53" t="s">
        <v>3</v>
      </c>
      <c r="G407" s="36"/>
      <c r="H407" s="36"/>
      <c r="I407" s="36"/>
      <c r="J407" s="36"/>
      <c r="K407" s="36"/>
      <c r="L407" s="36"/>
      <c r="M407" s="36"/>
      <c r="N407" s="36"/>
      <c r="O407" s="6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 spans="1:28" ht="18" customHeight="1">
      <c r="A408" s="1">
        <f t="shared" si="15"/>
        <v>40</v>
      </c>
      <c r="B408" s="1">
        <v>262710314</v>
      </c>
      <c r="C408" s="49" t="s">
        <v>1324</v>
      </c>
      <c r="D408" s="51"/>
      <c r="E408" s="52"/>
      <c r="F408" s="53" t="s">
        <v>1</v>
      </c>
      <c r="G408" s="36"/>
      <c r="H408" s="36"/>
      <c r="I408" s="36"/>
      <c r="J408" s="36"/>
      <c r="K408" s="36"/>
      <c r="L408" s="36"/>
      <c r="M408" s="36"/>
      <c r="N408" s="36"/>
      <c r="O408" s="6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 spans="1:28" ht="18" customHeight="1">
      <c r="A409" s="1">
        <f t="shared" si="15"/>
        <v>41</v>
      </c>
      <c r="B409" s="1">
        <v>262710315</v>
      </c>
      <c r="C409" s="49" t="s">
        <v>1327</v>
      </c>
      <c r="D409" s="51"/>
      <c r="E409" s="52"/>
      <c r="F409" s="53" t="s">
        <v>3</v>
      </c>
      <c r="G409" s="36"/>
      <c r="H409" s="36"/>
      <c r="I409" s="36"/>
      <c r="J409" s="36"/>
      <c r="K409" s="36"/>
      <c r="L409" s="36"/>
      <c r="M409" s="36"/>
      <c r="N409" s="36"/>
      <c r="O409" s="6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 spans="1:28" ht="18" customHeight="1">
      <c r="A410" s="1">
        <f t="shared" si="15"/>
        <v>42</v>
      </c>
      <c r="B410" s="1">
        <v>262710316</v>
      </c>
      <c r="C410" s="49" t="s">
        <v>1331</v>
      </c>
      <c r="D410" s="51"/>
      <c r="E410" s="52"/>
      <c r="F410" s="53" t="s">
        <v>3</v>
      </c>
      <c r="G410" s="36"/>
      <c r="H410" s="36"/>
      <c r="I410" s="36"/>
      <c r="J410" s="36"/>
      <c r="K410" s="36"/>
      <c r="L410" s="36"/>
      <c r="M410" s="36"/>
      <c r="N410" s="36"/>
      <c r="O410" s="6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 spans="1:28" ht="18" customHeight="1">
      <c r="A411" s="1">
        <f t="shared" si="15"/>
        <v>43</v>
      </c>
      <c r="B411" s="1">
        <v>262710317</v>
      </c>
      <c r="C411" s="49" t="s">
        <v>1334</v>
      </c>
      <c r="D411" s="51"/>
      <c r="E411" s="52"/>
      <c r="F411" s="53" t="s">
        <v>1</v>
      </c>
      <c r="G411" s="36"/>
      <c r="H411" s="36"/>
      <c r="I411" s="36"/>
      <c r="J411" s="36"/>
      <c r="K411" s="36"/>
      <c r="L411" s="36"/>
      <c r="M411" s="36"/>
      <c r="N411" s="36"/>
      <c r="O411" s="6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 spans="1:28" ht="18" customHeight="1">
      <c r="A412" s="1">
        <f t="shared" si="15"/>
        <v>44</v>
      </c>
      <c r="B412" s="1">
        <v>262710318</v>
      </c>
      <c r="C412" s="49" t="s">
        <v>1335</v>
      </c>
      <c r="D412" s="51"/>
      <c r="E412" s="52"/>
      <c r="F412" s="53" t="s">
        <v>3</v>
      </c>
      <c r="G412" s="36"/>
      <c r="H412" s="36"/>
      <c r="I412" s="36"/>
      <c r="J412" s="36"/>
      <c r="K412" s="36"/>
      <c r="L412" s="36"/>
      <c r="M412" s="36"/>
      <c r="N412" s="36"/>
      <c r="O412" s="6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 spans="1:28" ht="18" customHeight="1">
      <c r="A413" s="1">
        <f t="shared" si="15"/>
        <v>45</v>
      </c>
      <c r="B413" s="1">
        <v>262710319</v>
      </c>
      <c r="C413" s="49" t="s">
        <v>1337</v>
      </c>
      <c r="D413" s="51"/>
      <c r="E413" s="52"/>
      <c r="F413" s="53" t="s">
        <v>3</v>
      </c>
      <c r="G413" s="36"/>
      <c r="H413" s="36"/>
      <c r="I413" s="36"/>
      <c r="J413" s="36"/>
      <c r="K413" s="36"/>
      <c r="L413" s="36"/>
      <c r="M413" s="36"/>
      <c r="N413" s="36"/>
      <c r="O413" s="6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 spans="1:28" ht="18" customHeight="1">
      <c r="A414" s="1">
        <f t="shared" si="15"/>
        <v>46</v>
      </c>
      <c r="B414" s="1">
        <v>262710320</v>
      </c>
      <c r="C414" s="49" t="s">
        <v>1340</v>
      </c>
      <c r="D414" s="51"/>
      <c r="E414" s="52"/>
      <c r="F414" s="53" t="s">
        <v>1</v>
      </c>
      <c r="G414" s="36"/>
      <c r="H414" s="36"/>
      <c r="I414" s="36"/>
      <c r="J414" s="36"/>
      <c r="K414" s="36"/>
      <c r="L414" s="36"/>
      <c r="M414" s="36"/>
      <c r="N414" s="36"/>
      <c r="O414" s="6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 spans="1:28" ht="18" customHeight="1">
      <c r="A415" s="1"/>
      <c r="B415" s="1"/>
      <c r="C415" s="150"/>
      <c r="D415" s="51"/>
      <c r="E415" s="52"/>
      <c r="F415" s="151"/>
      <c r="G415" s="36"/>
      <c r="H415" s="36"/>
      <c r="I415" s="36"/>
      <c r="J415" s="36"/>
      <c r="K415" s="36"/>
      <c r="L415" s="36"/>
      <c r="M415" s="36"/>
      <c r="N415" s="36"/>
      <c r="O415" s="6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 spans="1:28" ht="15.8" customHeight="1">
      <c r="A416" s="79"/>
      <c r="B416" s="115"/>
      <c r="C416" s="20"/>
      <c r="D416" s="20"/>
      <c r="E416" s="20"/>
      <c r="F416" s="80" t="s">
        <v>1</v>
      </c>
      <c r="G416" s="80">
        <f>COUNTIF(F369:F415,"L")</f>
        <v>24</v>
      </c>
      <c r="H416" s="20"/>
      <c r="I416" s="20"/>
      <c r="J416" s="20"/>
      <c r="K416" s="20"/>
      <c r="L416" s="20"/>
      <c r="M416" s="20"/>
      <c r="N416" s="20"/>
      <c r="O416" s="6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 spans="1:28" ht="15.8" customHeight="1">
      <c r="A417" s="79"/>
      <c r="B417" s="79"/>
      <c r="C417" s="20"/>
      <c r="D417" s="20"/>
      <c r="E417" s="20"/>
      <c r="F417" s="30" t="s">
        <v>3</v>
      </c>
      <c r="G417" s="30">
        <f>COUNTIF(F369:F416,"P")</f>
        <v>22</v>
      </c>
      <c r="H417" s="20"/>
      <c r="I417" s="20"/>
      <c r="J417" s="20"/>
      <c r="K417" s="20"/>
      <c r="L417" s="20"/>
      <c r="M417" s="20"/>
      <c r="N417" s="20"/>
      <c r="O417" s="6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 spans="1:28" ht="15.8" customHeight="1">
      <c r="A418" s="79"/>
      <c r="B418" s="79"/>
      <c r="C418" s="20"/>
      <c r="D418" s="20"/>
      <c r="E418" s="20"/>
      <c r="F418" s="81" t="s">
        <v>251</v>
      </c>
      <c r="G418" s="81">
        <f>SUM(G416:G417)</f>
        <v>46</v>
      </c>
      <c r="H418" s="20"/>
      <c r="I418" s="20"/>
      <c r="J418" s="20"/>
      <c r="K418" s="20"/>
      <c r="L418" s="20"/>
      <c r="M418" s="20"/>
      <c r="N418" s="20"/>
      <c r="O418" s="6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 spans="1:28" ht="15.8" customHeight="1">
      <c r="A419" s="20" t="s">
        <v>275</v>
      </c>
      <c r="B419" s="79"/>
      <c r="C419" s="20"/>
      <c r="D419" s="20"/>
      <c r="E419" s="20"/>
      <c r="F419" s="94"/>
      <c r="G419" s="6"/>
      <c r="H419" s="6"/>
      <c r="I419" s="82" t="s">
        <v>254</v>
      </c>
      <c r="J419" s="6"/>
      <c r="K419" s="6"/>
      <c r="L419" s="6"/>
      <c r="M419" s="6"/>
      <c r="N419" s="6"/>
      <c r="O419" s="6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 spans="1:28" ht="15.8" customHeight="1">
      <c r="A420" s="20" t="s">
        <v>280</v>
      </c>
      <c r="B420" s="79"/>
      <c r="C420" s="20"/>
      <c r="D420" s="20"/>
      <c r="E420" s="20" t="s">
        <v>281</v>
      </c>
      <c r="F420" s="94"/>
      <c r="G420" s="6"/>
      <c r="H420" s="6"/>
      <c r="I420" s="6" t="s">
        <v>256</v>
      </c>
      <c r="J420" s="6"/>
      <c r="K420" s="6"/>
      <c r="L420" s="6"/>
      <c r="M420" s="6"/>
      <c r="N420" s="6"/>
      <c r="O420" s="6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 spans="1:28" ht="15.8" customHeight="1">
      <c r="A421" s="20"/>
      <c r="B421" s="6"/>
      <c r="C421" s="20"/>
      <c r="D421" s="20"/>
      <c r="E421" s="20"/>
      <c r="F421" s="79"/>
      <c r="G421" s="20"/>
      <c r="H421" s="20"/>
      <c r="I421" s="6"/>
      <c r="J421" s="6"/>
      <c r="K421" s="6"/>
      <c r="L421" s="6"/>
      <c r="M421" s="6"/>
      <c r="N421" s="6"/>
      <c r="O421" s="6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 spans="1:28" ht="15.8" customHeight="1">
      <c r="A422" s="20"/>
      <c r="B422" s="6"/>
      <c r="C422" s="20"/>
      <c r="D422" s="20"/>
      <c r="E422" s="20"/>
      <c r="F422" s="79"/>
      <c r="G422" s="20"/>
      <c r="H422" s="20"/>
      <c r="I422" s="6"/>
      <c r="J422" s="6"/>
      <c r="K422" s="6"/>
      <c r="L422" s="6"/>
      <c r="M422" s="6"/>
      <c r="N422" s="6"/>
      <c r="O422" s="6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 spans="1:28" ht="15.8" customHeight="1">
      <c r="A423" s="16" t="s">
        <v>1359</v>
      </c>
      <c r="B423" s="6"/>
      <c r="C423" s="6"/>
      <c r="D423" s="6"/>
      <c r="E423" s="86" t="s">
        <v>744</v>
      </c>
      <c r="F423" s="94"/>
      <c r="G423" s="6"/>
      <c r="H423" s="20"/>
      <c r="I423" s="87"/>
      <c r="J423" s="87"/>
      <c r="K423" s="87"/>
      <c r="L423" s="87"/>
      <c r="M423" s="87"/>
      <c r="N423" s="87"/>
      <c r="O423" s="6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 spans="1:28" ht="15.8" customHeight="1">
      <c r="A424" s="41" t="s">
        <v>1362</v>
      </c>
      <c r="B424" s="41"/>
      <c r="C424" s="20"/>
      <c r="D424" s="20"/>
      <c r="E424" s="20" t="s">
        <v>1054</v>
      </c>
      <c r="F424" s="79"/>
      <c r="G424" s="20"/>
      <c r="H424" s="20" t="s">
        <v>266</v>
      </c>
      <c r="I424" s="6"/>
      <c r="J424" s="6"/>
      <c r="K424" s="6"/>
      <c r="L424" s="6"/>
      <c r="M424" s="6"/>
      <c r="N424" s="6"/>
      <c r="O424" s="6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 spans="1:28" ht="15.8" customHeight="1">
      <c r="A425" s="43"/>
      <c r="B425" s="44"/>
      <c r="C425" s="44"/>
      <c r="D425" s="44"/>
      <c r="E425" s="44"/>
      <c r="F425" s="45"/>
      <c r="G425" s="46"/>
      <c r="H425" s="46"/>
      <c r="I425" s="44"/>
      <c r="J425" s="44"/>
      <c r="K425" s="44"/>
      <c r="L425" s="44"/>
      <c r="M425" s="44"/>
      <c r="N425" s="44"/>
      <c r="O425" s="6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 spans="1:28" ht="19.55" customHeight="1">
      <c r="A426" s="16" t="s">
        <v>79</v>
      </c>
      <c r="B426" s="16"/>
      <c r="C426" s="4" t="s">
        <v>1369</v>
      </c>
      <c r="D426" s="16"/>
      <c r="E426" s="22"/>
      <c r="F426" s="23"/>
      <c r="G426" s="17"/>
      <c r="H426" s="19" t="s">
        <v>82</v>
      </c>
      <c r="I426" s="17"/>
      <c r="J426" s="17"/>
      <c r="K426" s="17"/>
      <c r="L426" s="17"/>
      <c r="M426" s="20"/>
      <c r="N426" s="20"/>
      <c r="O426" s="6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 spans="1:28" ht="9" customHeight="1">
      <c r="A427" s="20"/>
      <c r="B427" s="24"/>
      <c r="C427" s="24"/>
      <c r="D427" s="24"/>
      <c r="E427" s="25"/>
      <c r="F427" s="14"/>
      <c r="G427" s="20"/>
      <c r="H427" s="26"/>
      <c r="I427" s="27"/>
      <c r="J427" s="27"/>
      <c r="K427" s="27"/>
      <c r="L427" s="27"/>
      <c r="M427" s="27"/>
      <c r="N427" s="27"/>
      <c r="O427" s="6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 spans="1:28" ht="15.8" customHeight="1">
      <c r="A428" s="176" t="s">
        <v>84</v>
      </c>
      <c r="B428" s="177"/>
      <c r="C428" s="178" t="s">
        <v>85</v>
      </c>
      <c r="D428" s="179"/>
      <c r="E428" s="180"/>
      <c r="F428" s="184" t="s">
        <v>86</v>
      </c>
      <c r="G428" s="176" t="s">
        <v>87</v>
      </c>
      <c r="H428" s="186"/>
      <c r="I428" s="186"/>
      <c r="J428" s="186"/>
      <c r="K428" s="186"/>
      <c r="L428" s="186"/>
      <c r="M428" s="177"/>
      <c r="N428" s="184" t="s">
        <v>88</v>
      </c>
      <c r="O428" s="6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 spans="1:28" ht="15.8" customHeight="1">
      <c r="A429" s="28" t="s">
        <v>90</v>
      </c>
      <c r="B429" s="28" t="s">
        <v>91</v>
      </c>
      <c r="C429" s="181"/>
      <c r="D429" s="182"/>
      <c r="E429" s="183"/>
      <c r="F429" s="185"/>
      <c r="G429" s="28"/>
      <c r="H429" s="28"/>
      <c r="I429" s="28"/>
      <c r="J429" s="28"/>
      <c r="K429" s="28"/>
      <c r="L429" s="28"/>
      <c r="M429" s="28"/>
      <c r="N429" s="185"/>
      <c r="O429" s="6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 spans="1:28" ht="18" customHeight="1">
      <c r="A430" s="1">
        <v>1</v>
      </c>
      <c r="B430" s="1">
        <v>262710321</v>
      </c>
      <c r="C430" s="132" t="s">
        <v>1378</v>
      </c>
      <c r="D430" s="51"/>
      <c r="E430" s="52"/>
      <c r="F430" s="152" t="s">
        <v>1</v>
      </c>
      <c r="G430" s="36"/>
      <c r="H430" s="36"/>
      <c r="I430" s="36"/>
      <c r="J430" s="36"/>
      <c r="K430" s="36"/>
      <c r="L430" s="36"/>
      <c r="M430" s="36"/>
      <c r="N430" s="36"/>
      <c r="O430" s="6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 spans="1:28" ht="18" customHeight="1">
      <c r="A431" s="1">
        <f t="shared" ref="A431:A475" si="16">A430+1</f>
        <v>2</v>
      </c>
      <c r="B431" s="1">
        <v>262710322</v>
      </c>
      <c r="C431" s="132" t="s">
        <v>1382</v>
      </c>
      <c r="D431" s="51"/>
      <c r="E431" s="52"/>
      <c r="F431" s="152" t="s">
        <v>1</v>
      </c>
      <c r="G431" s="36"/>
      <c r="H431" s="36"/>
      <c r="I431" s="36"/>
      <c r="J431" s="36"/>
      <c r="K431" s="36"/>
      <c r="L431" s="36"/>
      <c r="M431" s="36"/>
      <c r="N431" s="36"/>
      <c r="O431" s="6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 spans="1:28" ht="18" customHeight="1">
      <c r="A432" s="1">
        <f t="shared" si="16"/>
        <v>3</v>
      </c>
      <c r="B432" s="1">
        <v>262710323</v>
      </c>
      <c r="C432" s="132" t="s">
        <v>1385</v>
      </c>
      <c r="D432" s="51"/>
      <c r="E432" s="52"/>
      <c r="F432" s="152" t="s">
        <v>3</v>
      </c>
      <c r="G432" s="36"/>
      <c r="H432" s="36"/>
      <c r="I432" s="36"/>
      <c r="J432" s="36"/>
      <c r="K432" s="36"/>
      <c r="L432" s="36"/>
      <c r="M432" s="36"/>
      <c r="N432" s="36"/>
      <c r="O432" s="6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 spans="1:28" ht="18" customHeight="1">
      <c r="A433" s="1">
        <f t="shared" si="16"/>
        <v>4</v>
      </c>
      <c r="B433" s="1">
        <v>262710324</v>
      </c>
      <c r="C433" s="132" t="s">
        <v>1388</v>
      </c>
      <c r="D433" s="51"/>
      <c r="E433" s="52"/>
      <c r="F433" s="152" t="s">
        <v>3</v>
      </c>
      <c r="G433" s="36"/>
      <c r="H433" s="36"/>
      <c r="I433" s="36"/>
      <c r="J433" s="36"/>
      <c r="K433" s="36"/>
      <c r="L433" s="36"/>
      <c r="M433" s="36"/>
      <c r="N433" s="36"/>
      <c r="O433" s="6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 spans="1:28" ht="18" customHeight="1">
      <c r="A434" s="1">
        <f t="shared" si="16"/>
        <v>5</v>
      </c>
      <c r="B434" s="1">
        <v>262710325</v>
      </c>
      <c r="C434" s="132" t="s">
        <v>1391</v>
      </c>
      <c r="D434" s="51"/>
      <c r="E434" s="52"/>
      <c r="F434" s="152" t="s">
        <v>3</v>
      </c>
      <c r="G434" s="36"/>
      <c r="H434" s="36"/>
      <c r="I434" s="36"/>
      <c r="J434" s="36"/>
      <c r="K434" s="36"/>
      <c r="L434" s="36"/>
      <c r="M434" s="36"/>
      <c r="N434" s="36"/>
      <c r="O434" s="6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 spans="1:28" ht="18" customHeight="1">
      <c r="A435" s="1">
        <f t="shared" si="16"/>
        <v>6</v>
      </c>
      <c r="B435" s="1">
        <v>262710326</v>
      </c>
      <c r="C435" s="132" t="s">
        <v>1394</v>
      </c>
      <c r="D435" s="51"/>
      <c r="E435" s="52"/>
      <c r="F435" s="152" t="s">
        <v>3</v>
      </c>
      <c r="G435" s="36"/>
      <c r="H435" s="36"/>
      <c r="I435" s="36"/>
      <c r="J435" s="36"/>
      <c r="K435" s="36"/>
      <c r="L435" s="36"/>
      <c r="M435" s="36"/>
      <c r="N435" s="36"/>
      <c r="O435" s="6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 spans="1:28" ht="18" customHeight="1">
      <c r="A436" s="1">
        <f t="shared" si="16"/>
        <v>7</v>
      </c>
      <c r="B436" s="1">
        <v>262710327</v>
      </c>
      <c r="C436" s="132" t="s">
        <v>1398</v>
      </c>
      <c r="D436" s="51"/>
      <c r="E436" s="52"/>
      <c r="F436" s="152" t="s">
        <v>1</v>
      </c>
      <c r="G436" s="36"/>
      <c r="H436" s="36"/>
      <c r="I436" s="36"/>
      <c r="J436" s="36"/>
      <c r="K436" s="36"/>
      <c r="L436" s="36"/>
      <c r="M436" s="36"/>
      <c r="N436" s="36"/>
      <c r="O436" s="6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 spans="1:28" ht="18" customHeight="1">
      <c r="A437" s="1">
        <f t="shared" si="16"/>
        <v>8</v>
      </c>
      <c r="B437" s="1">
        <v>262710328</v>
      </c>
      <c r="C437" s="132" t="s">
        <v>1399</v>
      </c>
      <c r="D437" s="51"/>
      <c r="E437" s="52"/>
      <c r="F437" s="152" t="s">
        <v>3</v>
      </c>
      <c r="G437" s="36"/>
      <c r="H437" s="36"/>
      <c r="I437" s="36"/>
      <c r="J437" s="36"/>
      <c r="K437" s="36"/>
      <c r="L437" s="36"/>
      <c r="M437" s="36"/>
      <c r="N437" s="36"/>
      <c r="O437" s="6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 spans="1:28" ht="18" customHeight="1">
      <c r="A438" s="1">
        <f t="shared" si="16"/>
        <v>9</v>
      </c>
      <c r="B438" s="1">
        <v>262710329</v>
      </c>
      <c r="C438" s="132" t="s">
        <v>1401</v>
      </c>
      <c r="D438" s="51"/>
      <c r="E438" s="52"/>
      <c r="F438" s="152" t="s">
        <v>3</v>
      </c>
      <c r="G438" s="36"/>
      <c r="H438" s="36"/>
      <c r="I438" s="36"/>
      <c r="J438" s="36"/>
      <c r="K438" s="36"/>
      <c r="L438" s="36"/>
      <c r="M438" s="36"/>
      <c r="N438" s="36"/>
      <c r="O438" s="6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 spans="1:28" ht="18" customHeight="1">
      <c r="A439" s="1">
        <f t="shared" si="16"/>
        <v>10</v>
      </c>
      <c r="B439" s="1">
        <v>262710330</v>
      </c>
      <c r="C439" s="132" t="s">
        <v>1403</v>
      </c>
      <c r="D439" s="51"/>
      <c r="E439" s="52"/>
      <c r="F439" s="152" t="s">
        <v>3</v>
      </c>
      <c r="G439" s="36"/>
      <c r="H439" s="36"/>
      <c r="I439" s="36"/>
      <c r="J439" s="36"/>
      <c r="K439" s="36"/>
      <c r="L439" s="36"/>
      <c r="M439" s="36"/>
      <c r="N439" s="36"/>
      <c r="O439" s="6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 spans="1:28" ht="18" customHeight="1">
      <c r="A440" s="1">
        <f t="shared" si="16"/>
        <v>11</v>
      </c>
      <c r="B440" s="1">
        <v>262710331</v>
      </c>
      <c r="C440" s="132" t="s">
        <v>1405</v>
      </c>
      <c r="D440" s="51"/>
      <c r="E440" s="52"/>
      <c r="F440" s="152" t="s">
        <v>1</v>
      </c>
      <c r="G440" s="36"/>
      <c r="H440" s="36"/>
      <c r="I440" s="36"/>
      <c r="J440" s="36"/>
      <c r="K440" s="36"/>
      <c r="L440" s="36"/>
      <c r="M440" s="36"/>
      <c r="N440" s="36"/>
      <c r="O440" s="6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 spans="1:28" ht="18" customHeight="1">
      <c r="A441" s="1">
        <f t="shared" si="16"/>
        <v>12</v>
      </c>
      <c r="B441" s="1">
        <v>262710332</v>
      </c>
      <c r="C441" s="132" t="s">
        <v>1407</v>
      </c>
      <c r="D441" s="51"/>
      <c r="E441" s="52"/>
      <c r="F441" s="152" t="s">
        <v>1</v>
      </c>
      <c r="G441" s="36"/>
      <c r="H441" s="36"/>
      <c r="I441" s="36"/>
      <c r="J441" s="36"/>
      <c r="K441" s="36"/>
      <c r="L441" s="36"/>
      <c r="M441" s="36"/>
      <c r="N441" s="36"/>
      <c r="O441" s="6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 spans="1:28" ht="18" customHeight="1">
      <c r="A442" s="1">
        <f t="shared" si="16"/>
        <v>13</v>
      </c>
      <c r="B442" s="1">
        <v>262710333</v>
      </c>
      <c r="C442" s="132" t="s">
        <v>1409</v>
      </c>
      <c r="D442" s="51"/>
      <c r="E442" s="52"/>
      <c r="F442" s="152" t="s">
        <v>3</v>
      </c>
      <c r="G442" s="36"/>
      <c r="H442" s="36"/>
      <c r="I442" s="36"/>
      <c r="J442" s="36"/>
      <c r="K442" s="36"/>
      <c r="L442" s="36"/>
      <c r="M442" s="36"/>
      <c r="N442" s="36"/>
      <c r="O442" s="6"/>
      <c r="P442" s="7"/>
      <c r="Q442" s="7"/>
      <c r="R442" s="7" t="s">
        <v>1121</v>
      </c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 spans="1:28" ht="18" customHeight="1">
      <c r="A443" s="1">
        <f t="shared" si="16"/>
        <v>14</v>
      </c>
      <c r="B443" s="1">
        <v>262710334</v>
      </c>
      <c r="C443" s="132" t="s">
        <v>1411</v>
      </c>
      <c r="D443" s="51"/>
      <c r="E443" s="52"/>
      <c r="F443" s="152" t="s">
        <v>1</v>
      </c>
      <c r="G443" s="36"/>
      <c r="H443" s="36"/>
      <c r="I443" s="36"/>
      <c r="J443" s="36"/>
      <c r="K443" s="36"/>
      <c r="L443" s="36"/>
      <c r="M443" s="36"/>
      <c r="N443" s="36"/>
      <c r="O443" s="6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 spans="1:28" ht="18" customHeight="1">
      <c r="A444" s="1">
        <f t="shared" si="16"/>
        <v>15</v>
      </c>
      <c r="B444" s="1">
        <v>262710335</v>
      </c>
      <c r="C444" s="132" t="s">
        <v>1413</v>
      </c>
      <c r="D444" s="51"/>
      <c r="E444" s="52"/>
      <c r="F444" s="152" t="s">
        <v>3</v>
      </c>
      <c r="G444" s="36"/>
      <c r="H444" s="36"/>
      <c r="I444" s="36"/>
      <c r="J444" s="36"/>
      <c r="K444" s="36"/>
      <c r="L444" s="36"/>
      <c r="M444" s="36"/>
      <c r="N444" s="36"/>
      <c r="O444" s="6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 spans="1:28" ht="18" customHeight="1">
      <c r="A445" s="1">
        <f t="shared" si="16"/>
        <v>16</v>
      </c>
      <c r="B445" s="1">
        <v>262710336</v>
      </c>
      <c r="C445" s="132" t="s">
        <v>1415</v>
      </c>
      <c r="D445" s="51"/>
      <c r="E445" s="52"/>
      <c r="F445" s="152" t="s">
        <v>1</v>
      </c>
      <c r="G445" s="36"/>
      <c r="H445" s="36"/>
      <c r="I445" s="36"/>
      <c r="J445" s="36"/>
      <c r="K445" s="36"/>
      <c r="L445" s="36"/>
      <c r="M445" s="36"/>
      <c r="N445" s="36"/>
      <c r="O445" s="6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 spans="1:28" ht="18" customHeight="1">
      <c r="A446" s="1">
        <f t="shared" si="16"/>
        <v>17</v>
      </c>
      <c r="B446" s="1">
        <v>262710337</v>
      </c>
      <c r="C446" s="132" t="s">
        <v>1416</v>
      </c>
      <c r="D446" s="51"/>
      <c r="E446" s="52"/>
      <c r="F446" s="152" t="s">
        <v>3</v>
      </c>
      <c r="G446" s="36"/>
      <c r="H446" s="36"/>
      <c r="I446" s="36"/>
      <c r="J446" s="36"/>
      <c r="K446" s="36"/>
      <c r="L446" s="36"/>
      <c r="M446" s="36"/>
      <c r="N446" s="36"/>
      <c r="O446" s="6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 spans="1:28" ht="18" customHeight="1">
      <c r="A447" s="1">
        <f t="shared" si="16"/>
        <v>18</v>
      </c>
      <c r="B447" s="1">
        <v>262710338</v>
      </c>
      <c r="C447" s="132" t="s">
        <v>1419</v>
      </c>
      <c r="D447" s="51"/>
      <c r="E447" s="52"/>
      <c r="F447" s="152" t="s">
        <v>1</v>
      </c>
      <c r="G447" s="36"/>
      <c r="H447" s="36"/>
      <c r="I447" s="36"/>
      <c r="J447" s="36"/>
      <c r="K447" s="36"/>
      <c r="L447" s="36"/>
      <c r="M447" s="36"/>
      <c r="N447" s="1"/>
      <c r="O447" s="6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 spans="1:28" ht="18" customHeight="1">
      <c r="A448" s="1">
        <f t="shared" si="16"/>
        <v>19</v>
      </c>
      <c r="B448" s="1">
        <v>262710339</v>
      </c>
      <c r="C448" s="132" t="s">
        <v>1423</v>
      </c>
      <c r="D448" s="51"/>
      <c r="E448" s="52"/>
      <c r="F448" s="152" t="s">
        <v>1</v>
      </c>
      <c r="G448" s="36"/>
      <c r="H448" s="36"/>
      <c r="I448" s="36"/>
      <c r="J448" s="36"/>
      <c r="K448" s="36"/>
      <c r="L448" s="36"/>
      <c r="M448" s="36"/>
      <c r="N448" s="36"/>
      <c r="O448" s="6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 spans="1:28" ht="18" customHeight="1">
      <c r="A449" s="1">
        <f t="shared" si="16"/>
        <v>20</v>
      </c>
      <c r="B449" s="1">
        <v>262710340</v>
      </c>
      <c r="C449" s="132" t="s">
        <v>1427</v>
      </c>
      <c r="D449" s="51"/>
      <c r="E449" s="52"/>
      <c r="F449" s="152" t="s">
        <v>3</v>
      </c>
      <c r="G449" s="85"/>
      <c r="H449" s="36"/>
      <c r="I449" s="36"/>
      <c r="J449" s="36"/>
      <c r="K449" s="36"/>
      <c r="L449" s="36"/>
      <c r="M449" s="36"/>
      <c r="N449" s="36"/>
      <c r="O449" s="6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 spans="1:28" ht="18" customHeight="1">
      <c r="A450" s="123">
        <f t="shared" si="16"/>
        <v>21</v>
      </c>
      <c r="B450" s="1">
        <v>262710341</v>
      </c>
      <c r="C450" s="132" t="s">
        <v>1430</v>
      </c>
      <c r="D450" s="51"/>
      <c r="E450" s="52"/>
      <c r="F450" s="155" t="s">
        <v>1</v>
      </c>
      <c r="G450" s="156"/>
      <c r="H450" s="153"/>
      <c r="I450" s="78"/>
      <c r="J450" s="78"/>
      <c r="K450" s="78"/>
      <c r="L450" s="78"/>
      <c r="M450" s="78"/>
      <c r="N450" s="78"/>
      <c r="O450" s="21"/>
      <c r="P450" s="78" t="s">
        <v>627</v>
      </c>
      <c r="Q450" s="91"/>
      <c r="R450" s="91"/>
      <c r="S450" s="91"/>
      <c r="T450" s="91"/>
      <c r="U450" s="91"/>
      <c r="V450" s="91"/>
      <c r="W450" s="91"/>
      <c r="X450" s="91"/>
      <c r="Y450" s="91"/>
      <c r="Z450" s="91"/>
      <c r="AA450" s="91"/>
      <c r="AB450" s="91"/>
    </row>
    <row r="451" spans="1:28" ht="18" customHeight="1">
      <c r="A451" s="123">
        <f t="shared" si="16"/>
        <v>22</v>
      </c>
      <c r="B451" s="1">
        <v>262710342</v>
      </c>
      <c r="C451" s="132" t="s">
        <v>1433</v>
      </c>
      <c r="D451" s="51"/>
      <c r="E451" s="52"/>
      <c r="F451" s="155" t="s">
        <v>1</v>
      </c>
      <c r="G451" s="156"/>
      <c r="H451" s="153"/>
      <c r="I451" s="78"/>
      <c r="J451" s="78"/>
      <c r="K451" s="78"/>
      <c r="L451" s="78"/>
      <c r="M451" s="78"/>
      <c r="N451" s="78"/>
      <c r="O451" s="21"/>
      <c r="P451" s="78" t="s">
        <v>1395</v>
      </c>
      <c r="Q451" s="91"/>
      <c r="R451" s="91"/>
      <c r="S451" s="91"/>
      <c r="T451" s="91"/>
      <c r="U451" s="91"/>
      <c r="V451" s="91"/>
      <c r="W451" s="91"/>
      <c r="X451" s="91"/>
      <c r="Y451" s="91"/>
      <c r="Z451" s="91"/>
      <c r="AA451" s="91"/>
      <c r="AB451" s="91"/>
    </row>
    <row r="452" spans="1:28" ht="18" customHeight="1">
      <c r="A452" s="1">
        <f t="shared" si="16"/>
        <v>23</v>
      </c>
      <c r="B452" s="1">
        <v>262710343</v>
      </c>
      <c r="C452" s="132" t="s">
        <v>1435</v>
      </c>
      <c r="D452" s="51"/>
      <c r="E452" s="52"/>
      <c r="F452" s="152" t="s">
        <v>1</v>
      </c>
      <c r="G452" s="154"/>
      <c r="H452" s="36"/>
      <c r="I452" s="36"/>
      <c r="J452" s="36"/>
      <c r="K452" s="36"/>
      <c r="L452" s="36"/>
      <c r="M452" s="36"/>
      <c r="N452" s="36"/>
      <c r="O452" s="6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 spans="1:28" ht="18" customHeight="1">
      <c r="A453" s="1">
        <f t="shared" si="16"/>
        <v>24</v>
      </c>
      <c r="B453" s="1">
        <v>262710344</v>
      </c>
      <c r="C453" s="132" t="s">
        <v>1438</v>
      </c>
      <c r="D453" s="51"/>
      <c r="E453" s="52"/>
      <c r="F453" s="152" t="s">
        <v>1</v>
      </c>
      <c r="G453" s="36"/>
      <c r="H453" s="36"/>
      <c r="I453" s="36"/>
      <c r="J453" s="36"/>
      <c r="K453" s="36"/>
      <c r="L453" s="36"/>
      <c r="M453" s="36"/>
      <c r="N453" s="36"/>
      <c r="O453" s="6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 spans="1:28" ht="18" customHeight="1">
      <c r="A454" s="1">
        <f t="shared" si="16"/>
        <v>25</v>
      </c>
      <c r="B454" s="1">
        <v>262710345</v>
      </c>
      <c r="C454" s="132" t="s">
        <v>1441</v>
      </c>
      <c r="D454" s="51"/>
      <c r="E454" s="52"/>
      <c r="F454" s="152" t="s">
        <v>3</v>
      </c>
      <c r="G454" s="36"/>
      <c r="H454" s="36"/>
      <c r="I454" s="36"/>
      <c r="J454" s="36"/>
      <c r="K454" s="36"/>
      <c r="L454" s="36"/>
      <c r="M454" s="36"/>
      <c r="N454" s="36"/>
      <c r="O454" s="6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 spans="1:28" ht="18" customHeight="1">
      <c r="A455" s="1">
        <f t="shared" si="16"/>
        <v>26</v>
      </c>
      <c r="B455" s="1">
        <v>262710346</v>
      </c>
      <c r="C455" s="132" t="s">
        <v>1444</v>
      </c>
      <c r="D455" s="51"/>
      <c r="E455" s="52"/>
      <c r="F455" s="157" t="s">
        <v>1</v>
      </c>
      <c r="G455" s="36"/>
      <c r="H455" s="36"/>
      <c r="I455" s="36"/>
      <c r="J455" s="36"/>
      <c r="K455" s="36"/>
      <c r="L455" s="36"/>
      <c r="M455" s="36"/>
      <c r="N455" s="36"/>
      <c r="O455" s="6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 spans="1:28" ht="18" customHeight="1">
      <c r="A456" s="1">
        <f t="shared" si="16"/>
        <v>27</v>
      </c>
      <c r="B456" s="1">
        <v>262710347</v>
      </c>
      <c r="C456" s="132" t="s">
        <v>1446</v>
      </c>
      <c r="D456" s="51"/>
      <c r="E456" s="52"/>
      <c r="F456" s="152" t="s">
        <v>1</v>
      </c>
      <c r="G456" s="36"/>
      <c r="H456" s="36"/>
      <c r="I456" s="36"/>
      <c r="J456" s="36"/>
      <c r="K456" s="36"/>
      <c r="L456" s="36"/>
      <c r="M456" s="36"/>
      <c r="N456" s="36"/>
      <c r="O456" s="6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 spans="1:28" ht="18" customHeight="1">
      <c r="A457" s="1">
        <f t="shared" si="16"/>
        <v>28</v>
      </c>
      <c r="B457" s="1">
        <v>262710348</v>
      </c>
      <c r="C457" s="132" t="s">
        <v>1449</v>
      </c>
      <c r="D457" s="51"/>
      <c r="E457" s="52"/>
      <c r="F457" s="152" t="s">
        <v>1</v>
      </c>
      <c r="G457" s="36"/>
      <c r="H457" s="36"/>
      <c r="I457" s="36"/>
      <c r="J457" s="36"/>
      <c r="K457" s="36"/>
      <c r="L457" s="36"/>
      <c r="M457" s="36"/>
      <c r="N457" s="36"/>
      <c r="O457" s="6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 spans="1:28" ht="18" customHeight="1">
      <c r="A458" s="1">
        <f t="shared" si="16"/>
        <v>29</v>
      </c>
      <c r="B458" s="1">
        <v>262710349</v>
      </c>
      <c r="C458" s="132" t="s">
        <v>1452</v>
      </c>
      <c r="D458" s="51"/>
      <c r="E458" s="52"/>
      <c r="F458" s="152" t="s">
        <v>1</v>
      </c>
      <c r="G458" s="36"/>
      <c r="H458" s="36"/>
      <c r="I458" s="36"/>
      <c r="J458" s="36"/>
      <c r="K458" s="36"/>
      <c r="L458" s="36"/>
      <c r="M458" s="36"/>
      <c r="N458" s="36"/>
      <c r="O458" s="6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 spans="1:28" ht="18" customHeight="1">
      <c r="A459" s="1">
        <f t="shared" si="16"/>
        <v>30</v>
      </c>
      <c r="B459" s="1">
        <v>262710350</v>
      </c>
      <c r="C459" s="132" t="s">
        <v>1454</v>
      </c>
      <c r="D459" s="51"/>
      <c r="E459" s="52"/>
      <c r="F459" s="152" t="s">
        <v>1</v>
      </c>
      <c r="G459" s="36"/>
      <c r="H459" s="36"/>
      <c r="I459" s="36"/>
      <c r="J459" s="36"/>
      <c r="K459" s="36"/>
      <c r="L459" s="36"/>
      <c r="M459" s="36"/>
      <c r="N459" s="36"/>
      <c r="O459" s="6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 spans="1:28" ht="18" customHeight="1">
      <c r="A460" s="1">
        <f t="shared" si="16"/>
        <v>31</v>
      </c>
      <c r="B460" s="1">
        <v>262710351</v>
      </c>
      <c r="C460" s="132" t="s">
        <v>1457</v>
      </c>
      <c r="D460" s="51"/>
      <c r="E460" s="52"/>
      <c r="F460" s="152" t="s">
        <v>1</v>
      </c>
      <c r="G460" s="36"/>
      <c r="H460" s="36"/>
      <c r="I460" s="36"/>
      <c r="J460" s="36"/>
      <c r="K460" s="36"/>
      <c r="L460" s="36"/>
      <c r="M460" s="36"/>
      <c r="N460" s="36"/>
      <c r="O460" s="6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 spans="1:28" ht="18" customHeight="1">
      <c r="A461" s="1">
        <f t="shared" si="16"/>
        <v>32</v>
      </c>
      <c r="B461" s="1">
        <v>262710352</v>
      </c>
      <c r="C461" s="132" t="s">
        <v>1459</v>
      </c>
      <c r="D461" s="51"/>
      <c r="E461" s="52"/>
      <c r="F461" s="152" t="s">
        <v>3</v>
      </c>
      <c r="G461" s="36"/>
      <c r="H461" s="36"/>
      <c r="I461" s="36"/>
      <c r="J461" s="36"/>
      <c r="K461" s="36"/>
      <c r="L461" s="36"/>
      <c r="M461" s="36"/>
      <c r="N461" s="36"/>
      <c r="O461" s="6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 spans="1:28" ht="18" customHeight="1">
      <c r="A462" s="1">
        <f t="shared" si="16"/>
        <v>33</v>
      </c>
      <c r="B462" s="1">
        <v>262710353</v>
      </c>
      <c r="C462" s="132" t="s">
        <v>1461</v>
      </c>
      <c r="D462" s="51"/>
      <c r="E462" s="52"/>
      <c r="F462" s="152" t="s">
        <v>3</v>
      </c>
      <c r="G462" s="36"/>
      <c r="H462" s="36"/>
      <c r="I462" s="36"/>
      <c r="J462" s="36"/>
      <c r="K462" s="36"/>
      <c r="L462" s="36"/>
      <c r="M462" s="36"/>
      <c r="N462" s="36"/>
      <c r="O462" s="6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 spans="1:28" ht="18" customHeight="1">
      <c r="A463" s="1">
        <f t="shared" si="16"/>
        <v>34</v>
      </c>
      <c r="B463" s="1">
        <v>262710354</v>
      </c>
      <c r="C463" s="132" t="s">
        <v>1463</v>
      </c>
      <c r="D463" s="51"/>
      <c r="E463" s="52"/>
      <c r="F463" s="152" t="s">
        <v>3</v>
      </c>
      <c r="G463" s="36"/>
      <c r="H463" s="36"/>
      <c r="I463" s="36"/>
      <c r="J463" s="36"/>
      <c r="K463" s="36"/>
      <c r="L463" s="36"/>
      <c r="M463" s="36"/>
      <c r="N463" s="36"/>
      <c r="O463" s="6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 spans="1:28" ht="18" customHeight="1">
      <c r="A464" s="83">
        <f t="shared" si="16"/>
        <v>35</v>
      </c>
      <c r="B464" s="1">
        <v>262710355</v>
      </c>
      <c r="C464" s="132" t="s">
        <v>1465</v>
      </c>
      <c r="D464" s="51"/>
      <c r="E464" s="52"/>
      <c r="F464" s="158" t="s">
        <v>3</v>
      </c>
      <c r="G464" s="85"/>
      <c r="H464" s="85"/>
      <c r="I464" s="85"/>
      <c r="J464" s="85"/>
      <c r="K464" s="85"/>
      <c r="L464" s="85"/>
      <c r="M464" s="85"/>
      <c r="N464" s="85"/>
      <c r="O464" s="6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 spans="1:28" ht="18" customHeight="1">
      <c r="A465" s="1">
        <f t="shared" si="16"/>
        <v>36</v>
      </c>
      <c r="B465" s="1">
        <v>262710356</v>
      </c>
      <c r="C465" s="132" t="s">
        <v>1467</v>
      </c>
      <c r="D465" s="51"/>
      <c r="E465" s="52"/>
      <c r="F465" s="152" t="s">
        <v>3</v>
      </c>
      <c r="G465" s="36"/>
      <c r="H465" s="36"/>
      <c r="I465" s="36"/>
      <c r="J465" s="36"/>
      <c r="K465" s="36"/>
      <c r="L465" s="36"/>
      <c r="M465" s="36"/>
      <c r="N465" s="36"/>
      <c r="O465" s="6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 spans="1:28" ht="18" customHeight="1">
      <c r="A466" s="1">
        <f t="shared" si="16"/>
        <v>37</v>
      </c>
      <c r="B466" s="1">
        <v>262710357</v>
      </c>
      <c r="C466" s="132" t="s">
        <v>1469</v>
      </c>
      <c r="D466" s="51"/>
      <c r="E466" s="52"/>
      <c r="F466" s="152" t="s">
        <v>1</v>
      </c>
      <c r="G466" s="36"/>
      <c r="H466" s="36"/>
      <c r="I466" s="36"/>
      <c r="J466" s="36"/>
      <c r="K466" s="36"/>
      <c r="L466" s="36"/>
      <c r="M466" s="36"/>
      <c r="N466" s="36"/>
      <c r="O466" s="6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 spans="1:28" ht="18" customHeight="1">
      <c r="A467" s="1">
        <f t="shared" si="16"/>
        <v>38</v>
      </c>
      <c r="B467" s="1">
        <v>262710358</v>
      </c>
      <c r="C467" s="132" t="s">
        <v>1471</v>
      </c>
      <c r="D467" s="51"/>
      <c r="E467" s="52"/>
      <c r="F467" s="152" t="s">
        <v>3</v>
      </c>
      <c r="G467" s="36"/>
      <c r="H467" s="36"/>
      <c r="I467" s="36"/>
      <c r="J467" s="36"/>
      <c r="K467" s="36"/>
      <c r="L467" s="36"/>
      <c r="M467" s="36"/>
      <c r="N467" s="36"/>
      <c r="O467" s="6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 spans="1:28" ht="18" customHeight="1">
      <c r="A468" s="1">
        <f t="shared" si="16"/>
        <v>39</v>
      </c>
      <c r="B468" s="1">
        <v>262710359</v>
      </c>
      <c r="C468" s="132" t="s">
        <v>1473</v>
      </c>
      <c r="D468" s="51"/>
      <c r="E468" s="52"/>
      <c r="F468" s="152" t="s">
        <v>1</v>
      </c>
      <c r="G468" s="36"/>
      <c r="H468" s="36"/>
      <c r="I468" s="36"/>
      <c r="J468" s="36"/>
      <c r="K468" s="36"/>
      <c r="L468" s="36"/>
      <c r="M468" s="36"/>
      <c r="N468" s="36"/>
      <c r="O468" s="6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 spans="1:28" ht="18" customHeight="1">
      <c r="A469" s="1">
        <f t="shared" si="16"/>
        <v>40</v>
      </c>
      <c r="B469" s="1">
        <v>262710360</v>
      </c>
      <c r="C469" s="132" t="s">
        <v>1477</v>
      </c>
      <c r="D469" s="51"/>
      <c r="E469" s="52"/>
      <c r="F469" s="152" t="s">
        <v>3</v>
      </c>
      <c r="G469" s="36"/>
      <c r="H469" s="36"/>
      <c r="I469" s="36"/>
      <c r="J469" s="36"/>
      <c r="K469" s="36"/>
      <c r="L469" s="36"/>
      <c r="M469" s="36"/>
      <c r="N469" s="36"/>
      <c r="O469" s="6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 spans="1:28" ht="18" customHeight="1">
      <c r="A470" s="1">
        <f t="shared" si="16"/>
        <v>41</v>
      </c>
      <c r="B470" s="1">
        <v>262710361</v>
      </c>
      <c r="C470" s="132" t="s">
        <v>1480</v>
      </c>
      <c r="D470" s="51"/>
      <c r="E470" s="52"/>
      <c r="F470" s="152" t="s">
        <v>3</v>
      </c>
      <c r="G470" s="36"/>
      <c r="H470" s="36"/>
      <c r="I470" s="36"/>
      <c r="J470" s="36"/>
      <c r="K470" s="36"/>
      <c r="L470" s="36"/>
      <c r="M470" s="36"/>
      <c r="N470" s="36"/>
      <c r="O470" s="6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 spans="1:28" ht="18" customHeight="1">
      <c r="A471" s="1">
        <f t="shared" si="16"/>
        <v>42</v>
      </c>
      <c r="B471" s="1">
        <v>262710362</v>
      </c>
      <c r="C471" s="132" t="s">
        <v>1482</v>
      </c>
      <c r="D471" s="51"/>
      <c r="E471" s="52"/>
      <c r="F471" s="152" t="s">
        <v>3</v>
      </c>
      <c r="G471" s="36"/>
      <c r="H471" s="36"/>
      <c r="I471" s="36"/>
      <c r="J471" s="36"/>
      <c r="K471" s="36"/>
      <c r="L471" s="36"/>
      <c r="M471" s="36"/>
      <c r="N471" s="36"/>
      <c r="O471" s="6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 spans="1:28" ht="18" customHeight="1">
      <c r="A472" s="1">
        <f t="shared" si="16"/>
        <v>43</v>
      </c>
      <c r="B472" s="1">
        <v>262710363</v>
      </c>
      <c r="C472" s="132" t="s">
        <v>1485</v>
      </c>
      <c r="D472" s="51"/>
      <c r="E472" s="52"/>
      <c r="F472" s="152" t="s">
        <v>3</v>
      </c>
      <c r="G472" s="36"/>
      <c r="H472" s="36"/>
      <c r="I472" s="36"/>
      <c r="J472" s="36"/>
      <c r="K472" s="36"/>
      <c r="L472" s="36"/>
      <c r="M472" s="36"/>
      <c r="N472" s="36"/>
      <c r="O472" s="6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 spans="1:28" ht="18" customHeight="1">
      <c r="A473" s="1">
        <f t="shared" si="16"/>
        <v>44</v>
      </c>
      <c r="B473" s="1">
        <v>262710364</v>
      </c>
      <c r="C473" s="132" t="s">
        <v>1488</v>
      </c>
      <c r="D473" s="51"/>
      <c r="E473" s="52"/>
      <c r="F473" s="152" t="s">
        <v>3</v>
      </c>
      <c r="G473" s="36"/>
      <c r="H473" s="36"/>
      <c r="I473" s="36"/>
      <c r="J473" s="36"/>
      <c r="K473" s="36"/>
      <c r="L473" s="36"/>
      <c r="M473" s="36"/>
      <c r="N473" s="36"/>
      <c r="O473" s="6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 spans="1:28" ht="18" customHeight="1">
      <c r="A474" s="1">
        <f t="shared" si="16"/>
        <v>45</v>
      </c>
      <c r="B474" s="1">
        <v>262710365</v>
      </c>
      <c r="C474" s="132" t="s">
        <v>1490</v>
      </c>
      <c r="D474" s="51"/>
      <c r="E474" s="52"/>
      <c r="F474" s="152" t="s">
        <v>1</v>
      </c>
      <c r="G474" s="36"/>
      <c r="H474" s="36"/>
      <c r="I474" s="36"/>
      <c r="J474" s="36"/>
      <c r="K474" s="36"/>
      <c r="L474" s="36"/>
      <c r="M474" s="36"/>
      <c r="N474" s="36"/>
      <c r="O474" s="6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 spans="1:28" ht="18" customHeight="1">
      <c r="A475" s="1">
        <f t="shared" si="16"/>
        <v>46</v>
      </c>
      <c r="B475" s="1">
        <v>262710366</v>
      </c>
      <c r="C475" s="132" t="s">
        <v>1493</v>
      </c>
      <c r="D475" s="51"/>
      <c r="E475" s="52"/>
      <c r="F475" s="152" t="s">
        <v>3</v>
      </c>
      <c r="G475" s="36"/>
      <c r="H475" s="36"/>
      <c r="I475" s="36"/>
      <c r="J475" s="36"/>
      <c r="K475" s="36"/>
      <c r="L475" s="36"/>
      <c r="M475" s="36"/>
      <c r="N475" s="36"/>
      <c r="O475" s="6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 spans="1:28" ht="15.8" customHeight="1">
      <c r="A476" s="79"/>
      <c r="B476" s="79"/>
      <c r="C476" s="20" t="s">
        <v>1181</v>
      </c>
      <c r="D476" s="20"/>
      <c r="E476" s="20"/>
      <c r="F476" s="80" t="s">
        <v>1</v>
      </c>
      <c r="G476" s="80">
        <f>COUNTIF(F430:F475,"L")</f>
        <v>22</v>
      </c>
      <c r="H476" s="20"/>
      <c r="I476" s="20"/>
      <c r="J476" s="20"/>
      <c r="K476" s="20"/>
      <c r="L476" s="20"/>
      <c r="M476" s="20"/>
      <c r="N476" s="20"/>
      <c r="O476" s="6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 spans="1:28" ht="15.8" customHeight="1">
      <c r="A477" s="79"/>
      <c r="B477" s="79"/>
      <c r="C477" s="20"/>
      <c r="D477" s="20"/>
      <c r="E477" s="20"/>
      <c r="F477" s="30" t="s">
        <v>3</v>
      </c>
      <c r="G477" s="30">
        <f>COUNTIF(F430:F476,"P")</f>
        <v>24</v>
      </c>
      <c r="H477" s="20"/>
      <c r="I477" s="20"/>
      <c r="J477" s="20"/>
      <c r="K477" s="20"/>
      <c r="L477" s="20"/>
      <c r="M477" s="20"/>
      <c r="N477" s="20"/>
      <c r="O477" s="6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 spans="1:28" ht="15.8" customHeight="1">
      <c r="A478" s="79"/>
      <c r="B478" s="79"/>
      <c r="C478" s="20"/>
      <c r="D478" s="20"/>
      <c r="E478" s="20"/>
      <c r="F478" s="81" t="s">
        <v>251</v>
      </c>
      <c r="G478" s="81">
        <f>SUM(G476:G477)</f>
        <v>46</v>
      </c>
      <c r="H478" s="20"/>
      <c r="I478" s="20"/>
      <c r="J478" s="20"/>
      <c r="K478" s="20"/>
      <c r="L478" s="20"/>
      <c r="M478" s="20"/>
      <c r="N478" s="20"/>
      <c r="O478" s="6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 spans="1:28" ht="15.8" customHeight="1">
      <c r="A479" s="20" t="s">
        <v>275</v>
      </c>
      <c r="B479" s="6"/>
      <c r="C479" s="20"/>
      <c r="D479" s="20"/>
      <c r="E479" s="20"/>
      <c r="F479" s="94"/>
      <c r="G479" s="6"/>
      <c r="H479" s="6"/>
      <c r="I479" s="82" t="s">
        <v>254</v>
      </c>
      <c r="J479" s="6"/>
      <c r="K479" s="6"/>
      <c r="L479" s="6"/>
      <c r="M479" s="6"/>
      <c r="N479" s="6"/>
      <c r="O479" s="6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 spans="1:28" ht="15.8" customHeight="1">
      <c r="A480" s="20" t="s">
        <v>280</v>
      </c>
      <c r="B480" s="6"/>
      <c r="C480" s="20"/>
      <c r="D480" s="20"/>
      <c r="E480" s="20" t="s">
        <v>281</v>
      </c>
      <c r="F480" s="94"/>
      <c r="G480" s="6"/>
      <c r="H480" s="6"/>
      <c r="I480" s="6" t="s">
        <v>256</v>
      </c>
      <c r="J480" s="6"/>
      <c r="K480" s="6"/>
      <c r="L480" s="6"/>
      <c r="M480" s="6"/>
      <c r="N480" s="6"/>
      <c r="O480" s="6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 spans="1:28" ht="15.8" customHeight="1">
      <c r="A481" s="20"/>
      <c r="B481" s="6"/>
      <c r="C481" s="20"/>
      <c r="D481" s="20"/>
      <c r="E481" s="20"/>
      <c r="F481" s="79"/>
      <c r="G481" s="20"/>
      <c r="H481" s="20"/>
      <c r="I481" s="6"/>
      <c r="J481" s="6"/>
      <c r="K481" s="6"/>
      <c r="L481" s="6"/>
      <c r="M481" s="6"/>
      <c r="N481" s="6"/>
      <c r="O481" s="6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 spans="1:28" ht="15.8" customHeight="1">
      <c r="A482" s="20"/>
      <c r="B482" s="6"/>
      <c r="C482" s="20"/>
      <c r="D482" s="20"/>
      <c r="E482" s="20"/>
      <c r="F482" s="79"/>
      <c r="G482" s="20"/>
      <c r="H482" s="20"/>
      <c r="I482" s="6"/>
      <c r="J482" s="6"/>
      <c r="K482" s="6"/>
      <c r="L482" s="6"/>
      <c r="M482" s="6"/>
      <c r="N482" s="6"/>
      <c r="O482" s="6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 spans="1:28" ht="15.8" customHeight="1">
      <c r="A483" s="24" t="s">
        <v>1512</v>
      </c>
      <c r="B483" s="6"/>
      <c r="C483" s="6"/>
      <c r="D483" s="6"/>
      <c r="E483" s="86" t="s">
        <v>525</v>
      </c>
      <c r="F483" s="94"/>
      <c r="G483" s="6"/>
      <c r="H483" s="20"/>
      <c r="I483" s="87"/>
      <c r="J483" s="87"/>
      <c r="K483" s="87"/>
      <c r="L483" s="87"/>
      <c r="M483" s="87"/>
      <c r="N483" s="87"/>
      <c r="O483" s="6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 spans="1:28" ht="15.8" customHeight="1">
      <c r="A484" s="41" t="s">
        <v>1513</v>
      </c>
      <c r="B484" s="41"/>
      <c r="C484" s="20"/>
      <c r="D484" s="20"/>
      <c r="E484" s="20" t="s">
        <v>527</v>
      </c>
      <c r="F484" s="79"/>
      <c r="G484" s="20"/>
      <c r="H484" s="20" t="s">
        <v>266</v>
      </c>
      <c r="I484" s="6"/>
      <c r="J484" s="6"/>
      <c r="K484" s="6"/>
      <c r="L484" s="6"/>
      <c r="M484" s="6"/>
      <c r="N484" s="6"/>
      <c r="O484" s="6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 spans="1:28" ht="15.8" customHeight="1">
      <c r="A485" s="43"/>
      <c r="B485" s="44"/>
      <c r="C485" s="44"/>
      <c r="D485" s="44"/>
      <c r="E485" s="44"/>
      <c r="F485" s="45"/>
      <c r="G485" s="46"/>
      <c r="H485" s="46"/>
      <c r="I485" s="44"/>
      <c r="J485" s="44"/>
      <c r="K485" s="44"/>
      <c r="L485" s="44"/>
      <c r="M485" s="44"/>
      <c r="N485" s="44"/>
      <c r="O485" s="6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 spans="1:28" ht="14.3" customHeight="1">
      <c r="A486" s="16" t="s">
        <v>79</v>
      </c>
      <c r="B486" s="16"/>
      <c r="C486" s="4" t="s">
        <v>1516</v>
      </c>
      <c r="D486" s="16"/>
      <c r="E486" s="22"/>
      <c r="F486" s="23"/>
      <c r="G486" s="17"/>
      <c r="H486" s="19" t="s">
        <v>82</v>
      </c>
      <c r="I486" s="17"/>
      <c r="J486" s="17"/>
      <c r="K486" s="17"/>
      <c r="L486" s="17"/>
      <c r="M486" s="20"/>
      <c r="N486" s="20"/>
      <c r="O486" s="6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 spans="1:28" ht="14.3" customHeight="1">
      <c r="A487" s="20"/>
      <c r="B487" s="24"/>
      <c r="C487" s="24"/>
      <c r="D487" s="24"/>
      <c r="E487" s="25"/>
      <c r="F487" s="14"/>
      <c r="G487" s="20"/>
      <c r="H487" s="26"/>
      <c r="I487" s="27"/>
      <c r="J487" s="27"/>
      <c r="K487" s="27"/>
      <c r="L487" s="27"/>
      <c r="M487" s="27"/>
      <c r="N487" s="27"/>
      <c r="O487" s="6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 spans="1:28" ht="15.8" customHeight="1">
      <c r="A488" s="176" t="s">
        <v>84</v>
      </c>
      <c r="B488" s="177"/>
      <c r="C488" s="178" t="s">
        <v>85</v>
      </c>
      <c r="D488" s="179"/>
      <c r="E488" s="180"/>
      <c r="F488" s="184" t="s">
        <v>86</v>
      </c>
      <c r="G488" s="176" t="s">
        <v>87</v>
      </c>
      <c r="H488" s="186"/>
      <c r="I488" s="186"/>
      <c r="J488" s="186"/>
      <c r="K488" s="186"/>
      <c r="L488" s="186"/>
      <c r="M488" s="177"/>
      <c r="N488" s="184" t="s">
        <v>88</v>
      </c>
      <c r="O488" s="6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 spans="1:28" ht="15.8" customHeight="1">
      <c r="A489" s="28" t="s">
        <v>90</v>
      </c>
      <c r="B489" s="28" t="s">
        <v>91</v>
      </c>
      <c r="C489" s="181"/>
      <c r="D489" s="182"/>
      <c r="E489" s="183"/>
      <c r="F489" s="185"/>
      <c r="G489" s="28"/>
      <c r="H489" s="28"/>
      <c r="I489" s="28"/>
      <c r="J489" s="28"/>
      <c r="K489" s="28"/>
      <c r="L489" s="28"/>
      <c r="M489" s="28"/>
      <c r="N489" s="185"/>
      <c r="O489" s="6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 spans="1:28" ht="18" customHeight="1">
      <c r="A490" s="1">
        <v>1</v>
      </c>
      <c r="B490" s="1">
        <v>262710367</v>
      </c>
      <c r="C490" s="132" t="s">
        <v>1520</v>
      </c>
      <c r="D490" s="51"/>
      <c r="E490" s="52"/>
      <c r="F490" s="159" t="s">
        <v>1</v>
      </c>
      <c r="G490" s="36"/>
      <c r="H490" s="36"/>
      <c r="I490" s="36"/>
      <c r="J490" s="36"/>
      <c r="K490" s="36"/>
      <c r="L490" s="36"/>
      <c r="M490" s="36"/>
      <c r="N490" s="36"/>
      <c r="O490" s="6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 spans="1:28" ht="18" customHeight="1">
      <c r="A491" s="1">
        <f t="shared" ref="A491:A537" si="17">A490+1</f>
        <v>2</v>
      </c>
      <c r="B491" s="1">
        <v>262710368</v>
      </c>
      <c r="C491" s="132" t="s">
        <v>1522</v>
      </c>
      <c r="D491" s="51"/>
      <c r="E491" s="52"/>
      <c r="F491" s="159" t="s">
        <v>3</v>
      </c>
      <c r="G491" s="36"/>
      <c r="H491" s="36"/>
      <c r="I491" s="36"/>
      <c r="J491" s="36"/>
      <c r="K491" s="36"/>
      <c r="L491" s="36"/>
      <c r="M491" s="36"/>
      <c r="N491" s="36"/>
      <c r="O491" s="6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 spans="1:28" ht="18" customHeight="1">
      <c r="A492" s="1">
        <f t="shared" si="17"/>
        <v>3</v>
      </c>
      <c r="B492" s="1">
        <v>262710369</v>
      </c>
      <c r="C492" s="132" t="s">
        <v>1525</v>
      </c>
      <c r="D492" s="51"/>
      <c r="E492" s="52"/>
      <c r="F492" s="159" t="s">
        <v>1</v>
      </c>
      <c r="G492" s="36"/>
      <c r="H492" s="36"/>
      <c r="I492" s="36"/>
      <c r="J492" s="36"/>
      <c r="K492" s="36"/>
      <c r="L492" s="36"/>
      <c r="M492" s="36"/>
      <c r="N492" s="36"/>
      <c r="O492" s="6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 spans="1:28" ht="18" customHeight="1">
      <c r="A493" s="1">
        <f t="shared" si="17"/>
        <v>4</v>
      </c>
      <c r="B493" s="1">
        <v>262710370</v>
      </c>
      <c r="C493" s="132" t="s">
        <v>1528</v>
      </c>
      <c r="D493" s="51"/>
      <c r="E493" s="52"/>
      <c r="F493" s="159" t="s">
        <v>1</v>
      </c>
      <c r="G493" s="36"/>
      <c r="H493" s="36"/>
      <c r="I493" s="36"/>
      <c r="J493" s="36"/>
      <c r="K493" s="36"/>
      <c r="L493" s="36"/>
      <c r="M493" s="36"/>
      <c r="N493" s="36"/>
      <c r="O493" s="6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 spans="1:28" ht="18" customHeight="1">
      <c r="A494" s="1">
        <f t="shared" si="17"/>
        <v>5</v>
      </c>
      <c r="B494" s="1">
        <v>262710371</v>
      </c>
      <c r="C494" s="132" t="s">
        <v>1530</v>
      </c>
      <c r="D494" s="51"/>
      <c r="E494" s="52"/>
      <c r="F494" s="159" t="s">
        <v>3</v>
      </c>
      <c r="G494" s="36"/>
      <c r="H494" s="36"/>
      <c r="I494" s="36"/>
      <c r="J494" s="36"/>
      <c r="K494" s="36"/>
      <c r="L494" s="36"/>
      <c r="M494" s="36"/>
      <c r="N494" s="36"/>
      <c r="O494" s="6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 spans="1:28" ht="18" customHeight="1">
      <c r="A495" s="1">
        <f t="shared" si="17"/>
        <v>6</v>
      </c>
      <c r="B495" s="1">
        <v>262710372</v>
      </c>
      <c r="C495" s="132" t="s">
        <v>1532</v>
      </c>
      <c r="D495" s="51"/>
      <c r="E495" s="52"/>
      <c r="F495" s="159" t="s">
        <v>1</v>
      </c>
      <c r="G495" s="36"/>
      <c r="H495" s="36"/>
      <c r="I495" s="36"/>
      <c r="J495" s="36"/>
      <c r="K495" s="36"/>
      <c r="L495" s="36"/>
      <c r="M495" s="36"/>
      <c r="N495" s="36"/>
      <c r="O495" s="6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 spans="1:28" ht="18" customHeight="1">
      <c r="A496" s="1">
        <f t="shared" si="17"/>
        <v>7</v>
      </c>
      <c r="B496" s="1">
        <v>262710373</v>
      </c>
      <c r="C496" s="132" t="s">
        <v>1534</v>
      </c>
      <c r="D496" s="51"/>
      <c r="E496" s="52"/>
      <c r="F496" s="159" t="s">
        <v>3</v>
      </c>
      <c r="G496" s="36"/>
      <c r="H496" s="36"/>
      <c r="I496" s="36"/>
      <c r="J496" s="36"/>
      <c r="K496" s="36"/>
      <c r="L496" s="36"/>
      <c r="M496" s="36"/>
      <c r="N496" s="36"/>
      <c r="O496" s="6"/>
      <c r="P496" s="3"/>
      <c r="Q496" s="3"/>
      <c r="R496" s="3"/>
      <c r="S496" s="3"/>
      <c r="T496" s="7"/>
      <c r="U496" s="7"/>
      <c r="V496" s="7"/>
      <c r="W496" s="7"/>
      <c r="X496" s="7"/>
      <c r="Y496" s="7"/>
      <c r="Z496" s="7"/>
      <c r="AA496" s="7"/>
      <c r="AB496" s="7"/>
    </row>
    <row r="497" spans="1:28" ht="18" customHeight="1">
      <c r="A497" s="1">
        <f t="shared" si="17"/>
        <v>8</v>
      </c>
      <c r="B497" s="1">
        <v>262710374</v>
      </c>
      <c r="C497" s="132" t="s">
        <v>1536</v>
      </c>
      <c r="D497" s="51"/>
      <c r="E497" s="52"/>
      <c r="F497" s="159" t="s">
        <v>1</v>
      </c>
      <c r="G497" s="36"/>
      <c r="H497" s="36"/>
      <c r="I497" s="36"/>
      <c r="J497" s="36"/>
      <c r="K497" s="36"/>
      <c r="L497" s="36"/>
      <c r="M497" s="36"/>
      <c r="N497" s="36"/>
      <c r="O497" s="6"/>
      <c r="P497" s="3"/>
      <c r="Q497" s="3"/>
      <c r="R497" s="3"/>
      <c r="S497" s="3"/>
      <c r="T497" s="7"/>
      <c r="U497" s="7"/>
      <c r="V497" s="7"/>
      <c r="W497" s="7"/>
      <c r="X497" s="7"/>
      <c r="Y497" s="7"/>
      <c r="Z497" s="7"/>
      <c r="AA497" s="7"/>
      <c r="AB497" s="7"/>
    </row>
    <row r="498" spans="1:28" ht="18" customHeight="1">
      <c r="A498" s="1">
        <f t="shared" si="17"/>
        <v>9</v>
      </c>
      <c r="B498" s="1">
        <v>262710375</v>
      </c>
      <c r="C498" s="132" t="s">
        <v>1538</v>
      </c>
      <c r="D498" s="51"/>
      <c r="E498" s="52"/>
      <c r="F498" s="159" t="s">
        <v>3</v>
      </c>
      <c r="G498" s="36"/>
      <c r="H498" s="36"/>
      <c r="I498" s="36"/>
      <c r="J498" s="36"/>
      <c r="K498" s="36"/>
      <c r="L498" s="36"/>
      <c r="M498" s="36"/>
      <c r="N498" s="36"/>
      <c r="O498" s="6"/>
      <c r="P498" s="3"/>
      <c r="Q498" s="3"/>
      <c r="R498" s="3"/>
      <c r="S498" s="3"/>
      <c r="T498" s="7"/>
      <c r="U498" s="7"/>
      <c r="V498" s="7"/>
      <c r="W498" s="7"/>
      <c r="X498" s="7"/>
      <c r="Y498" s="7"/>
      <c r="Z498" s="7"/>
      <c r="AA498" s="7"/>
      <c r="AB498" s="7"/>
    </row>
    <row r="499" spans="1:28" ht="18" customHeight="1">
      <c r="A499" s="1">
        <f t="shared" si="17"/>
        <v>10</v>
      </c>
      <c r="B499" s="1">
        <v>262710376</v>
      </c>
      <c r="C499" s="132" t="s">
        <v>1540</v>
      </c>
      <c r="D499" s="51"/>
      <c r="E499" s="52"/>
      <c r="F499" s="159" t="s">
        <v>1</v>
      </c>
      <c r="G499" s="36"/>
      <c r="H499" s="36"/>
      <c r="I499" s="36"/>
      <c r="J499" s="36"/>
      <c r="K499" s="36"/>
      <c r="L499" s="36"/>
      <c r="M499" s="36"/>
      <c r="N499" s="36"/>
      <c r="O499" s="6"/>
      <c r="P499" s="3"/>
      <c r="Q499" s="3"/>
      <c r="R499" s="3"/>
      <c r="S499" s="3"/>
      <c r="T499" s="7"/>
      <c r="U499" s="7"/>
      <c r="V499" s="7"/>
      <c r="W499" s="7"/>
      <c r="X499" s="7"/>
      <c r="Y499" s="7"/>
      <c r="Z499" s="7"/>
      <c r="AA499" s="7"/>
      <c r="AB499" s="7"/>
    </row>
    <row r="500" spans="1:28" ht="18" customHeight="1">
      <c r="A500" s="1">
        <f t="shared" si="17"/>
        <v>11</v>
      </c>
      <c r="B500" s="1">
        <v>262710377</v>
      </c>
      <c r="C500" s="132" t="s">
        <v>1542</v>
      </c>
      <c r="D500" s="51"/>
      <c r="E500" s="52"/>
      <c r="F500" s="159" t="s">
        <v>3</v>
      </c>
      <c r="G500" s="36"/>
      <c r="H500" s="36"/>
      <c r="I500" s="36"/>
      <c r="J500" s="36"/>
      <c r="K500" s="36"/>
      <c r="L500" s="36"/>
      <c r="M500" s="36"/>
      <c r="N500" s="36"/>
      <c r="O500" s="6"/>
      <c r="P500" s="3"/>
      <c r="Q500" s="3"/>
      <c r="R500" s="3"/>
      <c r="S500" s="3"/>
      <c r="T500" s="7"/>
      <c r="U500" s="7"/>
      <c r="V500" s="7"/>
      <c r="W500" s="7"/>
      <c r="X500" s="7"/>
      <c r="Y500" s="7"/>
      <c r="Z500" s="7"/>
      <c r="AA500" s="7"/>
      <c r="AB500" s="7"/>
    </row>
    <row r="501" spans="1:28" ht="18" customHeight="1">
      <c r="A501" s="1">
        <f t="shared" si="17"/>
        <v>12</v>
      </c>
      <c r="B501" s="1">
        <v>262710378</v>
      </c>
      <c r="C501" s="132" t="s">
        <v>1545</v>
      </c>
      <c r="D501" s="51"/>
      <c r="E501" s="52"/>
      <c r="F501" s="159" t="s">
        <v>3</v>
      </c>
      <c r="G501" s="36"/>
      <c r="H501" s="36"/>
      <c r="I501" s="36"/>
      <c r="J501" s="36"/>
      <c r="K501" s="36"/>
      <c r="L501" s="36"/>
      <c r="M501" s="36"/>
      <c r="N501" s="36"/>
      <c r="O501" s="6"/>
      <c r="P501" s="3"/>
      <c r="Q501" s="3"/>
      <c r="R501" s="3"/>
      <c r="S501" s="3"/>
      <c r="T501" s="7"/>
      <c r="U501" s="7"/>
      <c r="V501" s="7"/>
      <c r="W501" s="7"/>
      <c r="X501" s="7"/>
      <c r="Y501" s="7"/>
      <c r="Z501" s="7"/>
      <c r="AA501" s="7"/>
      <c r="AB501" s="7"/>
    </row>
    <row r="502" spans="1:28" ht="18" customHeight="1">
      <c r="A502" s="1">
        <f t="shared" si="17"/>
        <v>13</v>
      </c>
      <c r="B502" s="1">
        <v>262710379</v>
      </c>
      <c r="C502" s="132" t="s">
        <v>1547</v>
      </c>
      <c r="D502" s="51"/>
      <c r="E502" s="52"/>
      <c r="F502" s="159" t="s">
        <v>1</v>
      </c>
      <c r="G502" s="36"/>
      <c r="H502" s="36"/>
      <c r="I502" s="36"/>
      <c r="J502" s="36"/>
      <c r="K502" s="36"/>
      <c r="L502" s="36"/>
      <c r="M502" s="36"/>
      <c r="N502" s="36"/>
      <c r="O502" s="6"/>
      <c r="P502" s="3"/>
      <c r="Q502" s="3"/>
      <c r="R502" s="3"/>
      <c r="S502" s="3"/>
      <c r="T502" s="7"/>
      <c r="U502" s="7"/>
      <c r="V502" s="7"/>
      <c r="W502" s="7"/>
      <c r="X502" s="7"/>
      <c r="Y502" s="7"/>
      <c r="Z502" s="7"/>
      <c r="AA502" s="7"/>
      <c r="AB502" s="7"/>
    </row>
    <row r="503" spans="1:28" ht="18" customHeight="1">
      <c r="A503" s="1">
        <f t="shared" si="17"/>
        <v>14</v>
      </c>
      <c r="B503" s="1">
        <v>262710380</v>
      </c>
      <c r="C503" s="132" t="s">
        <v>1550</v>
      </c>
      <c r="D503" s="51"/>
      <c r="E503" s="52"/>
      <c r="F503" s="159" t="s">
        <v>3</v>
      </c>
      <c r="G503" s="36"/>
      <c r="H503" s="36"/>
      <c r="I503" s="36"/>
      <c r="J503" s="36"/>
      <c r="K503" s="36"/>
      <c r="L503" s="36"/>
      <c r="M503" s="36"/>
      <c r="N503" s="36"/>
      <c r="O503" s="6"/>
      <c r="P503" s="3"/>
      <c r="Q503" s="3"/>
      <c r="R503" s="3"/>
      <c r="S503" s="3"/>
      <c r="T503" s="7"/>
      <c r="U503" s="7"/>
      <c r="V503" s="7"/>
      <c r="W503" s="7"/>
      <c r="X503" s="7"/>
      <c r="Y503" s="7"/>
      <c r="Z503" s="7"/>
      <c r="AA503" s="7"/>
      <c r="AB503" s="7"/>
    </row>
    <row r="504" spans="1:28" ht="18" customHeight="1">
      <c r="A504" s="1">
        <f t="shared" si="17"/>
        <v>15</v>
      </c>
      <c r="B504" s="1">
        <v>262710381</v>
      </c>
      <c r="C504" s="132" t="s">
        <v>1552</v>
      </c>
      <c r="D504" s="51"/>
      <c r="E504" s="52"/>
      <c r="F504" s="159" t="s">
        <v>3</v>
      </c>
      <c r="G504" s="36"/>
      <c r="H504" s="36"/>
      <c r="I504" s="36"/>
      <c r="J504" s="36"/>
      <c r="K504" s="36"/>
      <c r="L504" s="36"/>
      <c r="M504" s="36"/>
      <c r="N504" s="36"/>
      <c r="O504" s="6"/>
      <c r="P504" s="3"/>
      <c r="Q504" s="3"/>
      <c r="R504" s="3"/>
      <c r="S504" s="3"/>
      <c r="T504" s="7"/>
      <c r="U504" s="7"/>
      <c r="V504" s="7"/>
      <c r="W504" s="7"/>
      <c r="X504" s="7"/>
      <c r="Y504" s="7"/>
      <c r="Z504" s="7"/>
      <c r="AA504" s="7"/>
      <c r="AB504" s="7"/>
    </row>
    <row r="505" spans="1:28" ht="18" customHeight="1">
      <c r="A505" s="1">
        <f t="shared" si="17"/>
        <v>16</v>
      </c>
      <c r="B505" s="1">
        <v>262710382</v>
      </c>
      <c r="C505" s="132" t="s">
        <v>1554</v>
      </c>
      <c r="D505" s="51"/>
      <c r="E505" s="52"/>
      <c r="F505" s="159" t="s">
        <v>1</v>
      </c>
      <c r="G505" s="36"/>
      <c r="H505" s="36"/>
      <c r="I505" s="36"/>
      <c r="J505" s="36"/>
      <c r="K505" s="36"/>
      <c r="L505" s="36"/>
      <c r="M505" s="36"/>
      <c r="N505" s="36"/>
      <c r="O505" s="6"/>
      <c r="P505" s="3"/>
      <c r="Q505" s="3"/>
      <c r="R505" s="3"/>
      <c r="S505" s="3"/>
      <c r="T505" s="7"/>
      <c r="U505" s="7"/>
      <c r="V505" s="7"/>
      <c r="W505" s="7"/>
      <c r="X505" s="7"/>
      <c r="Y505" s="7"/>
      <c r="Z505" s="7"/>
      <c r="AA505" s="7"/>
      <c r="AB505" s="7"/>
    </row>
    <row r="506" spans="1:28" ht="18" customHeight="1">
      <c r="A506" s="1">
        <f t="shared" si="17"/>
        <v>17</v>
      </c>
      <c r="B506" s="1">
        <v>262710383</v>
      </c>
      <c r="C506" s="132" t="s">
        <v>1556</v>
      </c>
      <c r="D506" s="51"/>
      <c r="E506" s="52"/>
      <c r="F506" s="159" t="s">
        <v>3</v>
      </c>
      <c r="G506" s="36"/>
      <c r="H506" s="36"/>
      <c r="I506" s="36"/>
      <c r="J506" s="36"/>
      <c r="K506" s="36"/>
      <c r="L506" s="36"/>
      <c r="M506" s="36"/>
      <c r="N506" s="36"/>
      <c r="O506" s="6"/>
      <c r="P506" s="3"/>
      <c r="Q506" s="3"/>
      <c r="R506" s="3"/>
      <c r="S506" s="3"/>
      <c r="T506" s="7"/>
      <c r="U506" s="7"/>
      <c r="V506" s="7"/>
      <c r="W506" s="7"/>
      <c r="X506" s="7"/>
      <c r="Y506" s="7"/>
      <c r="Z506" s="7"/>
      <c r="AA506" s="7"/>
      <c r="AB506" s="7"/>
    </row>
    <row r="507" spans="1:28" ht="18" customHeight="1">
      <c r="A507" s="1">
        <f t="shared" si="17"/>
        <v>18</v>
      </c>
      <c r="B507" s="1">
        <v>262710384</v>
      </c>
      <c r="C507" s="132" t="s">
        <v>1558</v>
      </c>
      <c r="D507" s="51"/>
      <c r="E507" s="52"/>
      <c r="F507" s="159" t="s">
        <v>3</v>
      </c>
      <c r="G507" s="36"/>
      <c r="H507" s="36"/>
      <c r="I507" s="36"/>
      <c r="J507" s="36"/>
      <c r="K507" s="36"/>
      <c r="L507" s="36"/>
      <c r="M507" s="36"/>
      <c r="N507" s="1"/>
      <c r="O507" s="6"/>
      <c r="P507" s="3"/>
      <c r="Q507" s="3"/>
      <c r="R507" s="3"/>
      <c r="S507" s="3"/>
      <c r="T507" s="7"/>
      <c r="U507" s="7"/>
      <c r="V507" s="7"/>
      <c r="W507" s="7"/>
      <c r="X507" s="7"/>
      <c r="Y507" s="7"/>
      <c r="Z507" s="7"/>
      <c r="AA507" s="7"/>
      <c r="AB507" s="7"/>
    </row>
    <row r="508" spans="1:28" ht="18" customHeight="1">
      <c r="A508" s="1">
        <f t="shared" si="17"/>
        <v>19</v>
      </c>
      <c r="B508" s="1">
        <v>262710385</v>
      </c>
      <c r="C508" s="132" t="s">
        <v>1560</v>
      </c>
      <c r="D508" s="51"/>
      <c r="E508" s="52"/>
      <c r="F508" s="159" t="s">
        <v>3</v>
      </c>
      <c r="G508" s="36"/>
      <c r="H508" s="36"/>
      <c r="I508" s="36"/>
      <c r="J508" s="36"/>
      <c r="K508" s="36"/>
      <c r="L508" s="36"/>
      <c r="M508" s="36"/>
      <c r="N508" s="36"/>
      <c r="O508" s="6"/>
      <c r="P508" s="3"/>
      <c r="Q508" s="3"/>
      <c r="R508" s="3"/>
      <c r="S508" s="3"/>
      <c r="T508" s="7"/>
      <c r="U508" s="7"/>
      <c r="V508" s="7"/>
      <c r="W508" s="7"/>
      <c r="X508" s="7"/>
      <c r="Y508" s="7"/>
      <c r="Z508" s="7"/>
      <c r="AA508" s="7"/>
      <c r="AB508" s="7"/>
    </row>
    <row r="509" spans="1:28" ht="18" customHeight="1">
      <c r="A509" s="1">
        <f t="shared" si="17"/>
        <v>20</v>
      </c>
      <c r="B509" s="1">
        <v>262710386</v>
      </c>
      <c r="C509" s="132" t="s">
        <v>1562</v>
      </c>
      <c r="D509" s="51"/>
      <c r="E509" s="52"/>
      <c r="F509" s="159" t="s">
        <v>3</v>
      </c>
      <c r="G509" s="36"/>
      <c r="H509" s="36"/>
      <c r="I509" s="36"/>
      <c r="J509" s="36"/>
      <c r="K509" s="36"/>
      <c r="L509" s="36"/>
      <c r="M509" s="36"/>
      <c r="N509" s="36"/>
      <c r="O509" s="6"/>
      <c r="P509" s="3"/>
      <c r="Q509" s="3"/>
      <c r="R509" s="3"/>
      <c r="S509" s="3"/>
      <c r="T509" s="7"/>
      <c r="U509" s="7"/>
      <c r="V509" s="7"/>
      <c r="W509" s="7"/>
      <c r="X509" s="7"/>
      <c r="Y509" s="7"/>
      <c r="Z509" s="7"/>
      <c r="AA509" s="7"/>
      <c r="AB509" s="7"/>
    </row>
    <row r="510" spans="1:28" ht="18" customHeight="1">
      <c r="A510" s="1">
        <f t="shared" si="17"/>
        <v>21</v>
      </c>
      <c r="B510" s="1">
        <v>262710387</v>
      </c>
      <c r="C510" s="132" t="s">
        <v>1564</v>
      </c>
      <c r="D510" s="51"/>
      <c r="E510" s="52"/>
      <c r="F510" s="159" t="s">
        <v>3</v>
      </c>
      <c r="G510" s="36"/>
      <c r="H510" s="36"/>
      <c r="I510" s="36"/>
      <c r="J510" s="36"/>
      <c r="K510" s="36"/>
      <c r="L510" s="36"/>
      <c r="M510" s="36"/>
      <c r="N510" s="36"/>
      <c r="O510" s="6"/>
      <c r="P510" s="3"/>
      <c r="Q510" s="3"/>
      <c r="R510" s="3"/>
      <c r="S510" s="3"/>
      <c r="T510" s="7"/>
      <c r="U510" s="7"/>
      <c r="V510" s="7"/>
      <c r="W510" s="7"/>
      <c r="X510" s="7"/>
      <c r="Y510" s="7"/>
      <c r="Z510" s="7"/>
      <c r="AA510" s="7"/>
      <c r="AB510" s="7"/>
    </row>
    <row r="511" spans="1:28" ht="18" customHeight="1">
      <c r="A511" s="1">
        <f t="shared" si="17"/>
        <v>22</v>
      </c>
      <c r="B511" s="1">
        <v>262710388</v>
      </c>
      <c r="C511" s="132" t="s">
        <v>1566</v>
      </c>
      <c r="D511" s="51"/>
      <c r="E511" s="52"/>
      <c r="F511" s="159" t="s">
        <v>3</v>
      </c>
      <c r="G511" s="36"/>
      <c r="H511" s="36"/>
      <c r="I511" s="36"/>
      <c r="J511" s="36"/>
      <c r="K511" s="36"/>
      <c r="L511" s="36"/>
      <c r="M511" s="36"/>
      <c r="N511" s="36"/>
      <c r="O511" s="6"/>
      <c r="P511" s="3"/>
      <c r="Q511" s="3"/>
      <c r="R511" s="3"/>
      <c r="S511" s="3"/>
      <c r="T511" s="7"/>
      <c r="U511" s="7"/>
      <c r="V511" s="7"/>
      <c r="W511" s="7"/>
      <c r="X511" s="7"/>
      <c r="Y511" s="7"/>
      <c r="Z511" s="7"/>
      <c r="AA511" s="7"/>
      <c r="AB511" s="7"/>
    </row>
    <row r="512" spans="1:28" ht="18" customHeight="1">
      <c r="A512" s="1">
        <f t="shared" si="17"/>
        <v>23</v>
      </c>
      <c r="B512" s="1">
        <v>262710389</v>
      </c>
      <c r="C512" s="132" t="s">
        <v>1568</v>
      </c>
      <c r="D512" s="51"/>
      <c r="E512" s="52"/>
      <c r="F512" s="159" t="s">
        <v>3</v>
      </c>
      <c r="G512" s="36"/>
      <c r="H512" s="36"/>
      <c r="I512" s="36"/>
      <c r="J512" s="36"/>
      <c r="K512" s="36"/>
      <c r="L512" s="36"/>
      <c r="M512" s="36"/>
      <c r="N512" s="36"/>
      <c r="O512" s="6"/>
      <c r="P512" s="3"/>
      <c r="Q512" s="3"/>
      <c r="R512" s="3"/>
      <c r="S512" s="3"/>
      <c r="T512" s="7"/>
      <c r="U512" s="7"/>
      <c r="V512" s="7"/>
      <c r="W512" s="7"/>
      <c r="X512" s="7"/>
      <c r="Y512" s="7"/>
      <c r="Z512" s="7"/>
      <c r="AA512" s="7"/>
      <c r="AB512" s="7"/>
    </row>
    <row r="513" spans="1:28" ht="18" customHeight="1">
      <c r="A513" s="1">
        <f t="shared" si="17"/>
        <v>24</v>
      </c>
      <c r="B513" s="1">
        <v>262710390</v>
      </c>
      <c r="C513" s="132" t="s">
        <v>1570</v>
      </c>
      <c r="D513" s="51"/>
      <c r="E513" s="52"/>
      <c r="F513" s="159" t="s">
        <v>3</v>
      </c>
      <c r="G513" s="36"/>
      <c r="H513" s="36"/>
      <c r="I513" s="36"/>
      <c r="J513" s="36"/>
      <c r="K513" s="36"/>
      <c r="L513" s="36"/>
      <c r="M513" s="36"/>
      <c r="N513" s="36"/>
      <c r="O513" s="6"/>
      <c r="P513" s="3"/>
      <c r="Q513" s="3"/>
      <c r="R513" s="3"/>
      <c r="S513" s="3"/>
      <c r="T513" s="7"/>
      <c r="U513" s="7"/>
      <c r="V513" s="7"/>
      <c r="W513" s="7"/>
      <c r="X513" s="7"/>
      <c r="Y513" s="7"/>
      <c r="Z513" s="7"/>
      <c r="AA513" s="7"/>
      <c r="AB513" s="7"/>
    </row>
    <row r="514" spans="1:28" ht="18" customHeight="1">
      <c r="A514" s="1">
        <f t="shared" si="17"/>
        <v>25</v>
      </c>
      <c r="B514" s="1">
        <v>262710391</v>
      </c>
      <c r="C514" s="132" t="s">
        <v>1572</v>
      </c>
      <c r="D514" s="51"/>
      <c r="E514" s="52"/>
      <c r="F514" s="159" t="s">
        <v>3</v>
      </c>
      <c r="G514" s="36"/>
      <c r="H514" s="36"/>
      <c r="I514" s="36"/>
      <c r="J514" s="36"/>
      <c r="K514" s="36"/>
      <c r="L514" s="36"/>
      <c r="M514" s="36"/>
      <c r="N514" s="36"/>
      <c r="O514" s="6"/>
      <c r="P514" s="3"/>
      <c r="Q514" s="3"/>
      <c r="R514" s="3"/>
      <c r="S514" s="3"/>
      <c r="T514" s="7"/>
      <c r="U514" s="7"/>
      <c r="V514" s="7"/>
      <c r="W514" s="7"/>
      <c r="X514" s="7"/>
      <c r="Y514" s="7"/>
      <c r="Z514" s="7"/>
      <c r="AA514" s="7"/>
      <c r="AB514" s="7"/>
    </row>
    <row r="515" spans="1:28" ht="18" customHeight="1">
      <c r="A515" s="1">
        <f t="shared" si="17"/>
        <v>26</v>
      </c>
      <c r="B515" s="1">
        <v>262710392</v>
      </c>
      <c r="C515" s="132" t="s">
        <v>1574</v>
      </c>
      <c r="D515" s="51"/>
      <c r="E515" s="52"/>
      <c r="F515" s="159" t="s">
        <v>1</v>
      </c>
      <c r="G515" s="36"/>
      <c r="H515" s="36"/>
      <c r="I515" s="36"/>
      <c r="J515" s="36"/>
      <c r="K515" s="36"/>
      <c r="L515" s="36"/>
      <c r="M515" s="36"/>
      <c r="N515" s="36"/>
      <c r="O515" s="6"/>
      <c r="P515" s="3"/>
      <c r="Q515" s="3"/>
      <c r="R515" s="3"/>
      <c r="S515" s="3"/>
      <c r="T515" s="7"/>
      <c r="U515" s="7"/>
      <c r="V515" s="7"/>
      <c r="W515" s="7"/>
      <c r="X515" s="7"/>
      <c r="Y515" s="7"/>
      <c r="Z515" s="7"/>
      <c r="AA515" s="7"/>
      <c r="AB515" s="7"/>
    </row>
    <row r="516" spans="1:28" ht="18" customHeight="1">
      <c r="A516" s="1">
        <f t="shared" si="17"/>
        <v>27</v>
      </c>
      <c r="B516" s="1">
        <v>262710393</v>
      </c>
      <c r="C516" s="132" t="s">
        <v>1576</v>
      </c>
      <c r="D516" s="51"/>
      <c r="E516" s="52"/>
      <c r="F516" s="159" t="s">
        <v>1</v>
      </c>
      <c r="G516" s="36"/>
      <c r="H516" s="36"/>
      <c r="I516" s="36"/>
      <c r="J516" s="36"/>
      <c r="K516" s="36"/>
      <c r="L516" s="36"/>
      <c r="M516" s="36"/>
      <c r="N516" s="36"/>
      <c r="O516" s="6"/>
      <c r="P516" s="3"/>
      <c r="Q516" s="3"/>
      <c r="R516" s="3"/>
      <c r="S516" s="3"/>
      <c r="T516" s="7"/>
      <c r="U516" s="7"/>
      <c r="V516" s="7"/>
      <c r="W516" s="7"/>
      <c r="X516" s="7"/>
      <c r="Y516" s="7"/>
      <c r="Z516" s="7"/>
      <c r="AA516" s="7"/>
      <c r="AB516" s="7"/>
    </row>
    <row r="517" spans="1:28" ht="18" customHeight="1">
      <c r="A517" s="1">
        <f t="shared" si="17"/>
        <v>28</v>
      </c>
      <c r="B517" s="1">
        <v>262710394</v>
      </c>
      <c r="C517" s="132" t="s">
        <v>1578</v>
      </c>
      <c r="D517" s="51"/>
      <c r="E517" s="52"/>
      <c r="F517" s="159" t="s">
        <v>1</v>
      </c>
      <c r="G517" s="36"/>
      <c r="H517" s="36"/>
      <c r="I517" s="36"/>
      <c r="J517" s="36"/>
      <c r="K517" s="36"/>
      <c r="L517" s="36"/>
      <c r="M517" s="36"/>
      <c r="N517" s="36"/>
      <c r="O517" s="6"/>
      <c r="P517" s="3"/>
      <c r="Q517" s="3"/>
      <c r="R517" s="3"/>
      <c r="S517" s="3"/>
      <c r="T517" s="7"/>
      <c r="U517" s="7"/>
      <c r="V517" s="7"/>
      <c r="W517" s="7"/>
      <c r="X517" s="7"/>
      <c r="Y517" s="7"/>
      <c r="Z517" s="7"/>
      <c r="AA517" s="7"/>
      <c r="AB517" s="7"/>
    </row>
    <row r="518" spans="1:28" ht="18" customHeight="1">
      <c r="A518" s="1">
        <f t="shared" si="17"/>
        <v>29</v>
      </c>
      <c r="B518" s="1">
        <v>262710395</v>
      </c>
      <c r="C518" s="132" t="s">
        <v>1579</v>
      </c>
      <c r="D518" s="51"/>
      <c r="E518" s="52"/>
      <c r="F518" s="159" t="s">
        <v>1</v>
      </c>
      <c r="G518" s="36"/>
      <c r="H518" s="36"/>
      <c r="I518" s="36"/>
      <c r="J518" s="36"/>
      <c r="K518" s="36"/>
      <c r="L518" s="36"/>
      <c r="M518" s="36"/>
      <c r="N518" s="36"/>
      <c r="O518" s="6"/>
      <c r="P518" s="3"/>
      <c r="Q518" s="3"/>
      <c r="R518" s="3"/>
      <c r="S518" s="3"/>
      <c r="T518" s="7"/>
      <c r="U518" s="7"/>
      <c r="V518" s="7"/>
      <c r="W518" s="7"/>
      <c r="X518" s="7"/>
      <c r="Y518" s="7"/>
      <c r="Z518" s="7"/>
      <c r="AA518" s="7"/>
      <c r="AB518" s="7"/>
    </row>
    <row r="519" spans="1:28" ht="18" customHeight="1">
      <c r="A519" s="1">
        <f t="shared" si="17"/>
        <v>30</v>
      </c>
      <c r="B519" s="1">
        <v>262710396</v>
      </c>
      <c r="C519" s="132" t="s">
        <v>1580</v>
      </c>
      <c r="D519" s="51"/>
      <c r="E519" s="52"/>
      <c r="F519" s="159" t="s">
        <v>1</v>
      </c>
      <c r="G519" s="36"/>
      <c r="H519" s="36"/>
      <c r="I519" s="36"/>
      <c r="J519" s="36"/>
      <c r="K519" s="36"/>
      <c r="L519" s="36"/>
      <c r="M519" s="36"/>
      <c r="N519" s="36"/>
      <c r="O519" s="6"/>
      <c r="P519" s="3"/>
      <c r="Q519" s="3"/>
      <c r="R519" s="3"/>
      <c r="S519" s="3"/>
      <c r="T519" s="7"/>
      <c r="U519" s="7"/>
      <c r="V519" s="7"/>
      <c r="W519" s="7"/>
      <c r="X519" s="7"/>
      <c r="Y519" s="7"/>
      <c r="Z519" s="7"/>
      <c r="AA519" s="7"/>
      <c r="AB519" s="7"/>
    </row>
    <row r="520" spans="1:28" ht="18" customHeight="1">
      <c r="A520" s="1">
        <f t="shared" si="17"/>
        <v>31</v>
      </c>
      <c r="B520" s="1">
        <v>262710397</v>
      </c>
      <c r="C520" s="132" t="s">
        <v>1581</v>
      </c>
      <c r="D520" s="51"/>
      <c r="E520" s="52"/>
      <c r="F520" s="159" t="s">
        <v>1</v>
      </c>
      <c r="G520" s="36"/>
      <c r="H520" s="36"/>
      <c r="I520" s="36"/>
      <c r="J520" s="36"/>
      <c r="K520" s="36"/>
      <c r="L520" s="36"/>
      <c r="M520" s="36"/>
      <c r="N520" s="36"/>
      <c r="O520" s="6"/>
      <c r="P520" s="3"/>
      <c r="Q520" s="3"/>
      <c r="R520" s="3"/>
      <c r="S520" s="3"/>
      <c r="T520" s="7"/>
      <c r="U520" s="7"/>
      <c r="V520" s="7"/>
      <c r="W520" s="7"/>
      <c r="X520" s="7"/>
      <c r="Y520" s="7"/>
      <c r="Z520" s="7"/>
      <c r="AA520" s="7"/>
      <c r="AB520" s="7"/>
    </row>
    <row r="521" spans="1:28" ht="18" customHeight="1">
      <c r="A521" s="1">
        <f t="shared" si="17"/>
        <v>32</v>
      </c>
      <c r="B521" s="1">
        <v>262710398</v>
      </c>
      <c r="C521" s="132" t="s">
        <v>1582</v>
      </c>
      <c r="D521" s="51"/>
      <c r="E521" s="52"/>
      <c r="F521" s="159" t="s">
        <v>1</v>
      </c>
      <c r="G521" s="36"/>
      <c r="H521" s="36"/>
      <c r="I521" s="36"/>
      <c r="J521" s="36"/>
      <c r="K521" s="36"/>
      <c r="L521" s="36"/>
      <c r="M521" s="36"/>
      <c r="N521" s="36"/>
      <c r="O521" s="6"/>
      <c r="P521" s="3"/>
      <c r="Q521" s="3"/>
      <c r="R521" s="3"/>
      <c r="S521" s="3"/>
      <c r="T521" s="7"/>
      <c r="U521" s="7"/>
      <c r="V521" s="7"/>
      <c r="W521" s="7"/>
      <c r="X521" s="7"/>
      <c r="Y521" s="7"/>
      <c r="Z521" s="7"/>
      <c r="AA521" s="7"/>
      <c r="AB521" s="7"/>
    </row>
    <row r="522" spans="1:28" ht="18" customHeight="1">
      <c r="A522" s="1">
        <f t="shared" si="17"/>
        <v>33</v>
      </c>
      <c r="B522" s="1">
        <v>262710399</v>
      </c>
      <c r="C522" s="132" t="s">
        <v>1583</v>
      </c>
      <c r="D522" s="51"/>
      <c r="E522" s="52"/>
      <c r="F522" s="159" t="s">
        <v>3</v>
      </c>
      <c r="G522" s="36"/>
      <c r="H522" s="36"/>
      <c r="I522" s="36"/>
      <c r="J522" s="36"/>
      <c r="K522" s="36"/>
      <c r="L522" s="36"/>
      <c r="M522" s="36"/>
      <c r="N522" s="36"/>
      <c r="O522" s="6"/>
      <c r="P522" s="3"/>
      <c r="Q522" s="3"/>
      <c r="R522" s="3"/>
      <c r="S522" s="3"/>
      <c r="T522" s="7"/>
      <c r="U522" s="7"/>
      <c r="V522" s="7"/>
      <c r="W522" s="7"/>
      <c r="X522" s="7"/>
      <c r="Y522" s="7"/>
      <c r="Z522" s="7"/>
      <c r="AA522" s="7"/>
      <c r="AB522" s="7"/>
    </row>
    <row r="523" spans="1:28" ht="18" customHeight="1">
      <c r="A523" s="88">
        <f t="shared" si="17"/>
        <v>34</v>
      </c>
      <c r="B523" s="1">
        <v>262710400</v>
      </c>
      <c r="C523" s="132" t="s">
        <v>1584</v>
      </c>
      <c r="D523" s="51"/>
      <c r="E523" s="52"/>
      <c r="F523" s="159" t="s">
        <v>3</v>
      </c>
      <c r="G523" s="89"/>
      <c r="H523" s="85"/>
      <c r="I523" s="85"/>
      <c r="J523" s="85"/>
      <c r="K523" s="85"/>
      <c r="L523" s="85"/>
      <c r="M523" s="85"/>
      <c r="N523" s="85"/>
      <c r="O523" s="6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 spans="1:28" ht="18" customHeight="1">
      <c r="A524" s="1">
        <f t="shared" si="17"/>
        <v>35</v>
      </c>
      <c r="B524" s="1">
        <v>262710401</v>
      </c>
      <c r="C524" s="132" t="s">
        <v>1585</v>
      </c>
      <c r="D524" s="51"/>
      <c r="E524" s="52"/>
      <c r="F524" s="159" t="s">
        <v>1</v>
      </c>
      <c r="G524" s="36"/>
      <c r="H524" s="36"/>
      <c r="I524" s="36"/>
      <c r="J524" s="36"/>
      <c r="K524" s="36"/>
      <c r="L524" s="36"/>
      <c r="M524" s="36"/>
      <c r="N524" s="36"/>
      <c r="O524" s="6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 spans="1:28" ht="18" customHeight="1">
      <c r="A525" s="1">
        <f t="shared" si="17"/>
        <v>36</v>
      </c>
      <c r="B525" s="1">
        <v>262710402</v>
      </c>
      <c r="C525" s="132" t="s">
        <v>1586</v>
      </c>
      <c r="D525" s="51"/>
      <c r="E525" s="52"/>
      <c r="F525" s="159" t="s">
        <v>3</v>
      </c>
      <c r="G525" s="36"/>
      <c r="H525" s="36"/>
      <c r="I525" s="36"/>
      <c r="J525" s="36"/>
      <c r="K525" s="36"/>
      <c r="L525" s="36"/>
      <c r="M525" s="36"/>
      <c r="N525" s="36"/>
      <c r="O525" s="6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 spans="1:28" ht="18" customHeight="1">
      <c r="A526" s="1">
        <f t="shared" si="17"/>
        <v>37</v>
      </c>
      <c r="B526" s="1">
        <v>262710403</v>
      </c>
      <c r="C526" s="132" t="s">
        <v>1587</v>
      </c>
      <c r="D526" s="51"/>
      <c r="E526" s="52"/>
      <c r="F526" s="159" t="s">
        <v>3</v>
      </c>
      <c r="G526" s="36"/>
      <c r="H526" s="36"/>
      <c r="I526" s="36"/>
      <c r="J526" s="36"/>
      <c r="K526" s="36"/>
      <c r="L526" s="36"/>
      <c r="M526" s="36"/>
      <c r="N526" s="36"/>
      <c r="O526" s="6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 spans="1:28" ht="18" customHeight="1">
      <c r="A527" s="1">
        <f t="shared" si="17"/>
        <v>38</v>
      </c>
      <c r="B527" s="1">
        <v>262710404</v>
      </c>
      <c r="C527" s="132" t="s">
        <v>1590</v>
      </c>
      <c r="D527" s="51"/>
      <c r="E527" s="52"/>
      <c r="F527" s="159" t="s">
        <v>3</v>
      </c>
      <c r="G527" s="36"/>
      <c r="H527" s="36"/>
      <c r="I527" s="36"/>
      <c r="J527" s="36"/>
      <c r="K527" s="36"/>
      <c r="L527" s="36"/>
      <c r="M527" s="36"/>
      <c r="N527" s="36"/>
      <c r="O527" s="6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 spans="1:28" ht="18" customHeight="1">
      <c r="A528" s="1">
        <f t="shared" si="17"/>
        <v>39</v>
      </c>
      <c r="B528" s="1">
        <v>262710405</v>
      </c>
      <c r="C528" s="132" t="s">
        <v>1591</v>
      </c>
      <c r="D528" s="51"/>
      <c r="E528" s="52"/>
      <c r="F528" s="159" t="s">
        <v>1</v>
      </c>
      <c r="G528" s="36"/>
      <c r="H528" s="36"/>
      <c r="I528" s="36"/>
      <c r="J528" s="36"/>
      <c r="K528" s="36"/>
      <c r="L528" s="36"/>
      <c r="M528" s="36"/>
      <c r="N528" s="36"/>
      <c r="O528" s="6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 spans="1:28" ht="18" customHeight="1">
      <c r="A529" s="1">
        <f t="shared" si="17"/>
        <v>40</v>
      </c>
      <c r="B529" s="1">
        <v>262710406</v>
      </c>
      <c r="C529" s="132" t="s">
        <v>1593</v>
      </c>
      <c r="D529" s="51"/>
      <c r="E529" s="52"/>
      <c r="F529" s="159" t="s">
        <v>1</v>
      </c>
      <c r="G529" s="36"/>
      <c r="H529" s="36"/>
      <c r="I529" s="36"/>
      <c r="J529" s="36"/>
      <c r="K529" s="36"/>
      <c r="L529" s="36"/>
      <c r="M529" s="36"/>
      <c r="N529" s="36"/>
      <c r="O529" s="6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 spans="1:28" ht="18" customHeight="1">
      <c r="A530" s="1">
        <f t="shared" si="17"/>
        <v>41</v>
      </c>
      <c r="B530" s="1">
        <v>262710407</v>
      </c>
      <c r="C530" s="132" t="s">
        <v>1594</v>
      </c>
      <c r="D530" s="51"/>
      <c r="E530" s="52"/>
      <c r="F530" s="159" t="s">
        <v>1</v>
      </c>
      <c r="G530" s="36"/>
      <c r="H530" s="36"/>
      <c r="I530" s="36"/>
      <c r="J530" s="36"/>
      <c r="K530" s="36"/>
      <c r="L530" s="36"/>
      <c r="M530" s="36"/>
      <c r="N530" s="36"/>
      <c r="O530" s="6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 spans="1:28" ht="18" customHeight="1">
      <c r="A531" s="1">
        <f t="shared" si="17"/>
        <v>42</v>
      </c>
      <c r="B531" s="1">
        <v>262710408</v>
      </c>
      <c r="C531" s="132" t="s">
        <v>1595</v>
      </c>
      <c r="D531" s="51"/>
      <c r="E531" s="52"/>
      <c r="F531" s="159" t="s">
        <v>1</v>
      </c>
      <c r="G531" s="36"/>
      <c r="H531" s="36"/>
      <c r="I531" s="36"/>
      <c r="J531" s="36"/>
      <c r="K531" s="36"/>
      <c r="L531" s="36"/>
      <c r="M531" s="36"/>
      <c r="N531" s="36"/>
      <c r="O531" s="6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 spans="1:28" ht="18" customHeight="1">
      <c r="A532" s="1">
        <f t="shared" si="17"/>
        <v>43</v>
      </c>
      <c r="B532" s="1">
        <v>262710409</v>
      </c>
      <c r="C532" s="132" t="s">
        <v>1596</v>
      </c>
      <c r="D532" s="51"/>
      <c r="E532" s="52"/>
      <c r="F532" s="159" t="s">
        <v>1</v>
      </c>
      <c r="G532" s="36"/>
      <c r="H532" s="36"/>
      <c r="I532" s="36"/>
      <c r="J532" s="36"/>
      <c r="K532" s="36"/>
      <c r="L532" s="36"/>
      <c r="M532" s="36"/>
      <c r="N532" s="36"/>
      <c r="O532" s="6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 spans="1:28" ht="18" customHeight="1">
      <c r="A533" s="1">
        <f t="shared" si="17"/>
        <v>44</v>
      </c>
      <c r="B533" s="1">
        <v>262710410</v>
      </c>
      <c r="C533" s="132" t="s">
        <v>1598</v>
      </c>
      <c r="D533" s="51"/>
      <c r="E533" s="52"/>
      <c r="F533" s="159" t="s">
        <v>1</v>
      </c>
      <c r="G533" s="36"/>
      <c r="H533" s="36"/>
      <c r="I533" s="36"/>
      <c r="J533" s="36"/>
      <c r="K533" s="36"/>
      <c r="L533" s="36"/>
      <c r="M533" s="36"/>
      <c r="N533" s="36"/>
      <c r="O533" s="6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 spans="1:28" ht="18" customHeight="1">
      <c r="A534" s="1">
        <f t="shared" si="17"/>
        <v>45</v>
      </c>
      <c r="B534" s="1">
        <v>262710411</v>
      </c>
      <c r="C534" s="132" t="s">
        <v>1600</v>
      </c>
      <c r="D534" s="51"/>
      <c r="E534" s="52"/>
      <c r="F534" s="159" t="s">
        <v>1</v>
      </c>
      <c r="G534" s="36"/>
      <c r="H534" s="36"/>
      <c r="I534" s="36"/>
      <c r="J534" s="36"/>
      <c r="K534" s="36"/>
      <c r="L534" s="36"/>
      <c r="M534" s="36"/>
      <c r="N534" s="36"/>
      <c r="O534" s="6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 spans="1:28" ht="18" customHeight="1">
      <c r="A535" s="1">
        <f t="shared" si="17"/>
        <v>46</v>
      </c>
      <c r="B535" s="1">
        <v>262710412</v>
      </c>
      <c r="C535" s="132" t="s">
        <v>1603</v>
      </c>
      <c r="D535" s="51"/>
      <c r="E535" s="52"/>
      <c r="F535" s="159" t="s">
        <v>1</v>
      </c>
      <c r="G535" s="36"/>
      <c r="H535" s="36"/>
      <c r="I535" s="36"/>
      <c r="J535" s="36"/>
      <c r="K535" s="36"/>
      <c r="L535" s="36"/>
      <c r="M535" s="36"/>
      <c r="N535" s="36"/>
      <c r="O535" s="6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 spans="1:28" ht="18" customHeight="1">
      <c r="A536" s="1">
        <f t="shared" si="17"/>
        <v>47</v>
      </c>
      <c r="B536" s="1">
        <v>262710413</v>
      </c>
      <c r="C536" s="132" t="s">
        <v>1605</v>
      </c>
      <c r="D536" s="51"/>
      <c r="E536" s="52"/>
      <c r="F536" s="159" t="s">
        <v>3</v>
      </c>
      <c r="G536" s="36"/>
      <c r="H536" s="36"/>
      <c r="I536" s="36"/>
      <c r="J536" s="36"/>
      <c r="K536" s="36"/>
      <c r="L536" s="36"/>
      <c r="M536" s="36"/>
      <c r="N536" s="36"/>
      <c r="O536" s="6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 spans="1:28" ht="18" customHeight="1">
      <c r="A537" s="1">
        <f t="shared" si="17"/>
        <v>48</v>
      </c>
      <c r="B537" s="1">
        <v>262710414</v>
      </c>
      <c r="C537" s="161" t="s">
        <v>1607</v>
      </c>
      <c r="D537" s="51"/>
      <c r="E537" s="52"/>
      <c r="F537" s="159" t="s">
        <v>3</v>
      </c>
      <c r="G537" s="36"/>
      <c r="H537" s="36"/>
      <c r="I537" s="36"/>
      <c r="J537" s="36"/>
      <c r="K537" s="36"/>
      <c r="L537" s="36"/>
      <c r="M537" s="36"/>
      <c r="N537" s="36"/>
      <c r="O537" s="6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 spans="1:28" ht="15.8" customHeight="1">
      <c r="A538" s="79"/>
      <c r="B538" s="79"/>
      <c r="C538" s="20"/>
      <c r="D538" s="20"/>
      <c r="E538" s="20"/>
      <c r="F538" s="80" t="s">
        <v>1</v>
      </c>
      <c r="G538" s="80">
        <f>COUNTIF(F490:F537,"L")</f>
        <v>24</v>
      </c>
      <c r="H538" s="20"/>
      <c r="I538" s="20"/>
      <c r="J538" s="20"/>
      <c r="K538" s="20"/>
      <c r="L538" s="20"/>
      <c r="M538" s="20"/>
      <c r="N538" s="20"/>
      <c r="O538" s="6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 spans="1:28" ht="15.8" customHeight="1">
      <c r="A539" s="79"/>
      <c r="B539" s="79"/>
      <c r="C539" s="20"/>
      <c r="D539" s="20"/>
      <c r="E539" s="20"/>
      <c r="F539" s="30" t="s">
        <v>3</v>
      </c>
      <c r="G539" s="30">
        <f>COUNTIF(F490:F537,"P")</f>
        <v>24</v>
      </c>
      <c r="H539" s="20"/>
      <c r="I539" s="20"/>
      <c r="J539" s="20"/>
      <c r="K539" s="20"/>
      <c r="L539" s="20"/>
      <c r="M539" s="20"/>
      <c r="N539" s="20"/>
      <c r="O539" s="6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 spans="1:28" ht="15.8" customHeight="1">
      <c r="A540" s="79"/>
      <c r="B540" s="79"/>
      <c r="C540" s="20"/>
      <c r="D540" s="20"/>
      <c r="E540" s="20"/>
      <c r="F540" s="81" t="s">
        <v>251</v>
      </c>
      <c r="G540" s="81">
        <f>SUM(G538:G539)</f>
        <v>48</v>
      </c>
      <c r="H540" s="20"/>
      <c r="I540" s="20"/>
      <c r="J540" s="20"/>
      <c r="K540" s="20"/>
      <c r="L540" s="20"/>
      <c r="M540" s="20"/>
      <c r="N540" s="20"/>
      <c r="O540" s="6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 spans="1:28" ht="15.8" customHeight="1">
      <c r="A541" s="20" t="s">
        <v>275</v>
      </c>
      <c r="B541" s="6"/>
      <c r="C541" s="20"/>
      <c r="D541" s="20"/>
      <c r="E541" s="20"/>
      <c r="F541" s="94"/>
      <c r="G541" s="6"/>
      <c r="H541" s="6"/>
      <c r="I541" s="82" t="s">
        <v>254</v>
      </c>
      <c r="J541" s="6"/>
      <c r="K541" s="6"/>
      <c r="L541" s="6"/>
      <c r="M541" s="6"/>
      <c r="N541" s="6"/>
      <c r="O541" s="6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 spans="1:28" ht="15.8" customHeight="1">
      <c r="A542" s="20" t="s">
        <v>280</v>
      </c>
      <c r="B542" s="6"/>
      <c r="C542" s="20"/>
      <c r="D542" s="20"/>
      <c r="E542" s="20" t="s">
        <v>281</v>
      </c>
      <c r="F542" s="94"/>
      <c r="G542" s="6"/>
      <c r="H542" s="6"/>
      <c r="I542" s="6" t="s">
        <v>256</v>
      </c>
      <c r="J542" s="6"/>
      <c r="K542" s="6"/>
      <c r="L542" s="6"/>
      <c r="M542" s="6"/>
      <c r="N542" s="6"/>
      <c r="O542" s="6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 spans="1:28" ht="15.8" customHeight="1">
      <c r="A543" s="20"/>
      <c r="B543" s="7"/>
      <c r="C543" s="20"/>
      <c r="D543" s="20"/>
      <c r="E543" s="20"/>
      <c r="F543" s="79"/>
      <c r="G543" s="20"/>
      <c r="H543" s="20"/>
      <c r="I543" s="6"/>
      <c r="J543" s="6"/>
      <c r="K543" s="6"/>
      <c r="L543" s="6"/>
      <c r="M543" s="6"/>
      <c r="N543" s="6"/>
      <c r="O543" s="6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 spans="1:28" ht="15.8" customHeight="1">
      <c r="A544" s="20"/>
      <c r="B544" s="7"/>
      <c r="C544" s="20"/>
      <c r="D544" s="20"/>
      <c r="E544" s="20"/>
      <c r="F544" s="79"/>
      <c r="G544" s="20"/>
      <c r="H544" s="20"/>
      <c r="I544" s="6"/>
      <c r="J544" s="6"/>
      <c r="K544" s="6"/>
      <c r="L544" s="6"/>
      <c r="M544" s="6"/>
      <c r="N544" s="6"/>
      <c r="O544" s="6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 spans="1:28" ht="15.8" customHeight="1">
      <c r="A545" s="24" t="s">
        <v>1616</v>
      </c>
      <c r="B545" s="6"/>
      <c r="C545" s="6"/>
      <c r="D545" s="6"/>
      <c r="E545" s="86" t="s">
        <v>525</v>
      </c>
      <c r="F545" s="94"/>
      <c r="G545" s="6"/>
      <c r="H545" s="20"/>
      <c r="I545" s="87"/>
      <c r="J545" s="87"/>
      <c r="K545" s="87"/>
      <c r="L545" s="87"/>
      <c r="M545" s="87"/>
      <c r="N545" s="87"/>
      <c r="O545" s="6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 spans="1:28" ht="15.8" customHeight="1">
      <c r="A546" s="41" t="s">
        <v>1618</v>
      </c>
      <c r="B546" s="41"/>
      <c r="C546" s="20"/>
      <c r="D546" s="20"/>
      <c r="E546" s="20" t="s">
        <v>527</v>
      </c>
      <c r="F546" s="79"/>
      <c r="G546" s="20"/>
      <c r="H546" s="20" t="s">
        <v>266</v>
      </c>
      <c r="I546" s="6"/>
      <c r="J546" s="6"/>
      <c r="K546" s="6"/>
      <c r="L546" s="6"/>
      <c r="M546" s="6"/>
      <c r="N546" s="6"/>
      <c r="O546" s="6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 spans="1:28" ht="15.8" customHeight="1">
      <c r="A547" s="43"/>
      <c r="B547" s="44"/>
      <c r="C547" s="44"/>
      <c r="D547" s="44"/>
      <c r="E547" s="44"/>
      <c r="F547" s="45"/>
      <c r="G547" s="46"/>
      <c r="H547" s="46"/>
      <c r="I547" s="44"/>
      <c r="J547" s="44"/>
      <c r="K547" s="44"/>
      <c r="L547" s="44"/>
      <c r="M547" s="44"/>
      <c r="N547" s="44"/>
      <c r="O547" s="6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 spans="1:28" ht="19.55" customHeight="1">
      <c r="A548" s="16" t="s">
        <v>79</v>
      </c>
      <c r="B548" s="16"/>
      <c r="C548" s="4" t="s">
        <v>1620</v>
      </c>
      <c r="D548" s="16"/>
      <c r="E548" s="22"/>
      <c r="F548" s="23"/>
      <c r="G548" s="17"/>
      <c r="H548" s="19" t="s">
        <v>82</v>
      </c>
      <c r="I548" s="17"/>
      <c r="J548" s="17"/>
      <c r="K548" s="17"/>
      <c r="L548" s="17"/>
      <c r="M548" s="20"/>
      <c r="N548" s="20"/>
      <c r="O548" s="6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 spans="1:28" ht="9" customHeight="1">
      <c r="A549" s="20"/>
      <c r="B549" s="24"/>
      <c r="C549" s="162"/>
      <c r="D549" s="162"/>
      <c r="E549" s="163"/>
      <c r="F549" s="164"/>
      <c r="G549" s="20"/>
      <c r="H549" s="26"/>
      <c r="I549" s="27"/>
      <c r="J549" s="27"/>
      <c r="K549" s="27"/>
      <c r="L549" s="27"/>
      <c r="M549" s="27"/>
      <c r="N549" s="27"/>
      <c r="O549" s="6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 spans="1:28" ht="15.8" customHeight="1">
      <c r="A550" s="176" t="s">
        <v>84</v>
      </c>
      <c r="B550" s="177"/>
      <c r="C550" s="178" t="s">
        <v>85</v>
      </c>
      <c r="D550" s="179"/>
      <c r="E550" s="180"/>
      <c r="F550" s="184" t="s">
        <v>86</v>
      </c>
      <c r="G550" s="176" t="s">
        <v>87</v>
      </c>
      <c r="H550" s="186"/>
      <c r="I550" s="186"/>
      <c r="J550" s="186"/>
      <c r="K550" s="186"/>
      <c r="L550" s="186"/>
      <c r="M550" s="177"/>
      <c r="N550" s="184" t="s">
        <v>88</v>
      </c>
      <c r="O550" s="6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 spans="1:28" ht="15.8" customHeight="1">
      <c r="A551" s="28" t="s">
        <v>90</v>
      </c>
      <c r="B551" s="28" t="s">
        <v>91</v>
      </c>
      <c r="C551" s="181"/>
      <c r="D551" s="182"/>
      <c r="E551" s="183"/>
      <c r="F551" s="185"/>
      <c r="G551" s="28"/>
      <c r="H551" s="28"/>
      <c r="I551" s="28"/>
      <c r="J551" s="28"/>
      <c r="K551" s="28"/>
      <c r="L551" s="28"/>
      <c r="M551" s="28"/>
      <c r="N551" s="185"/>
      <c r="O551" s="6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 spans="1:28" ht="18" customHeight="1">
      <c r="A552" s="1">
        <v>1</v>
      </c>
      <c r="B552" s="1">
        <v>262710415</v>
      </c>
      <c r="C552" s="49" t="s">
        <v>1625</v>
      </c>
      <c r="D552" s="51"/>
      <c r="E552" s="52"/>
      <c r="F552" s="53" t="s">
        <v>1</v>
      </c>
      <c r="G552" s="36"/>
      <c r="H552" s="36"/>
      <c r="I552" s="36"/>
      <c r="J552" s="36"/>
      <c r="K552" s="36"/>
      <c r="L552" s="36"/>
      <c r="M552" s="36"/>
      <c r="N552" s="36"/>
      <c r="O552" s="6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 spans="1:28" ht="18" customHeight="1">
      <c r="A553" s="1">
        <v>2</v>
      </c>
      <c r="B553" s="1">
        <v>262710416</v>
      </c>
      <c r="C553" s="49" t="s">
        <v>1627</v>
      </c>
      <c r="D553" s="51"/>
      <c r="E553" s="52"/>
      <c r="F553" s="53" t="s">
        <v>1</v>
      </c>
      <c r="G553" s="36"/>
      <c r="H553" s="36"/>
      <c r="I553" s="36"/>
      <c r="J553" s="36"/>
      <c r="K553" s="36"/>
      <c r="L553" s="36"/>
      <c r="M553" s="36"/>
      <c r="N553" s="36"/>
      <c r="O553" s="6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 spans="1:28" ht="18" customHeight="1">
      <c r="A554" s="1">
        <v>3</v>
      </c>
      <c r="B554" s="1">
        <v>262710417</v>
      </c>
      <c r="C554" s="49" t="s">
        <v>1629</v>
      </c>
      <c r="D554" s="51"/>
      <c r="E554" s="52"/>
      <c r="F554" s="53" t="s">
        <v>3</v>
      </c>
      <c r="G554" s="36"/>
      <c r="H554" s="36"/>
      <c r="I554" s="36"/>
      <c r="J554" s="36"/>
      <c r="K554" s="36"/>
      <c r="L554" s="36"/>
      <c r="M554" s="36"/>
      <c r="N554" s="36"/>
      <c r="O554" s="6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 spans="1:28" ht="18" customHeight="1">
      <c r="A555" s="1">
        <v>4</v>
      </c>
      <c r="B555" s="1">
        <v>262710418</v>
      </c>
      <c r="C555" s="49" t="s">
        <v>1631</v>
      </c>
      <c r="D555" s="51"/>
      <c r="E555" s="52"/>
      <c r="F555" s="53" t="s">
        <v>1</v>
      </c>
      <c r="G555" s="36"/>
      <c r="H555" s="36"/>
      <c r="I555" s="36"/>
      <c r="J555" s="36"/>
      <c r="K555" s="36"/>
      <c r="L555" s="36"/>
      <c r="M555" s="36"/>
      <c r="N555" s="36"/>
      <c r="O555" s="6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 spans="1:28" ht="18" customHeight="1">
      <c r="A556" s="1">
        <v>5</v>
      </c>
      <c r="B556" s="1">
        <v>262710419</v>
      </c>
      <c r="C556" s="49" t="s">
        <v>1633</v>
      </c>
      <c r="D556" s="51"/>
      <c r="E556" s="52"/>
      <c r="F556" s="53" t="s">
        <v>3</v>
      </c>
      <c r="G556" s="36"/>
      <c r="H556" s="36"/>
      <c r="I556" s="36"/>
      <c r="J556" s="36"/>
      <c r="K556" s="36"/>
      <c r="L556" s="36"/>
      <c r="M556" s="36"/>
      <c r="N556" s="36"/>
      <c r="O556" s="6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 spans="1:28" ht="18" customHeight="1">
      <c r="A557" s="1">
        <v>6</v>
      </c>
      <c r="B557" s="1">
        <v>262710420</v>
      </c>
      <c r="C557" s="49" t="s">
        <v>1635</v>
      </c>
      <c r="D557" s="51"/>
      <c r="E557" s="52"/>
      <c r="F557" s="53" t="s">
        <v>1</v>
      </c>
      <c r="G557" s="36"/>
      <c r="H557" s="36"/>
      <c r="I557" s="36"/>
      <c r="J557" s="36"/>
      <c r="K557" s="36"/>
      <c r="L557" s="36"/>
      <c r="M557" s="36"/>
      <c r="N557" s="36"/>
      <c r="O557" s="6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 spans="1:28" ht="18" customHeight="1">
      <c r="A558" s="1">
        <v>7</v>
      </c>
      <c r="B558" s="1">
        <v>262710421</v>
      </c>
      <c r="C558" s="49" t="s">
        <v>1637</v>
      </c>
      <c r="D558" s="51"/>
      <c r="E558" s="52"/>
      <c r="F558" s="53" t="s">
        <v>1</v>
      </c>
      <c r="G558" s="36"/>
      <c r="H558" s="36"/>
      <c r="I558" s="36"/>
      <c r="J558" s="36"/>
      <c r="K558" s="36"/>
      <c r="L558" s="36"/>
      <c r="M558" s="36"/>
      <c r="N558" s="36"/>
      <c r="O558" s="6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 spans="1:28" ht="18" customHeight="1">
      <c r="A559" s="1">
        <v>8</v>
      </c>
      <c r="B559" s="1">
        <v>262710422</v>
      </c>
      <c r="C559" s="49" t="s">
        <v>1638</v>
      </c>
      <c r="D559" s="51"/>
      <c r="E559" s="52"/>
      <c r="F559" s="53" t="s">
        <v>1</v>
      </c>
      <c r="G559" s="36"/>
      <c r="H559" s="36"/>
      <c r="I559" s="36"/>
      <c r="J559" s="36"/>
      <c r="K559" s="36"/>
      <c r="L559" s="36"/>
      <c r="M559" s="36"/>
      <c r="N559" s="36"/>
      <c r="O559" s="6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 spans="1:28" ht="18" customHeight="1">
      <c r="A560" s="1">
        <v>9</v>
      </c>
      <c r="B560" s="1">
        <v>262710423</v>
      </c>
      <c r="C560" s="49" t="s">
        <v>1640</v>
      </c>
      <c r="D560" s="51"/>
      <c r="E560" s="52"/>
      <c r="F560" s="53" t="s">
        <v>3</v>
      </c>
      <c r="G560" s="36"/>
      <c r="H560" s="36"/>
      <c r="I560" s="36"/>
      <c r="J560" s="36"/>
      <c r="K560" s="36"/>
      <c r="L560" s="36"/>
      <c r="M560" s="36"/>
      <c r="N560" s="36"/>
      <c r="O560" s="6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 spans="1:28" ht="18" customHeight="1">
      <c r="A561" s="1">
        <v>10</v>
      </c>
      <c r="B561" s="1">
        <v>262710424</v>
      </c>
      <c r="C561" s="49" t="s">
        <v>1642</v>
      </c>
      <c r="D561" s="51"/>
      <c r="E561" s="52"/>
      <c r="F561" s="53" t="s">
        <v>3</v>
      </c>
      <c r="G561" s="36"/>
      <c r="H561" s="36"/>
      <c r="I561" s="36"/>
      <c r="J561" s="36"/>
      <c r="K561" s="36"/>
      <c r="L561" s="36"/>
      <c r="M561" s="36"/>
      <c r="N561" s="36"/>
      <c r="O561" s="6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 spans="1:28" ht="18" customHeight="1">
      <c r="A562" s="1">
        <v>11</v>
      </c>
      <c r="B562" s="1">
        <v>262710425</v>
      </c>
      <c r="C562" s="140" t="s">
        <v>1644</v>
      </c>
      <c r="D562" s="71"/>
      <c r="E562" s="103"/>
      <c r="F562" s="53" t="s">
        <v>1</v>
      </c>
      <c r="G562" s="36"/>
      <c r="H562" s="36"/>
      <c r="I562" s="36"/>
      <c r="J562" s="36"/>
      <c r="K562" s="36"/>
      <c r="L562" s="36"/>
      <c r="M562" s="36"/>
      <c r="N562" s="36"/>
      <c r="O562" s="6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 spans="1:28" ht="18" customHeight="1">
      <c r="A563" s="1">
        <v>12</v>
      </c>
      <c r="B563" s="1">
        <v>262710426</v>
      </c>
      <c r="C563" s="141" t="s">
        <v>1645</v>
      </c>
      <c r="D563" s="51"/>
      <c r="E563" s="52"/>
      <c r="F563" s="165" t="s">
        <v>1</v>
      </c>
      <c r="G563" s="36"/>
      <c r="H563" s="36"/>
      <c r="I563" s="36"/>
      <c r="J563" s="36"/>
      <c r="K563" s="36"/>
      <c r="L563" s="36"/>
      <c r="M563" s="36"/>
      <c r="N563" s="36"/>
      <c r="O563" s="6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 spans="1:28" ht="18" customHeight="1">
      <c r="A564" s="1">
        <v>13</v>
      </c>
      <c r="B564" s="1">
        <v>262710427</v>
      </c>
      <c r="C564" s="142" t="s">
        <v>1648</v>
      </c>
      <c r="D564" s="143"/>
      <c r="E564" s="144"/>
      <c r="F564" s="53" t="s">
        <v>3</v>
      </c>
      <c r="G564" s="36"/>
      <c r="H564" s="36"/>
      <c r="I564" s="36"/>
      <c r="J564" s="36"/>
      <c r="K564" s="36"/>
      <c r="L564" s="36"/>
      <c r="M564" s="36"/>
      <c r="N564" s="36"/>
      <c r="O564" s="6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 spans="1:28" ht="18" customHeight="1">
      <c r="A565" s="1">
        <v>14</v>
      </c>
      <c r="B565" s="1">
        <v>262710428</v>
      </c>
      <c r="C565" s="49" t="s">
        <v>1650</v>
      </c>
      <c r="D565" s="51"/>
      <c r="E565" s="52"/>
      <c r="F565" s="53" t="s">
        <v>1</v>
      </c>
      <c r="G565" s="36"/>
      <c r="H565" s="36"/>
      <c r="I565" s="36"/>
      <c r="J565" s="36"/>
      <c r="K565" s="36"/>
      <c r="L565" s="36"/>
      <c r="M565" s="36"/>
      <c r="N565" s="36"/>
      <c r="O565" s="6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 spans="1:28" ht="18" customHeight="1">
      <c r="A566" s="1">
        <v>15</v>
      </c>
      <c r="B566" s="1">
        <v>262710429</v>
      </c>
      <c r="C566" s="49" t="s">
        <v>1652</v>
      </c>
      <c r="D566" s="51"/>
      <c r="E566" s="52"/>
      <c r="F566" s="53" t="s">
        <v>3</v>
      </c>
      <c r="G566" s="36"/>
      <c r="H566" s="36"/>
      <c r="I566" s="36"/>
      <c r="J566" s="36"/>
      <c r="K566" s="36"/>
      <c r="L566" s="36"/>
      <c r="M566" s="36"/>
      <c r="N566" s="36"/>
      <c r="O566" s="6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 spans="1:28" ht="18" customHeight="1">
      <c r="A567" s="1">
        <v>16</v>
      </c>
      <c r="B567" s="1">
        <v>262710430</v>
      </c>
      <c r="C567" s="49" t="s">
        <v>1654</v>
      </c>
      <c r="D567" s="51"/>
      <c r="E567" s="52"/>
      <c r="F567" s="53" t="s">
        <v>1</v>
      </c>
      <c r="G567" s="36"/>
      <c r="H567" s="36"/>
      <c r="I567" s="36"/>
      <c r="J567" s="36"/>
      <c r="K567" s="36"/>
      <c r="L567" s="36"/>
      <c r="M567" s="36"/>
      <c r="N567" s="36"/>
      <c r="O567" s="6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 spans="1:28" ht="18" customHeight="1">
      <c r="A568" s="1">
        <v>17</v>
      </c>
      <c r="B568" s="1">
        <v>262710431</v>
      </c>
      <c r="C568" s="49" t="s">
        <v>1656</v>
      </c>
      <c r="D568" s="51"/>
      <c r="E568" s="52"/>
      <c r="F568" s="53" t="s">
        <v>1</v>
      </c>
      <c r="G568" s="36"/>
      <c r="H568" s="36"/>
      <c r="I568" s="36"/>
      <c r="J568" s="36"/>
      <c r="K568" s="36"/>
      <c r="L568" s="36"/>
      <c r="M568" s="36"/>
      <c r="N568" s="36"/>
      <c r="O568" s="6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 spans="1:28" ht="18" customHeight="1">
      <c r="A569" s="1">
        <v>18</v>
      </c>
      <c r="B569" s="1">
        <v>262710432</v>
      </c>
      <c r="C569" s="49" t="s">
        <v>1658</v>
      </c>
      <c r="D569" s="51"/>
      <c r="E569" s="52"/>
      <c r="F569" s="53" t="s">
        <v>3</v>
      </c>
      <c r="G569" s="36"/>
      <c r="H569" s="36"/>
      <c r="I569" s="36"/>
      <c r="J569" s="36"/>
      <c r="K569" s="36"/>
      <c r="L569" s="36"/>
      <c r="M569" s="36"/>
      <c r="N569" s="1"/>
      <c r="O569" s="6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 spans="1:28" ht="18" customHeight="1">
      <c r="A570" s="1">
        <v>19</v>
      </c>
      <c r="B570" s="1">
        <v>262710433</v>
      </c>
      <c r="C570" s="49" t="s">
        <v>1659</v>
      </c>
      <c r="D570" s="51"/>
      <c r="E570" s="52"/>
      <c r="F570" s="53" t="s">
        <v>3</v>
      </c>
      <c r="G570" s="36"/>
      <c r="H570" s="36"/>
      <c r="I570" s="36"/>
      <c r="J570" s="36"/>
      <c r="K570" s="36"/>
      <c r="L570" s="36"/>
      <c r="M570" s="36"/>
      <c r="N570" s="36"/>
      <c r="O570" s="6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 spans="1:28" ht="18" customHeight="1">
      <c r="A571" s="1">
        <v>20</v>
      </c>
      <c r="B571" s="1">
        <v>262710434</v>
      </c>
      <c r="C571" s="49" t="s">
        <v>1661</v>
      </c>
      <c r="D571" s="51"/>
      <c r="E571" s="52"/>
      <c r="F571" s="53" t="s">
        <v>3</v>
      </c>
      <c r="G571" s="36"/>
      <c r="H571" s="36"/>
      <c r="I571" s="36"/>
      <c r="J571" s="36"/>
      <c r="K571" s="36"/>
      <c r="L571" s="36"/>
      <c r="M571" s="36"/>
      <c r="N571" s="36"/>
      <c r="O571" s="6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 spans="1:28" ht="18" customHeight="1">
      <c r="A572" s="1">
        <v>21</v>
      </c>
      <c r="B572" s="1">
        <v>262710435</v>
      </c>
      <c r="C572" s="49" t="s">
        <v>1663</v>
      </c>
      <c r="D572" s="51"/>
      <c r="E572" s="52"/>
      <c r="F572" s="53" t="s">
        <v>3</v>
      </c>
      <c r="G572" s="36"/>
      <c r="H572" s="36"/>
      <c r="I572" s="36"/>
      <c r="J572" s="36"/>
      <c r="K572" s="36"/>
      <c r="L572" s="36"/>
      <c r="M572" s="36"/>
      <c r="N572" s="36"/>
      <c r="O572" s="6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 spans="1:28" ht="18" customHeight="1">
      <c r="A573" s="1">
        <v>22</v>
      </c>
      <c r="B573" s="1">
        <v>262710436</v>
      </c>
      <c r="C573" s="49" t="s">
        <v>1665</v>
      </c>
      <c r="D573" s="51"/>
      <c r="E573" s="52"/>
      <c r="F573" s="53" t="s">
        <v>1</v>
      </c>
      <c r="G573" s="36"/>
      <c r="H573" s="36"/>
      <c r="I573" s="36"/>
      <c r="J573" s="36"/>
      <c r="K573" s="36"/>
      <c r="L573" s="36"/>
      <c r="M573" s="36"/>
      <c r="N573" s="36"/>
      <c r="O573" s="6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 spans="1:28" ht="18" customHeight="1">
      <c r="A574" s="1">
        <v>23</v>
      </c>
      <c r="B574" s="1">
        <v>262710437</v>
      </c>
      <c r="C574" s="49" t="s">
        <v>1666</v>
      </c>
      <c r="D574" s="51"/>
      <c r="E574" s="52"/>
      <c r="F574" s="53" t="s">
        <v>1</v>
      </c>
      <c r="G574" s="36"/>
      <c r="H574" s="36"/>
      <c r="I574" s="36"/>
      <c r="J574" s="36"/>
      <c r="K574" s="36"/>
      <c r="L574" s="36"/>
      <c r="M574" s="36"/>
      <c r="N574" s="36"/>
      <c r="O574" s="6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 spans="1:28" ht="18" customHeight="1">
      <c r="A575" s="1">
        <v>24</v>
      </c>
      <c r="B575" s="1">
        <v>262710438</v>
      </c>
      <c r="C575" s="49" t="s">
        <v>1668</v>
      </c>
      <c r="D575" s="51"/>
      <c r="E575" s="52"/>
      <c r="F575" s="53" t="s">
        <v>1</v>
      </c>
      <c r="G575" s="36"/>
      <c r="H575" s="36"/>
      <c r="I575" s="36"/>
      <c r="J575" s="36"/>
      <c r="K575" s="36"/>
      <c r="L575" s="36"/>
      <c r="M575" s="36"/>
      <c r="N575" s="36"/>
      <c r="O575" s="6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 spans="1:28" ht="18" customHeight="1">
      <c r="A576" s="1">
        <v>25</v>
      </c>
      <c r="B576" s="1">
        <v>262710439</v>
      </c>
      <c r="C576" s="49" t="s">
        <v>1670</v>
      </c>
      <c r="D576" s="51"/>
      <c r="E576" s="52"/>
      <c r="F576" s="53" t="s">
        <v>1</v>
      </c>
      <c r="G576" s="36"/>
      <c r="H576" s="36"/>
      <c r="I576" s="36"/>
      <c r="J576" s="36"/>
      <c r="K576" s="36"/>
      <c r="L576" s="36"/>
      <c r="M576" s="36"/>
      <c r="N576" s="36"/>
      <c r="O576" s="6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 spans="1:28" ht="18" customHeight="1">
      <c r="A577" s="1">
        <v>26</v>
      </c>
      <c r="B577" s="1">
        <v>262710440</v>
      </c>
      <c r="C577" s="166" t="s">
        <v>1672</v>
      </c>
      <c r="D577" s="51"/>
      <c r="E577" s="52"/>
      <c r="F577" s="53" t="s">
        <v>3</v>
      </c>
      <c r="G577" s="36"/>
      <c r="H577" s="36"/>
      <c r="I577" s="36"/>
      <c r="J577" s="36"/>
      <c r="K577" s="36"/>
      <c r="L577" s="36"/>
      <c r="M577" s="36"/>
      <c r="N577" s="36"/>
      <c r="O577" s="6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 spans="1:28" ht="18" customHeight="1">
      <c r="A578" s="1">
        <v>27</v>
      </c>
      <c r="B578" s="1">
        <v>262710441</v>
      </c>
      <c r="C578" s="49" t="s">
        <v>1674</v>
      </c>
      <c r="D578" s="51"/>
      <c r="E578" s="52"/>
      <c r="F578" s="53" t="s">
        <v>3</v>
      </c>
      <c r="G578" s="36"/>
      <c r="H578" s="36"/>
      <c r="I578" s="36"/>
      <c r="J578" s="36"/>
      <c r="K578" s="36"/>
      <c r="L578" s="36"/>
      <c r="M578" s="36"/>
      <c r="N578" s="36"/>
      <c r="O578" s="6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 spans="1:28" ht="18" customHeight="1">
      <c r="A579" s="1">
        <v>28</v>
      </c>
      <c r="B579" s="1">
        <v>262710442</v>
      </c>
      <c r="C579" s="49" t="s">
        <v>1676</v>
      </c>
      <c r="D579" s="51"/>
      <c r="E579" s="52"/>
      <c r="F579" s="53" t="s">
        <v>3</v>
      </c>
      <c r="G579" s="36"/>
      <c r="H579" s="36"/>
      <c r="I579" s="36"/>
      <c r="J579" s="36"/>
      <c r="K579" s="36"/>
      <c r="L579" s="36"/>
      <c r="M579" s="36"/>
      <c r="N579" s="36"/>
      <c r="O579" s="6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 spans="1:28" ht="18" customHeight="1">
      <c r="A580" s="1">
        <v>29</v>
      </c>
      <c r="B580" s="1">
        <v>262710443</v>
      </c>
      <c r="C580" s="49" t="s">
        <v>1677</v>
      </c>
      <c r="D580" s="51"/>
      <c r="E580" s="52"/>
      <c r="F580" s="53" t="s">
        <v>3</v>
      </c>
      <c r="G580" s="49"/>
      <c r="H580" s="36"/>
      <c r="I580" s="36"/>
      <c r="J580" s="36"/>
      <c r="K580" s="36"/>
      <c r="L580" s="36"/>
      <c r="M580" s="36"/>
      <c r="N580" s="36"/>
      <c r="O580" s="6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 spans="1:28" ht="18" customHeight="1">
      <c r="A581" s="1">
        <v>30</v>
      </c>
      <c r="B581" s="1">
        <v>262710444</v>
      </c>
      <c r="C581" s="169" t="s">
        <v>1678</v>
      </c>
      <c r="D581" s="51"/>
      <c r="E581" s="52"/>
      <c r="F581" s="53" t="s">
        <v>3</v>
      </c>
      <c r="G581" s="54"/>
      <c r="H581" s="36"/>
      <c r="I581" s="36"/>
      <c r="J581" s="36"/>
      <c r="K581" s="36"/>
      <c r="L581" s="36"/>
      <c r="M581" s="36"/>
      <c r="N581" s="36"/>
      <c r="O581" s="6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 spans="1:28" ht="18" customHeight="1">
      <c r="A582" s="1">
        <v>31</v>
      </c>
      <c r="B582" s="1">
        <v>262710445</v>
      </c>
      <c r="C582" s="49" t="s">
        <v>1679</v>
      </c>
      <c r="D582" s="51"/>
      <c r="E582" s="52"/>
      <c r="F582" s="53" t="s">
        <v>3</v>
      </c>
      <c r="G582" s="36"/>
      <c r="H582" s="36"/>
      <c r="I582" s="36"/>
      <c r="J582" s="36"/>
      <c r="K582" s="36"/>
      <c r="L582" s="36"/>
      <c r="M582" s="36"/>
      <c r="N582" s="36"/>
      <c r="O582" s="6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 spans="1:28" ht="18" customHeight="1">
      <c r="A583" s="1">
        <v>32</v>
      </c>
      <c r="B583" s="1">
        <v>262710446</v>
      </c>
      <c r="C583" s="49" t="s">
        <v>1680</v>
      </c>
      <c r="D583" s="51"/>
      <c r="E583" s="52"/>
      <c r="F583" s="53" t="s">
        <v>1</v>
      </c>
      <c r="G583" s="36"/>
      <c r="H583" s="36"/>
      <c r="I583" s="36"/>
      <c r="J583" s="36"/>
      <c r="K583" s="36"/>
      <c r="L583" s="36"/>
      <c r="M583" s="36"/>
      <c r="N583" s="36"/>
      <c r="O583" s="6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 spans="1:28" ht="18" customHeight="1">
      <c r="A584" s="1">
        <v>33</v>
      </c>
      <c r="B584" s="1">
        <v>262710447</v>
      </c>
      <c r="C584" s="49" t="s">
        <v>1681</v>
      </c>
      <c r="D584" s="51"/>
      <c r="E584" s="52"/>
      <c r="F584" s="53" t="s">
        <v>1</v>
      </c>
      <c r="G584" s="36"/>
      <c r="H584" s="36"/>
      <c r="I584" s="36"/>
      <c r="J584" s="36"/>
      <c r="K584" s="36"/>
      <c r="L584" s="36"/>
      <c r="M584" s="36"/>
      <c r="N584" s="36"/>
      <c r="O584" s="6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 spans="1:28" ht="18" customHeight="1">
      <c r="A585" s="1">
        <v>34</v>
      </c>
      <c r="B585" s="1">
        <v>262710448</v>
      </c>
      <c r="C585" s="49" t="s">
        <v>1682</v>
      </c>
      <c r="D585" s="51"/>
      <c r="E585" s="52"/>
      <c r="F585" s="53" t="s">
        <v>1</v>
      </c>
      <c r="G585" s="85"/>
      <c r="H585" s="85"/>
      <c r="I585" s="85"/>
      <c r="J585" s="85"/>
      <c r="K585" s="85"/>
      <c r="L585" s="85"/>
      <c r="M585" s="85"/>
      <c r="N585" s="85"/>
      <c r="O585" s="6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 spans="1:28" ht="18" customHeight="1">
      <c r="A586" s="1">
        <v>35</v>
      </c>
      <c r="B586" s="1">
        <v>262710449</v>
      </c>
      <c r="C586" s="49" t="s">
        <v>1683</v>
      </c>
      <c r="D586" s="51"/>
      <c r="E586" s="52"/>
      <c r="F586" s="53" t="s">
        <v>3</v>
      </c>
      <c r="G586" s="36"/>
      <c r="H586" s="36"/>
      <c r="I586" s="36"/>
      <c r="J586" s="36"/>
      <c r="K586" s="36"/>
      <c r="L586" s="36"/>
      <c r="M586" s="36"/>
      <c r="N586" s="36"/>
      <c r="O586" s="6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 spans="1:28" ht="18" customHeight="1">
      <c r="A587" s="1">
        <v>36</v>
      </c>
      <c r="B587" s="1">
        <v>262710450</v>
      </c>
      <c r="C587" s="49" t="s">
        <v>1684</v>
      </c>
      <c r="D587" s="51"/>
      <c r="E587" s="52"/>
      <c r="F587" s="53" t="s">
        <v>1</v>
      </c>
      <c r="G587" s="36"/>
      <c r="H587" s="36"/>
      <c r="I587" s="36"/>
      <c r="J587" s="36"/>
      <c r="K587" s="36"/>
      <c r="L587" s="36"/>
      <c r="M587" s="36"/>
      <c r="N587" s="36"/>
      <c r="O587" s="6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 spans="1:28" ht="18" customHeight="1">
      <c r="A588" s="1">
        <v>37</v>
      </c>
      <c r="B588" s="1">
        <v>262710451</v>
      </c>
      <c r="C588" s="49" t="s">
        <v>1685</v>
      </c>
      <c r="D588" s="51"/>
      <c r="E588" s="52"/>
      <c r="F588" s="53" t="s">
        <v>3</v>
      </c>
      <c r="G588" s="36"/>
      <c r="H588" s="36"/>
      <c r="I588" s="36"/>
      <c r="J588" s="36"/>
      <c r="K588" s="36"/>
      <c r="L588" s="36"/>
      <c r="M588" s="36"/>
      <c r="N588" s="36"/>
      <c r="O588" s="6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 spans="1:28" ht="18" customHeight="1">
      <c r="A589" s="1">
        <v>38</v>
      </c>
      <c r="B589" s="1">
        <v>262710452</v>
      </c>
      <c r="C589" s="49" t="s">
        <v>1686</v>
      </c>
      <c r="D589" s="51"/>
      <c r="E589" s="52"/>
      <c r="F589" s="53" t="s">
        <v>1</v>
      </c>
      <c r="G589" s="36"/>
      <c r="H589" s="36"/>
      <c r="I589" s="36"/>
      <c r="J589" s="36"/>
      <c r="K589" s="36"/>
      <c r="L589" s="36"/>
      <c r="M589" s="36"/>
      <c r="N589" s="36"/>
      <c r="O589" s="6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 spans="1:28" ht="18" customHeight="1">
      <c r="A590" s="1">
        <v>39</v>
      </c>
      <c r="B590" s="1">
        <v>262710453</v>
      </c>
      <c r="C590" s="49" t="s">
        <v>1687</v>
      </c>
      <c r="D590" s="51"/>
      <c r="E590" s="52"/>
      <c r="F590" s="53" t="s">
        <v>3</v>
      </c>
      <c r="G590" s="36"/>
      <c r="H590" s="36"/>
      <c r="I590" s="36"/>
      <c r="J590" s="36"/>
      <c r="K590" s="36"/>
      <c r="L590" s="36"/>
      <c r="M590" s="36"/>
      <c r="N590" s="36"/>
      <c r="O590" s="6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 spans="1:28" ht="18" customHeight="1">
      <c r="A591" s="1">
        <v>40</v>
      </c>
      <c r="B591" s="1">
        <v>262710454</v>
      </c>
      <c r="C591" s="49" t="s">
        <v>1689</v>
      </c>
      <c r="D591" s="51"/>
      <c r="E591" s="52"/>
      <c r="F591" s="53" t="s">
        <v>3</v>
      </c>
      <c r="G591" s="36"/>
      <c r="H591" s="36"/>
      <c r="I591" s="36"/>
      <c r="J591" s="36"/>
      <c r="K591" s="36"/>
      <c r="L591" s="36"/>
      <c r="M591" s="36"/>
      <c r="N591" s="36"/>
      <c r="O591" s="6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 spans="1:28" ht="15.8" customHeight="1">
      <c r="A592" s="79"/>
      <c r="B592" s="79"/>
      <c r="C592" s="20"/>
      <c r="D592" s="20"/>
      <c r="E592" s="20"/>
      <c r="F592" s="80" t="s">
        <v>1</v>
      </c>
      <c r="G592" s="80">
        <f>COUNTIF(F552:F591,"L")</f>
        <v>20</v>
      </c>
      <c r="H592" s="20"/>
      <c r="I592" s="20"/>
      <c r="J592" s="20"/>
      <c r="K592" s="20"/>
      <c r="L592" s="20"/>
      <c r="M592" s="20"/>
      <c r="N592" s="20"/>
      <c r="O592" s="6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 spans="1:28" ht="15.8" customHeight="1">
      <c r="A593" s="79"/>
      <c r="B593" s="79"/>
      <c r="C593" s="7"/>
      <c r="D593" s="20"/>
      <c r="E593" s="20"/>
      <c r="F593" s="30" t="s">
        <v>3</v>
      </c>
      <c r="G593" s="30">
        <f>COUNTIF(F552:F591,"P")</f>
        <v>20</v>
      </c>
      <c r="H593" s="20"/>
      <c r="I593" s="20"/>
      <c r="J593" s="20"/>
      <c r="K593" s="20"/>
      <c r="L593" s="20"/>
      <c r="M593" s="20"/>
      <c r="N593" s="20"/>
      <c r="O593" s="6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 spans="1:28" ht="15.8" customHeight="1">
      <c r="A594" s="79"/>
      <c r="B594" s="79"/>
      <c r="C594" s="7"/>
      <c r="D594" s="20"/>
      <c r="E594" s="20"/>
      <c r="F594" s="81" t="s">
        <v>251</v>
      </c>
      <c r="G594" s="81">
        <f>SUM(G592:G593)</f>
        <v>40</v>
      </c>
      <c r="H594" s="20"/>
      <c r="I594" s="20"/>
      <c r="J594" s="20"/>
      <c r="K594" s="20"/>
      <c r="L594" s="20"/>
      <c r="M594" s="20"/>
      <c r="N594" s="20"/>
      <c r="O594" s="6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 spans="1:28" ht="15.8" customHeight="1">
      <c r="A595" s="20" t="s">
        <v>275</v>
      </c>
      <c r="B595" s="6"/>
      <c r="C595" s="20"/>
      <c r="D595" s="20"/>
      <c r="E595" s="20"/>
      <c r="F595" s="94"/>
      <c r="G595" s="6"/>
      <c r="H595" s="6"/>
      <c r="I595" s="82" t="s">
        <v>254</v>
      </c>
      <c r="J595" s="6"/>
      <c r="K595" s="6"/>
      <c r="L595" s="6"/>
      <c r="M595" s="6"/>
      <c r="N595" s="6"/>
      <c r="O595" s="6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 spans="1:28" ht="15.8" customHeight="1">
      <c r="A596" s="20" t="s">
        <v>280</v>
      </c>
      <c r="B596" s="6"/>
      <c r="C596" s="20"/>
      <c r="D596" s="20"/>
      <c r="E596" s="20" t="s">
        <v>281</v>
      </c>
      <c r="F596" s="94"/>
      <c r="G596" s="6"/>
      <c r="H596" s="6"/>
      <c r="I596" s="6" t="s">
        <v>256</v>
      </c>
      <c r="J596" s="6"/>
      <c r="K596" s="6"/>
      <c r="L596" s="6"/>
      <c r="M596" s="6"/>
      <c r="N596" s="6"/>
      <c r="O596" s="6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 spans="1:28" ht="15.8" customHeight="1">
      <c r="A597" s="20"/>
      <c r="B597" s="6"/>
      <c r="C597" s="20"/>
      <c r="D597" s="20"/>
      <c r="E597" s="20"/>
      <c r="F597" s="79"/>
      <c r="G597" s="20"/>
      <c r="H597" s="20"/>
      <c r="I597" s="6"/>
      <c r="J597" s="6"/>
      <c r="K597" s="6"/>
      <c r="L597" s="6"/>
      <c r="M597" s="6"/>
      <c r="N597" s="6"/>
      <c r="O597" s="6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 spans="1:28" ht="15.8" customHeight="1">
      <c r="A598" s="20"/>
      <c r="B598" s="6"/>
      <c r="C598" s="20"/>
      <c r="D598" s="20"/>
      <c r="E598" s="20"/>
      <c r="F598" s="79"/>
      <c r="G598" s="20"/>
      <c r="H598" s="20"/>
      <c r="I598" s="6"/>
      <c r="J598" s="6"/>
      <c r="K598" s="6"/>
      <c r="L598" s="6"/>
      <c r="M598" s="6"/>
      <c r="N598" s="6"/>
      <c r="O598" s="6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 spans="1:28" ht="15.8" customHeight="1">
      <c r="A599" s="24" t="s">
        <v>1692</v>
      </c>
      <c r="B599" s="6"/>
      <c r="C599" s="6"/>
      <c r="D599" s="6"/>
      <c r="E599" s="86" t="s">
        <v>525</v>
      </c>
      <c r="F599" s="94"/>
      <c r="G599" s="6"/>
      <c r="H599" s="20"/>
      <c r="I599" s="87"/>
      <c r="J599" s="87"/>
      <c r="K599" s="87"/>
      <c r="L599" s="87"/>
      <c r="M599" s="87"/>
      <c r="N599" s="87"/>
      <c r="O599" s="6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 spans="1:28" ht="15.8" customHeight="1">
      <c r="A600" s="41" t="s">
        <v>1693</v>
      </c>
      <c r="B600" s="41"/>
      <c r="C600" s="20"/>
      <c r="D600" s="20"/>
      <c r="E600" s="20" t="s">
        <v>527</v>
      </c>
      <c r="F600" s="79"/>
      <c r="G600" s="20"/>
      <c r="H600" s="20" t="s">
        <v>266</v>
      </c>
      <c r="I600" s="6"/>
      <c r="J600" s="6"/>
      <c r="K600" s="6"/>
      <c r="L600" s="6"/>
      <c r="M600" s="6"/>
      <c r="N600" s="6"/>
      <c r="O600" s="6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 spans="1:28" ht="15.8" customHeight="1">
      <c r="A601" s="43"/>
      <c r="B601" s="44"/>
      <c r="C601" s="44"/>
      <c r="D601" s="44"/>
      <c r="E601" s="44"/>
      <c r="F601" s="45"/>
      <c r="G601" s="46"/>
      <c r="H601" s="46"/>
      <c r="I601" s="44"/>
      <c r="J601" s="44"/>
      <c r="K601" s="44"/>
      <c r="L601" s="44"/>
      <c r="M601" s="44"/>
      <c r="N601" s="44"/>
      <c r="O601" s="6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 spans="1:28" ht="19.55" customHeight="1">
      <c r="A602" s="16" t="s">
        <v>79</v>
      </c>
      <c r="B602" s="16"/>
      <c r="C602" s="4" t="s">
        <v>1695</v>
      </c>
      <c r="D602" s="16"/>
      <c r="E602" s="22"/>
      <c r="F602" s="23"/>
      <c r="G602" s="17"/>
      <c r="H602" s="19" t="s">
        <v>82</v>
      </c>
      <c r="I602" s="17"/>
      <c r="J602" s="17"/>
      <c r="K602" s="17"/>
      <c r="L602" s="17"/>
      <c r="M602" s="20"/>
      <c r="N602" s="20"/>
      <c r="O602" s="6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 spans="1:28" ht="9" customHeight="1">
      <c r="A603" s="20"/>
      <c r="B603" s="24"/>
      <c r="C603" s="24"/>
      <c r="D603" s="24"/>
      <c r="E603" s="25"/>
      <c r="F603" s="14"/>
      <c r="G603" s="20"/>
      <c r="H603" s="26"/>
      <c r="I603" s="27"/>
      <c r="J603" s="27"/>
      <c r="K603" s="27"/>
      <c r="L603" s="27"/>
      <c r="M603" s="27"/>
      <c r="N603" s="27"/>
      <c r="O603" s="6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 spans="1:28" ht="15.8" customHeight="1">
      <c r="A604" s="176" t="s">
        <v>84</v>
      </c>
      <c r="B604" s="177"/>
      <c r="C604" s="178" t="s">
        <v>85</v>
      </c>
      <c r="D604" s="179"/>
      <c r="E604" s="180"/>
      <c r="F604" s="184" t="s">
        <v>86</v>
      </c>
      <c r="G604" s="176" t="s">
        <v>87</v>
      </c>
      <c r="H604" s="186"/>
      <c r="I604" s="186"/>
      <c r="J604" s="186"/>
      <c r="K604" s="186"/>
      <c r="L604" s="186"/>
      <c r="M604" s="177"/>
      <c r="N604" s="184" t="s">
        <v>88</v>
      </c>
      <c r="O604" s="6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 spans="1:28" ht="15.8" customHeight="1">
      <c r="A605" s="28" t="s">
        <v>90</v>
      </c>
      <c r="B605" s="28" t="s">
        <v>91</v>
      </c>
      <c r="C605" s="181"/>
      <c r="D605" s="182"/>
      <c r="E605" s="183"/>
      <c r="F605" s="185"/>
      <c r="G605" s="28"/>
      <c r="H605" s="28"/>
      <c r="I605" s="28"/>
      <c r="J605" s="28"/>
      <c r="K605" s="28"/>
      <c r="L605" s="28"/>
      <c r="M605" s="28"/>
      <c r="N605" s="185"/>
      <c r="O605" s="6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 spans="1:28" ht="18" customHeight="1">
      <c r="A606" s="1">
        <v>1</v>
      </c>
      <c r="B606" s="1">
        <v>262710455</v>
      </c>
      <c r="C606" s="132" t="s">
        <v>1698</v>
      </c>
      <c r="D606" s="51"/>
      <c r="E606" s="52"/>
      <c r="F606" s="152" t="s">
        <v>1</v>
      </c>
      <c r="G606" s="36"/>
      <c r="H606" s="36"/>
      <c r="I606" s="36"/>
      <c r="J606" s="36"/>
      <c r="K606" s="36"/>
      <c r="L606" s="36"/>
      <c r="M606" s="36"/>
      <c r="N606" s="36"/>
      <c r="O606" s="6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 spans="1:28" ht="18" customHeight="1">
      <c r="A607" s="1">
        <f t="shared" ref="A607:A653" si="18">A606+1</f>
        <v>2</v>
      </c>
      <c r="B607" s="1">
        <v>262710456</v>
      </c>
      <c r="C607" s="132" t="s">
        <v>1700</v>
      </c>
      <c r="D607" s="51"/>
      <c r="E607" s="52"/>
      <c r="F607" s="152" t="s">
        <v>1</v>
      </c>
      <c r="G607" s="36"/>
      <c r="H607" s="36"/>
      <c r="I607" s="36"/>
      <c r="J607" s="36"/>
      <c r="K607" s="36"/>
      <c r="L607" s="36"/>
      <c r="M607" s="36"/>
      <c r="N607" s="36"/>
      <c r="O607" s="6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 spans="1:28" ht="18" customHeight="1">
      <c r="A608" s="1">
        <f t="shared" si="18"/>
        <v>3</v>
      </c>
      <c r="B608" s="1">
        <v>262710457</v>
      </c>
      <c r="C608" s="132" t="s">
        <v>1702</v>
      </c>
      <c r="D608" s="51"/>
      <c r="E608" s="52"/>
      <c r="F608" s="152" t="s">
        <v>3</v>
      </c>
      <c r="G608" s="36"/>
      <c r="H608" s="36"/>
      <c r="I608" s="36"/>
      <c r="J608" s="36"/>
      <c r="K608" s="36"/>
      <c r="L608" s="36"/>
      <c r="M608" s="36"/>
      <c r="N608" s="36"/>
      <c r="O608" s="6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 spans="1:28" ht="18" customHeight="1">
      <c r="A609" s="1">
        <f t="shared" si="18"/>
        <v>4</v>
      </c>
      <c r="B609" s="1">
        <v>262710458</v>
      </c>
      <c r="C609" s="132" t="s">
        <v>1704</v>
      </c>
      <c r="D609" s="51"/>
      <c r="E609" s="52"/>
      <c r="F609" s="152" t="s">
        <v>3</v>
      </c>
      <c r="G609" s="36"/>
      <c r="H609" s="36"/>
      <c r="I609" s="36"/>
      <c r="J609" s="36"/>
      <c r="K609" s="36"/>
      <c r="L609" s="36"/>
      <c r="M609" s="36"/>
      <c r="N609" s="36"/>
      <c r="O609" s="6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 spans="1:28" ht="18" customHeight="1">
      <c r="A610" s="1">
        <f t="shared" si="18"/>
        <v>5</v>
      </c>
      <c r="B610" s="1">
        <v>262710459</v>
      </c>
      <c r="C610" s="132" t="s">
        <v>1706</v>
      </c>
      <c r="D610" s="51"/>
      <c r="E610" s="52"/>
      <c r="F610" s="152" t="s">
        <v>3</v>
      </c>
      <c r="G610" s="36"/>
      <c r="H610" s="36"/>
      <c r="I610" s="36"/>
      <c r="J610" s="36"/>
      <c r="K610" s="36"/>
      <c r="L610" s="36"/>
      <c r="M610" s="36"/>
      <c r="N610" s="36"/>
      <c r="O610" s="6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 spans="1:28" ht="18" customHeight="1">
      <c r="A611" s="1">
        <f t="shared" si="18"/>
        <v>6</v>
      </c>
      <c r="B611" s="1">
        <v>262710460</v>
      </c>
      <c r="C611" s="132" t="s">
        <v>1708</v>
      </c>
      <c r="D611" s="51"/>
      <c r="E611" s="52"/>
      <c r="F611" s="152" t="s">
        <v>1</v>
      </c>
      <c r="G611" s="36"/>
      <c r="H611" s="36"/>
      <c r="I611" s="36"/>
      <c r="J611" s="36"/>
      <c r="K611" s="36"/>
      <c r="L611" s="36"/>
      <c r="M611" s="36"/>
      <c r="N611" s="36"/>
      <c r="O611" s="6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 spans="1:28" ht="18" customHeight="1">
      <c r="A612" s="1">
        <f t="shared" si="18"/>
        <v>7</v>
      </c>
      <c r="B612" s="1">
        <v>262710461</v>
      </c>
      <c r="C612" s="132" t="s">
        <v>1710</v>
      </c>
      <c r="D612" s="51"/>
      <c r="E612" s="52"/>
      <c r="F612" s="152" t="s">
        <v>3</v>
      </c>
      <c r="G612" s="36"/>
      <c r="H612" s="36"/>
      <c r="I612" s="36"/>
      <c r="J612" s="36"/>
      <c r="K612" s="36"/>
      <c r="L612" s="36"/>
      <c r="M612" s="36"/>
      <c r="N612" s="36"/>
      <c r="O612" s="6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 spans="1:28" ht="18" customHeight="1">
      <c r="A613" s="1">
        <f t="shared" si="18"/>
        <v>8</v>
      </c>
      <c r="B613" s="1">
        <v>262710462</v>
      </c>
      <c r="C613" s="132" t="s">
        <v>1712</v>
      </c>
      <c r="D613" s="51"/>
      <c r="E613" s="52"/>
      <c r="F613" s="152" t="s">
        <v>1</v>
      </c>
      <c r="G613" s="36"/>
      <c r="H613" s="36"/>
      <c r="I613" s="36"/>
      <c r="J613" s="36"/>
      <c r="K613" s="36"/>
      <c r="L613" s="36"/>
      <c r="M613" s="36"/>
      <c r="N613" s="36"/>
      <c r="O613" s="6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 spans="1:28" ht="18" customHeight="1">
      <c r="A614" s="1">
        <f t="shared" si="18"/>
        <v>9</v>
      </c>
      <c r="B614" s="1">
        <v>262710463</v>
      </c>
      <c r="C614" s="132" t="s">
        <v>1714</v>
      </c>
      <c r="D614" s="51"/>
      <c r="E614" s="52"/>
      <c r="F614" s="152" t="s">
        <v>3</v>
      </c>
      <c r="G614" s="36"/>
      <c r="H614" s="36"/>
      <c r="I614" s="36"/>
      <c r="J614" s="36"/>
      <c r="K614" s="36"/>
      <c r="L614" s="36"/>
      <c r="M614" s="36"/>
      <c r="N614" s="36"/>
      <c r="O614" s="6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 spans="1:28" ht="18" customHeight="1">
      <c r="A615" s="1">
        <f t="shared" si="18"/>
        <v>10</v>
      </c>
      <c r="B615" s="1">
        <v>262710464</v>
      </c>
      <c r="C615" s="132" t="s">
        <v>1716</v>
      </c>
      <c r="D615" s="51"/>
      <c r="E615" s="52"/>
      <c r="F615" s="152" t="s">
        <v>1</v>
      </c>
      <c r="G615" s="36"/>
      <c r="H615" s="36"/>
      <c r="I615" s="36"/>
      <c r="J615" s="36"/>
      <c r="K615" s="36"/>
      <c r="L615" s="36"/>
      <c r="M615" s="36"/>
      <c r="N615" s="36"/>
      <c r="O615" s="6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 spans="1:28" ht="18" customHeight="1">
      <c r="A616" s="1">
        <f t="shared" si="18"/>
        <v>11</v>
      </c>
      <c r="B616" s="1">
        <v>262710465</v>
      </c>
      <c r="C616" s="132" t="s">
        <v>1717</v>
      </c>
      <c r="D616" s="51"/>
      <c r="E616" s="52"/>
      <c r="F616" s="152" t="s">
        <v>3</v>
      </c>
      <c r="G616" s="36"/>
      <c r="H616" s="36"/>
      <c r="I616" s="36"/>
      <c r="J616" s="36"/>
      <c r="K616" s="36"/>
      <c r="L616" s="36"/>
      <c r="M616" s="36"/>
      <c r="N616" s="36"/>
      <c r="O616" s="6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 spans="1:28" ht="18" customHeight="1">
      <c r="A617" s="1">
        <f t="shared" si="18"/>
        <v>12</v>
      </c>
      <c r="B617" s="1">
        <v>262710466</v>
      </c>
      <c r="C617" s="132" t="s">
        <v>1719</v>
      </c>
      <c r="D617" s="51"/>
      <c r="E617" s="52"/>
      <c r="F617" s="152" t="s">
        <v>3</v>
      </c>
      <c r="G617" s="36"/>
      <c r="H617" s="36"/>
      <c r="I617" s="36"/>
      <c r="J617" s="36"/>
      <c r="K617" s="36"/>
      <c r="L617" s="36"/>
      <c r="M617" s="36"/>
      <c r="N617" s="36"/>
      <c r="O617" s="6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 spans="1:28" ht="18" customHeight="1">
      <c r="A618" s="1">
        <f t="shared" si="18"/>
        <v>13</v>
      </c>
      <c r="B618" s="1">
        <v>262710467</v>
      </c>
      <c r="C618" s="132" t="s">
        <v>1721</v>
      </c>
      <c r="D618" s="51"/>
      <c r="E618" s="52"/>
      <c r="F618" s="152" t="s">
        <v>1</v>
      </c>
      <c r="G618" s="36"/>
      <c r="H618" s="36"/>
      <c r="I618" s="36"/>
      <c r="J618" s="36"/>
      <c r="K618" s="36"/>
      <c r="L618" s="36"/>
      <c r="M618" s="36"/>
      <c r="N618" s="36"/>
      <c r="O618" s="6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 spans="1:28" ht="18" customHeight="1">
      <c r="A619" s="1">
        <f t="shared" si="18"/>
        <v>14</v>
      </c>
      <c r="B619" s="1">
        <v>262710468</v>
      </c>
      <c r="C619" s="132" t="s">
        <v>1723</v>
      </c>
      <c r="D619" s="51"/>
      <c r="E619" s="52"/>
      <c r="F619" s="152" t="s">
        <v>1</v>
      </c>
      <c r="G619" s="36"/>
      <c r="H619" s="36"/>
      <c r="I619" s="36"/>
      <c r="J619" s="36"/>
      <c r="K619" s="36"/>
      <c r="L619" s="36"/>
      <c r="M619" s="36"/>
      <c r="N619" s="36"/>
      <c r="O619" s="6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 spans="1:28" ht="18" customHeight="1">
      <c r="A620" s="1">
        <f t="shared" si="18"/>
        <v>15</v>
      </c>
      <c r="B620" s="1">
        <v>262710469</v>
      </c>
      <c r="C620" s="132" t="s">
        <v>1725</v>
      </c>
      <c r="D620" s="51"/>
      <c r="E620" s="52"/>
      <c r="F620" s="152" t="s">
        <v>1</v>
      </c>
      <c r="G620" s="36"/>
      <c r="H620" s="36"/>
      <c r="I620" s="36"/>
      <c r="J620" s="36"/>
      <c r="K620" s="36"/>
      <c r="L620" s="36"/>
      <c r="M620" s="36"/>
      <c r="N620" s="36"/>
      <c r="O620" s="6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 spans="1:28" ht="18" customHeight="1">
      <c r="A621" s="1">
        <f t="shared" si="18"/>
        <v>16</v>
      </c>
      <c r="B621" s="1">
        <v>262710470</v>
      </c>
      <c r="C621" s="132" t="s">
        <v>1727</v>
      </c>
      <c r="D621" s="51"/>
      <c r="E621" s="52"/>
      <c r="F621" s="152" t="s">
        <v>3</v>
      </c>
      <c r="G621" s="36"/>
      <c r="H621" s="36"/>
      <c r="I621" s="36"/>
      <c r="J621" s="36"/>
      <c r="K621" s="36"/>
      <c r="L621" s="36"/>
      <c r="M621" s="36"/>
      <c r="N621" s="36"/>
      <c r="O621" s="6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 spans="1:28" ht="18" customHeight="1">
      <c r="A622" s="1">
        <f t="shared" si="18"/>
        <v>17</v>
      </c>
      <c r="B622" s="1">
        <v>262710471</v>
      </c>
      <c r="C622" s="132" t="s">
        <v>1729</v>
      </c>
      <c r="D622" s="51"/>
      <c r="E622" s="52"/>
      <c r="F622" s="152" t="s">
        <v>3</v>
      </c>
      <c r="G622" s="36"/>
      <c r="H622" s="36"/>
      <c r="I622" s="36"/>
      <c r="J622" s="36"/>
      <c r="K622" s="36"/>
      <c r="L622" s="36"/>
      <c r="M622" s="36"/>
      <c r="N622" s="36"/>
      <c r="O622" s="6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 spans="1:28" ht="18" customHeight="1">
      <c r="A623" s="1">
        <f t="shared" si="18"/>
        <v>18</v>
      </c>
      <c r="B623" s="1">
        <v>262710472</v>
      </c>
      <c r="C623" s="132" t="s">
        <v>1731</v>
      </c>
      <c r="D623" s="51"/>
      <c r="E623" s="52"/>
      <c r="F623" s="152" t="s">
        <v>1</v>
      </c>
      <c r="G623" s="36"/>
      <c r="H623" s="36"/>
      <c r="I623" s="36"/>
      <c r="J623" s="36"/>
      <c r="K623" s="36"/>
      <c r="L623" s="36"/>
      <c r="M623" s="36"/>
      <c r="N623" s="36"/>
      <c r="O623" s="6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 spans="1:28" ht="18" customHeight="1">
      <c r="A624" s="1">
        <f t="shared" si="18"/>
        <v>19</v>
      </c>
      <c r="B624" s="1">
        <v>262710473</v>
      </c>
      <c r="C624" s="132" t="s">
        <v>1733</v>
      </c>
      <c r="D624" s="51"/>
      <c r="E624" s="52"/>
      <c r="F624" s="152" t="s">
        <v>1</v>
      </c>
      <c r="G624" s="36"/>
      <c r="H624" s="36"/>
      <c r="I624" s="36"/>
      <c r="J624" s="36"/>
      <c r="K624" s="36"/>
      <c r="L624" s="36"/>
      <c r="M624" s="36"/>
      <c r="N624" s="1"/>
      <c r="O624" s="6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 spans="1:28" ht="18" customHeight="1">
      <c r="A625" s="1">
        <f t="shared" si="18"/>
        <v>20</v>
      </c>
      <c r="B625" s="1">
        <v>262710474</v>
      </c>
      <c r="C625" s="132" t="s">
        <v>1736</v>
      </c>
      <c r="D625" s="51"/>
      <c r="E625" s="52"/>
      <c r="F625" s="152" t="s">
        <v>1</v>
      </c>
      <c r="G625" s="36"/>
      <c r="H625" s="36"/>
      <c r="I625" s="36"/>
      <c r="J625" s="36"/>
      <c r="K625" s="36"/>
      <c r="L625" s="36"/>
      <c r="M625" s="36"/>
      <c r="N625" s="36"/>
      <c r="O625" s="6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 spans="1:28" ht="18" customHeight="1">
      <c r="A626" s="1">
        <f t="shared" si="18"/>
        <v>21</v>
      </c>
      <c r="B626" s="1">
        <v>262710475</v>
      </c>
      <c r="C626" s="132" t="s">
        <v>1739</v>
      </c>
      <c r="D626" s="51"/>
      <c r="E626" s="52"/>
      <c r="F626" s="152" t="s">
        <v>3</v>
      </c>
      <c r="G626" s="36"/>
      <c r="H626" s="36"/>
      <c r="I626" s="36"/>
      <c r="J626" s="36"/>
      <c r="K626" s="36"/>
      <c r="L626" s="36"/>
      <c r="M626" s="36"/>
      <c r="N626" s="36"/>
      <c r="O626" s="6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 spans="1:28" ht="18" customHeight="1">
      <c r="A627" s="1">
        <f t="shared" si="18"/>
        <v>22</v>
      </c>
      <c r="B627" s="1">
        <v>262710476</v>
      </c>
      <c r="C627" s="132" t="s">
        <v>1740</v>
      </c>
      <c r="D627" s="51"/>
      <c r="E627" s="52"/>
      <c r="F627" s="152" t="s">
        <v>1</v>
      </c>
      <c r="G627" s="36"/>
      <c r="H627" s="36"/>
      <c r="I627" s="36"/>
      <c r="J627" s="36"/>
      <c r="K627" s="36"/>
      <c r="L627" s="36"/>
      <c r="M627" s="36"/>
      <c r="N627" s="36"/>
      <c r="O627" s="6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 spans="1:28" ht="18" customHeight="1">
      <c r="A628" s="1">
        <f t="shared" si="18"/>
        <v>23</v>
      </c>
      <c r="B628" s="1">
        <v>262710477</v>
      </c>
      <c r="C628" s="132" t="s">
        <v>1742</v>
      </c>
      <c r="D628" s="51"/>
      <c r="E628" s="52"/>
      <c r="F628" s="152" t="s">
        <v>3</v>
      </c>
      <c r="G628" s="36"/>
      <c r="H628" s="36"/>
      <c r="I628" s="36"/>
      <c r="J628" s="36"/>
      <c r="K628" s="36"/>
      <c r="L628" s="36"/>
      <c r="M628" s="36"/>
      <c r="N628" s="36"/>
      <c r="O628" s="6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 spans="1:28" ht="18" customHeight="1">
      <c r="A629" s="1">
        <f t="shared" si="18"/>
        <v>24</v>
      </c>
      <c r="B629" s="1">
        <v>262710478</v>
      </c>
      <c r="C629" s="132" t="s">
        <v>1744</v>
      </c>
      <c r="D629" s="51"/>
      <c r="E629" s="52"/>
      <c r="F629" s="152" t="s">
        <v>1</v>
      </c>
      <c r="G629" s="36"/>
      <c r="H629" s="36"/>
      <c r="I629" s="36"/>
      <c r="J629" s="36"/>
      <c r="K629" s="36"/>
      <c r="L629" s="36"/>
      <c r="M629" s="36"/>
      <c r="N629" s="36"/>
      <c r="O629" s="6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 spans="1:28" ht="18" customHeight="1">
      <c r="A630" s="1">
        <f t="shared" si="18"/>
        <v>25</v>
      </c>
      <c r="B630" s="1">
        <v>262710479</v>
      </c>
      <c r="C630" s="132" t="s">
        <v>1746</v>
      </c>
      <c r="D630" s="51"/>
      <c r="E630" s="52"/>
      <c r="F630" s="152" t="s">
        <v>3</v>
      </c>
      <c r="G630" s="85"/>
      <c r="H630" s="36"/>
      <c r="I630" s="36"/>
      <c r="J630" s="36"/>
      <c r="K630" s="36"/>
      <c r="L630" s="36"/>
      <c r="M630" s="36"/>
      <c r="N630" s="36"/>
      <c r="O630" s="6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 spans="1:28" ht="18" customHeight="1">
      <c r="A631" s="1">
        <f t="shared" si="18"/>
        <v>26</v>
      </c>
      <c r="B631" s="1">
        <v>262710480</v>
      </c>
      <c r="C631" s="132" t="s">
        <v>1748</v>
      </c>
      <c r="D631" s="51"/>
      <c r="E631" s="52"/>
      <c r="F631" s="170" t="s">
        <v>3</v>
      </c>
      <c r="G631" s="107"/>
      <c r="H631" s="40"/>
      <c r="I631" s="36"/>
      <c r="J631" s="36"/>
      <c r="K631" s="36"/>
      <c r="L631" s="36"/>
      <c r="M631" s="36"/>
      <c r="N631" s="36"/>
      <c r="O631" s="6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 spans="1:28" ht="18" customHeight="1">
      <c r="A632" s="83">
        <f t="shared" si="18"/>
        <v>27</v>
      </c>
      <c r="B632" s="1">
        <v>262710481</v>
      </c>
      <c r="C632" s="132" t="s">
        <v>1751</v>
      </c>
      <c r="D632" s="51"/>
      <c r="E632" s="52"/>
      <c r="F632" s="170" t="s">
        <v>1</v>
      </c>
      <c r="G632" s="36"/>
      <c r="H632" s="89"/>
      <c r="I632" s="85"/>
      <c r="J632" s="85"/>
      <c r="K632" s="85"/>
      <c r="L632" s="85"/>
      <c r="M632" s="85"/>
      <c r="N632" s="85"/>
      <c r="O632" s="6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 spans="1:28" ht="18" customHeight="1">
      <c r="A633" s="123">
        <f t="shared" si="18"/>
        <v>28</v>
      </c>
      <c r="B633" s="1">
        <v>262710482</v>
      </c>
      <c r="C633" s="132" t="s">
        <v>1753</v>
      </c>
      <c r="D633" s="51"/>
      <c r="E633" s="52"/>
      <c r="F633" s="155" t="s">
        <v>1</v>
      </c>
      <c r="G633" s="156"/>
      <c r="H633" s="153"/>
      <c r="I633" s="78"/>
      <c r="J633" s="78"/>
      <c r="K633" s="78"/>
      <c r="L633" s="78"/>
      <c r="M633" s="78"/>
      <c r="N633" s="78"/>
      <c r="O633" s="21"/>
      <c r="P633" s="91"/>
      <c r="Q633" s="91"/>
      <c r="R633" s="78" t="s">
        <v>982</v>
      </c>
      <c r="S633" s="91"/>
      <c r="T633" s="91"/>
      <c r="U633" s="91"/>
      <c r="V633" s="91"/>
      <c r="W633" s="91"/>
      <c r="X633" s="91"/>
      <c r="Y633" s="91"/>
      <c r="Z633" s="91"/>
      <c r="AA633" s="91"/>
      <c r="AB633" s="91"/>
    </row>
    <row r="634" spans="1:28" ht="18" customHeight="1">
      <c r="A634" s="1">
        <f t="shared" si="18"/>
        <v>29</v>
      </c>
      <c r="B634" s="1">
        <v>262710483</v>
      </c>
      <c r="C634" s="132" t="s">
        <v>1756</v>
      </c>
      <c r="D634" s="51"/>
      <c r="E634" s="52"/>
      <c r="F634" s="170" t="s">
        <v>1</v>
      </c>
      <c r="G634" s="36"/>
      <c r="H634" s="40"/>
      <c r="I634" s="36"/>
      <c r="J634" s="36"/>
      <c r="K634" s="36"/>
      <c r="L634" s="36"/>
      <c r="M634" s="36"/>
      <c r="N634" s="36"/>
      <c r="O634" s="6"/>
      <c r="P634" s="7"/>
      <c r="Q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 spans="1:28" ht="18" customHeight="1">
      <c r="A635" s="1">
        <f t="shared" si="18"/>
        <v>30</v>
      </c>
      <c r="B635" s="1">
        <v>262710484</v>
      </c>
      <c r="C635" s="132" t="s">
        <v>1758</v>
      </c>
      <c r="D635" s="51"/>
      <c r="E635" s="52"/>
      <c r="F635" s="170" t="s">
        <v>1</v>
      </c>
      <c r="G635" s="36"/>
      <c r="H635" s="40"/>
      <c r="I635" s="36"/>
      <c r="J635" s="36"/>
      <c r="K635" s="36"/>
      <c r="L635" s="36"/>
      <c r="M635" s="36"/>
      <c r="N635" s="36"/>
      <c r="O635" s="6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 spans="1:28" ht="18" customHeight="1">
      <c r="A636" s="1">
        <f t="shared" si="18"/>
        <v>31</v>
      </c>
      <c r="B636" s="1">
        <v>262710485</v>
      </c>
      <c r="C636" s="132" t="s">
        <v>1760</v>
      </c>
      <c r="D636" s="51"/>
      <c r="E636" s="52"/>
      <c r="F636" s="152" t="s">
        <v>1</v>
      </c>
      <c r="G636" s="154"/>
      <c r="H636" s="36"/>
      <c r="I636" s="36"/>
      <c r="J636" s="36"/>
      <c r="K636" s="36"/>
      <c r="L636" s="36"/>
      <c r="M636" s="36"/>
      <c r="N636" s="36"/>
      <c r="O636" s="6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 spans="1:28" ht="18" customHeight="1">
      <c r="A637" s="1">
        <f t="shared" si="18"/>
        <v>32</v>
      </c>
      <c r="B637" s="1">
        <v>262710486</v>
      </c>
      <c r="C637" s="132" t="s">
        <v>1762</v>
      </c>
      <c r="D637" s="51"/>
      <c r="E637" s="52"/>
      <c r="F637" s="152" t="s">
        <v>3</v>
      </c>
      <c r="G637" s="54"/>
      <c r="H637" s="36"/>
      <c r="I637" s="36"/>
      <c r="J637" s="36"/>
      <c r="K637" s="36"/>
      <c r="L637" s="36"/>
      <c r="M637" s="36"/>
      <c r="N637" s="36"/>
      <c r="O637" s="6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 spans="1:28" ht="18" customHeight="1">
      <c r="A638" s="1">
        <f t="shared" si="18"/>
        <v>33</v>
      </c>
      <c r="B638" s="1">
        <v>262710487</v>
      </c>
      <c r="C638" s="132" t="s">
        <v>1764</v>
      </c>
      <c r="D638" s="51"/>
      <c r="E638" s="52"/>
      <c r="F638" s="152" t="s">
        <v>1</v>
      </c>
      <c r="G638" s="36"/>
      <c r="H638" s="36"/>
      <c r="I638" s="36"/>
      <c r="J638" s="36"/>
      <c r="K638" s="36"/>
      <c r="L638" s="36"/>
      <c r="M638" s="36"/>
      <c r="N638" s="36"/>
      <c r="O638" s="6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 spans="1:28" ht="18" customHeight="1">
      <c r="A639" s="1">
        <f t="shared" si="18"/>
        <v>34</v>
      </c>
      <c r="B639" s="1">
        <v>262710488</v>
      </c>
      <c r="C639" s="132" t="s">
        <v>1766</v>
      </c>
      <c r="D639" s="51"/>
      <c r="E639" s="52"/>
      <c r="F639" s="152" t="s">
        <v>1</v>
      </c>
      <c r="G639" s="36"/>
      <c r="H639" s="36"/>
      <c r="I639" s="36"/>
      <c r="J639" s="36"/>
      <c r="K639" s="36"/>
      <c r="L639" s="36"/>
      <c r="M639" s="36"/>
      <c r="N639" s="36"/>
      <c r="O639" s="6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 spans="1:28" ht="18" customHeight="1">
      <c r="A640" s="1">
        <f t="shared" si="18"/>
        <v>35</v>
      </c>
      <c r="B640" s="1">
        <v>262710489</v>
      </c>
      <c r="C640" s="132" t="s">
        <v>1768</v>
      </c>
      <c r="D640" s="51"/>
      <c r="E640" s="52"/>
      <c r="F640" s="152" t="s">
        <v>1</v>
      </c>
      <c r="G640" s="36"/>
      <c r="H640" s="36"/>
      <c r="I640" s="36"/>
      <c r="J640" s="36"/>
      <c r="K640" s="36"/>
      <c r="L640" s="36"/>
      <c r="M640" s="36"/>
      <c r="N640" s="36"/>
      <c r="O640" s="6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 spans="1:28" ht="18" customHeight="1">
      <c r="A641" s="1">
        <f t="shared" si="18"/>
        <v>36</v>
      </c>
      <c r="B641" s="1">
        <v>262710490</v>
      </c>
      <c r="C641" s="132" t="s">
        <v>1770</v>
      </c>
      <c r="D641" s="51"/>
      <c r="E641" s="52"/>
      <c r="F641" s="152" t="s">
        <v>3</v>
      </c>
      <c r="G641" s="36"/>
      <c r="H641" s="36"/>
      <c r="I641" s="36"/>
      <c r="J641" s="36"/>
      <c r="K641" s="36"/>
      <c r="L641" s="36"/>
      <c r="M641" s="36"/>
      <c r="N641" s="36"/>
      <c r="O641" s="6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 spans="1:28" ht="18" customHeight="1">
      <c r="A642" s="1">
        <f t="shared" si="18"/>
        <v>37</v>
      </c>
      <c r="B642" s="1">
        <v>262710491</v>
      </c>
      <c r="C642" s="132" t="s">
        <v>1772</v>
      </c>
      <c r="D642" s="51"/>
      <c r="E642" s="52"/>
      <c r="F642" s="152" t="s">
        <v>1</v>
      </c>
      <c r="G642" s="36"/>
      <c r="H642" s="36"/>
      <c r="I642" s="36"/>
      <c r="J642" s="36"/>
      <c r="K642" s="36"/>
      <c r="L642" s="36"/>
      <c r="M642" s="36"/>
      <c r="N642" s="36"/>
      <c r="O642" s="6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 spans="1:28" ht="18" customHeight="1">
      <c r="A643" s="1">
        <f t="shared" si="18"/>
        <v>38</v>
      </c>
      <c r="B643" s="1">
        <v>262710492</v>
      </c>
      <c r="C643" s="132" t="s">
        <v>1774</v>
      </c>
      <c r="D643" s="51"/>
      <c r="E643" s="52"/>
      <c r="F643" s="152" t="s">
        <v>1</v>
      </c>
      <c r="G643" s="36"/>
      <c r="H643" s="36"/>
      <c r="I643" s="36"/>
      <c r="J643" s="36"/>
      <c r="K643" s="36"/>
      <c r="L643" s="36"/>
      <c r="M643" s="36"/>
      <c r="N643" s="36"/>
      <c r="O643" s="6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 spans="1:28" ht="18" customHeight="1">
      <c r="A644" s="1">
        <f t="shared" si="18"/>
        <v>39</v>
      </c>
      <c r="B644" s="1">
        <v>262710493</v>
      </c>
      <c r="C644" s="132" t="s">
        <v>1776</v>
      </c>
      <c r="D644" s="51"/>
      <c r="E644" s="52"/>
      <c r="F644" s="152" t="s">
        <v>3</v>
      </c>
      <c r="G644" s="36"/>
      <c r="H644" s="36"/>
      <c r="I644" s="36"/>
      <c r="J644" s="36"/>
      <c r="K644" s="36"/>
      <c r="L644" s="36"/>
      <c r="M644" s="36"/>
      <c r="N644" s="36"/>
      <c r="O644" s="6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 spans="1:28" ht="18" customHeight="1">
      <c r="A645" s="1">
        <f t="shared" si="18"/>
        <v>40</v>
      </c>
      <c r="B645" s="1">
        <v>262710494</v>
      </c>
      <c r="C645" s="132" t="s">
        <v>1778</v>
      </c>
      <c r="D645" s="51"/>
      <c r="E645" s="52"/>
      <c r="F645" s="152" t="s">
        <v>1</v>
      </c>
      <c r="G645" s="36"/>
      <c r="H645" s="36"/>
      <c r="I645" s="36"/>
      <c r="J645" s="36"/>
      <c r="K645" s="36"/>
      <c r="L645" s="36"/>
      <c r="M645" s="36"/>
      <c r="N645" s="36"/>
      <c r="O645" s="6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 spans="1:28" ht="18" customHeight="1">
      <c r="A646" s="1">
        <f t="shared" si="18"/>
        <v>41</v>
      </c>
      <c r="B646" s="1">
        <v>262710495</v>
      </c>
      <c r="C646" s="132" t="s">
        <v>1779</v>
      </c>
      <c r="D646" s="51"/>
      <c r="E646" s="52"/>
      <c r="F646" s="152" t="s">
        <v>1</v>
      </c>
      <c r="G646" s="36"/>
      <c r="H646" s="36"/>
      <c r="I646" s="36"/>
      <c r="J646" s="36"/>
      <c r="K646" s="36"/>
      <c r="L646" s="36"/>
      <c r="M646" s="36"/>
      <c r="N646" s="36"/>
      <c r="O646" s="6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 spans="1:28" ht="18" customHeight="1">
      <c r="A647" s="1">
        <f t="shared" si="18"/>
        <v>42</v>
      </c>
      <c r="B647" s="1">
        <v>262710496</v>
      </c>
      <c r="C647" s="132" t="s">
        <v>1780</v>
      </c>
      <c r="D647" s="51"/>
      <c r="E647" s="52"/>
      <c r="F647" s="152" t="s">
        <v>3</v>
      </c>
      <c r="G647" s="36"/>
      <c r="H647" s="36"/>
      <c r="I647" s="36"/>
      <c r="J647" s="36"/>
      <c r="K647" s="36"/>
      <c r="L647" s="36"/>
      <c r="M647" s="36"/>
      <c r="N647" s="36"/>
      <c r="O647" s="6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 spans="1:28" ht="18" customHeight="1">
      <c r="A648" s="1">
        <f t="shared" si="18"/>
        <v>43</v>
      </c>
      <c r="B648" s="1">
        <v>262710497</v>
      </c>
      <c r="C648" s="132" t="s">
        <v>1781</v>
      </c>
      <c r="D648" s="51"/>
      <c r="E648" s="52"/>
      <c r="F648" s="152" t="s">
        <v>3</v>
      </c>
      <c r="G648" s="36"/>
      <c r="H648" s="36"/>
      <c r="I648" s="36"/>
      <c r="J648" s="36"/>
      <c r="K648" s="36"/>
      <c r="L648" s="36"/>
      <c r="M648" s="36"/>
      <c r="N648" s="36"/>
      <c r="O648" s="6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 spans="1:28" ht="18" customHeight="1">
      <c r="A649" s="1">
        <f t="shared" si="18"/>
        <v>44</v>
      </c>
      <c r="B649" s="1">
        <v>262710498</v>
      </c>
      <c r="C649" s="132" t="s">
        <v>1782</v>
      </c>
      <c r="D649" s="51"/>
      <c r="E649" s="52"/>
      <c r="F649" s="152" t="s">
        <v>3</v>
      </c>
      <c r="G649" s="36"/>
      <c r="H649" s="36"/>
      <c r="I649" s="36"/>
      <c r="J649" s="36"/>
      <c r="K649" s="36"/>
      <c r="L649" s="36"/>
      <c r="M649" s="36"/>
      <c r="N649" s="36"/>
      <c r="O649" s="6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 spans="1:28" ht="18" customHeight="1">
      <c r="A650" s="1">
        <f t="shared" si="18"/>
        <v>45</v>
      </c>
      <c r="B650" s="1">
        <v>262710499</v>
      </c>
      <c r="C650" s="132" t="s">
        <v>1783</v>
      </c>
      <c r="D650" s="51"/>
      <c r="E650" s="52"/>
      <c r="F650" s="152" t="s">
        <v>3</v>
      </c>
      <c r="G650" s="36"/>
      <c r="H650" s="36"/>
      <c r="I650" s="36"/>
      <c r="J650" s="36"/>
      <c r="K650" s="36"/>
      <c r="L650" s="36"/>
      <c r="M650" s="36"/>
      <c r="N650" s="36"/>
      <c r="O650" s="6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 spans="1:28" ht="18" customHeight="1">
      <c r="A651" s="83">
        <f t="shared" si="18"/>
        <v>46</v>
      </c>
      <c r="B651" s="1">
        <v>262710500</v>
      </c>
      <c r="C651" s="137" t="s">
        <v>1784</v>
      </c>
      <c r="D651" s="71"/>
      <c r="E651" s="103"/>
      <c r="F651" s="158" t="s">
        <v>3</v>
      </c>
      <c r="G651" s="85"/>
      <c r="H651" s="85"/>
      <c r="I651" s="85"/>
      <c r="J651" s="85"/>
      <c r="K651" s="85"/>
      <c r="L651" s="85"/>
      <c r="M651" s="85"/>
      <c r="N651" s="85"/>
      <c r="O651" s="6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 spans="1:28" ht="18" customHeight="1">
      <c r="A652" s="1">
        <f t="shared" si="18"/>
        <v>47</v>
      </c>
      <c r="B652" s="1">
        <v>262710501</v>
      </c>
      <c r="C652" s="132" t="s">
        <v>1785</v>
      </c>
      <c r="D652" s="51"/>
      <c r="E652" s="52"/>
      <c r="F652" s="158" t="s">
        <v>3</v>
      </c>
      <c r="G652" s="171"/>
      <c r="H652" s="85"/>
      <c r="I652" s="85"/>
      <c r="J652" s="85"/>
      <c r="K652" s="85"/>
      <c r="L652" s="85"/>
      <c r="M652" s="85"/>
      <c r="N652" s="85"/>
      <c r="O652" s="6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 spans="1:28" ht="15.8" customHeight="1">
      <c r="A653" s="83">
        <f t="shared" si="18"/>
        <v>48</v>
      </c>
      <c r="B653" s="1">
        <v>262710502</v>
      </c>
      <c r="C653" s="172" t="s">
        <v>1786</v>
      </c>
      <c r="D653" s="130"/>
      <c r="E653" s="130"/>
      <c r="F653" s="159" t="s">
        <v>1</v>
      </c>
      <c r="G653" s="107"/>
      <c r="H653" s="36"/>
      <c r="I653" s="36"/>
      <c r="J653" s="36"/>
      <c r="K653" s="36"/>
      <c r="L653" s="36"/>
      <c r="M653" s="36"/>
      <c r="N653" s="36"/>
      <c r="O653" s="6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 spans="1:28" ht="15.8" customHeight="1">
      <c r="A654" s="79"/>
      <c r="B654" s="79"/>
      <c r="C654" s="20"/>
      <c r="D654" s="20"/>
      <c r="E654" s="20"/>
      <c r="F654" s="80" t="s">
        <v>1</v>
      </c>
      <c r="G654" s="80">
        <f>COUNTIF(F606:F653,"L")</f>
        <v>26</v>
      </c>
      <c r="H654" s="20"/>
      <c r="I654" s="20"/>
      <c r="J654" s="20"/>
      <c r="K654" s="20"/>
      <c r="L654" s="20"/>
      <c r="M654" s="20"/>
      <c r="N654" s="20"/>
      <c r="O654" s="6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 spans="1:28" ht="15.8" customHeight="1">
      <c r="A655" s="20" t="s">
        <v>275</v>
      </c>
      <c r="B655" s="79"/>
      <c r="C655" s="20"/>
      <c r="D655" s="20"/>
      <c r="E655" s="20"/>
      <c r="F655" s="30" t="s">
        <v>3</v>
      </c>
      <c r="G655" s="30">
        <f>COUNTIF(F606:F653,"P")</f>
        <v>22</v>
      </c>
      <c r="H655" s="6"/>
      <c r="I655" s="82" t="s">
        <v>254</v>
      </c>
      <c r="J655" s="6"/>
      <c r="K655" s="6"/>
      <c r="L655" s="6"/>
      <c r="M655" s="6"/>
      <c r="N655" s="6"/>
      <c r="O655" s="6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 spans="1:28" ht="15.8" customHeight="1">
      <c r="A656" s="20" t="s">
        <v>280</v>
      </c>
      <c r="B656" s="79"/>
      <c r="C656" s="20"/>
      <c r="D656" s="20"/>
      <c r="E656" s="20" t="s">
        <v>281</v>
      </c>
      <c r="F656" s="81" t="s">
        <v>251</v>
      </c>
      <c r="G656" s="81">
        <f>SUM(G654:G655)</f>
        <v>48</v>
      </c>
      <c r="H656" s="6"/>
      <c r="I656" s="6" t="s">
        <v>256</v>
      </c>
      <c r="J656" s="6"/>
      <c r="K656" s="6"/>
      <c r="L656" s="6"/>
      <c r="M656" s="6"/>
      <c r="N656" s="6"/>
      <c r="O656" s="6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 spans="1:28" ht="15.8" customHeight="1">
      <c r="A657" s="20"/>
      <c r="B657" s="6"/>
      <c r="C657" s="20"/>
      <c r="D657" s="20"/>
      <c r="E657" s="20"/>
      <c r="F657" s="79"/>
      <c r="G657" s="20"/>
      <c r="H657" s="20"/>
      <c r="I657" s="6"/>
      <c r="J657" s="6"/>
      <c r="K657" s="6"/>
      <c r="L657" s="6"/>
      <c r="M657" s="6"/>
      <c r="N657" s="6"/>
      <c r="O657" s="6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 spans="1:28" ht="15.8" customHeight="1">
      <c r="A658" s="20"/>
      <c r="B658" s="6"/>
      <c r="C658" s="20"/>
      <c r="D658" s="20"/>
      <c r="E658" s="20"/>
      <c r="F658" s="79"/>
      <c r="G658" s="20"/>
      <c r="H658" s="20"/>
      <c r="I658" s="6"/>
      <c r="J658" s="6"/>
      <c r="K658" s="6"/>
      <c r="L658" s="6"/>
      <c r="M658" s="6"/>
      <c r="N658" s="6"/>
      <c r="O658" s="6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 spans="1:28" ht="15.8" customHeight="1">
      <c r="A659" s="24" t="s">
        <v>1790</v>
      </c>
      <c r="B659" s="6"/>
      <c r="C659" s="6"/>
      <c r="D659" s="6"/>
      <c r="E659" s="86" t="s">
        <v>300</v>
      </c>
      <c r="F659" s="94"/>
      <c r="G659" s="6"/>
      <c r="H659" s="20"/>
      <c r="I659" s="87"/>
      <c r="J659" s="87"/>
      <c r="K659" s="87"/>
      <c r="L659" s="87"/>
      <c r="M659" s="87"/>
      <c r="N659" s="87"/>
      <c r="O659" s="6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 spans="1:28" ht="15.8" customHeight="1">
      <c r="A660" s="41" t="s">
        <v>1791</v>
      </c>
      <c r="B660" s="41"/>
      <c r="C660" s="20"/>
      <c r="D660" s="20"/>
      <c r="E660" s="20" t="s">
        <v>308</v>
      </c>
      <c r="F660" s="79"/>
      <c r="G660" s="20"/>
      <c r="H660" s="20" t="s">
        <v>266</v>
      </c>
      <c r="I660" s="6"/>
      <c r="J660" s="6"/>
      <c r="K660" s="6"/>
      <c r="L660" s="6"/>
      <c r="M660" s="6"/>
      <c r="N660" s="6"/>
      <c r="O660" s="6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 spans="1:28" ht="15.8" customHeight="1">
      <c r="A661" s="7"/>
      <c r="B661" s="7"/>
      <c r="C661" s="7"/>
      <c r="D661" s="7"/>
      <c r="E661" s="7"/>
      <c r="F661" s="125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 spans="1:28" ht="15.8" customHeight="1">
      <c r="A662" s="16" t="s">
        <v>79</v>
      </c>
      <c r="B662" s="16"/>
      <c r="C662" s="4" t="s">
        <v>1793</v>
      </c>
      <c r="D662" s="16"/>
      <c r="E662" s="22"/>
      <c r="F662" s="23"/>
      <c r="G662" s="17"/>
      <c r="H662" s="19" t="s">
        <v>82</v>
      </c>
      <c r="I662" s="17"/>
      <c r="J662" s="17"/>
      <c r="K662" s="17"/>
      <c r="L662" s="17"/>
      <c r="M662" s="20"/>
      <c r="N662" s="20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 spans="1:28" ht="15.8" customHeight="1">
      <c r="A663" s="20"/>
      <c r="B663" s="24"/>
      <c r="C663" s="24"/>
      <c r="D663" s="24"/>
      <c r="E663" s="25"/>
      <c r="F663" s="14"/>
      <c r="G663" s="20"/>
      <c r="H663" s="26"/>
      <c r="I663" s="27"/>
      <c r="J663" s="27"/>
      <c r="K663" s="27"/>
      <c r="L663" s="27"/>
      <c r="M663" s="27"/>
      <c r="N663" s="2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 spans="1:28" ht="15.8" customHeight="1">
      <c r="A664" s="176" t="s">
        <v>84</v>
      </c>
      <c r="B664" s="177"/>
      <c r="C664" s="178" t="s">
        <v>85</v>
      </c>
      <c r="D664" s="179"/>
      <c r="E664" s="180"/>
      <c r="F664" s="184" t="s">
        <v>86</v>
      </c>
      <c r="G664" s="176" t="s">
        <v>87</v>
      </c>
      <c r="H664" s="186"/>
      <c r="I664" s="186"/>
      <c r="J664" s="186"/>
      <c r="K664" s="186"/>
      <c r="L664" s="186"/>
      <c r="M664" s="177"/>
      <c r="N664" s="184" t="s">
        <v>88</v>
      </c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 spans="1:28" ht="15.8" customHeight="1">
      <c r="A665" s="28" t="s">
        <v>90</v>
      </c>
      <c r="B665" s="28" t="s">
        <v>91</v>
      </c>
      <c r="C665" s="181"/>
      <c r="D665" s="182"/>
      <c r="E665" s="183"/>
      <c r="F665" s="185"/>
      <c r="G665" s="28"/>
      <c r="H665" s="28"/>
      <c r="I665" s="28"/>
      <c r="J665" s="28"/>
      <c r="K665" s="28"/>
      <c r="L665" s="28"/>
      <c r="M665" s="28"/>
      <c r="N665" s="185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 spans="1:28" ht="18" customHeight="1">
      <c r="A666" s="1">
        <v>1</v>
      </c>
      <c r="B666" s="1">
        <v>262710503</v>
      </c>
      <c r="C666" s="132" t="s">
        <v>1797</v>
      </c>
      <c r="D666" s="51"/>
      <c r="E666" s="52"/>
      <c r="F666" s="152" t="s">
        <v>3</v>
      </c>
      <c r="G666" s="36"/>
      <c r="H666" s="36"/>
      <c r="I666" s="36"/>
      <c r="J666" s="36"/>
      <c r="K666" s="36"/>
      <c r="L666" s="36"/>
      <c r="M666" s="36"/>
      <c r="N666" s="36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 spans="1:28" ht="18" customHeight="1">
      <c r="A667" s="1">
        <f t="shared" ref="A667:A713" si="19">A666+1</f>
        <v>2</v>
      </c>
      <c r="B667" s="1">
        <v>262710504</v>
      </c>
      <c r="C667" s="132" t="s">
        <v>1799</v>
      </c>
      <c r="D667" s="51"/>
      <c r="E667" s="52"/>
      <c r="F667" s="152" t="s">
        <v>3</v>
      </c>
      <c r="G667" s="36"/>
      <c r="H667" s="36"/>
      <c r="I667" s="36"/>
      <c r="J667" s="36"/>
      <c r="K667" s="36"/>
      <c r="L667" s="36"/>
      <c r="M667" s="36"/>
      <c r="N667" s="36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 spans="1:28" ht="18" customHeight="1">
      <c r="A668" s="1">
        <f t="shared" si="19"/>
        <v>3</v>
      </c>
      <c r="B668" s="1">
        <v>262710505</v>
      </c>
      <c r="C668" s="132" t="s">
        <v>1801</v>
      </c>
      <c r="D668" s="51"/>
      <c r="E668" s="52"/>
      <c r="F668" s="152" t="s">
        <v>3</v>
      </c>
      <c r="G668" s="36"/>
      <c r="H668" s="36"/>
      <c r="I668" s="36"/>
      <c r="J668" s="36"/>
      <c r="K668" s="36"/>
      <c r="L668" s="36"/>
      <c r="M668" s="36"/>
      <c r="N668" s="36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 spans="1:28" ht="18" customHeight="1">
      <c r="A669" s="1">
        <f t="shared" si="19"/>
        <v>4</v>
      </c>
      <c r="B669" s="1">
        <v>262710506</v>
      </c>
      <c r="C669" s="132" t="s">
        <v>1802</v>
      </c>
      <c r="D669" s="51"/>
      <c r="E669" s="52"/>
      <c r="F669" s="152" t="s">
        <v>1</v>
      </c>
      <c r="G669" s="36"/>
      <c r="H669" s="36"/>
      <c r="I669" s="36"/>
      <c r="J669" s="36"/>
      <c r="K669" s="36"/>
      <c r="L669" s="36"/>
      <c r="M669" s="36"/>
      <c r="N669" s="36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 spans="1:28" ht="18" customHeight="1">
      <c r="A670" s="1">
        <f t="shared" si="19"/>
        <v>5</v>
      </c>
      <c r="B670" s="1">
        <v>262710507</v>
      </c>
      <c r="C670" s="132" t="s">
        <v>1804</v>
      </c>
      <c r="D670" s="51"/>
      <c r="E670" s="52"/>
      <c r="F670" s="152" t="s">
        <v>3</v>
      </c>
      <c r="G670" s="36"/>
      <c r="H670" s="36"/>
      <c r="I670" s="36"/>
      <c r="J670" s="36"/>
      <c r="K670" s="36"/>
      <c r="L670" s="36"/>
      <c r="M670" s="36"/>
      <c r="N670" s="36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 spans="1:28" ht="18" customHeight="1">
      <c r="A671" s="1">
        <f t="shared" si="19"/>
        <v>6</v>
      </c>
      <c r="B671" s="1">
        <v>262710508</v>
      </c>
      <c r="C671" s="132" t="s">
        <v>1806</v>
      </c>
      <c r="D671" s="51"/>
      <c r="E671" s="52"/>
      <c r="F671" s="152" t="s">
        <v>1</v>
      </c>
      <c r="G671" s="36"/>
      <c r="H671" s="36"/>
      <c r="I671" s="36"/>
      <c r="J671" s="36"/>
      <c r="K671" s="36"/>
      <c r="L671" s="36"/>
      <c r="M671" s="36"/>
      <c r="N671" s="36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 spans="1:28" ht="18" customHeight="1">
      <c r="A672" s="1">
        <f t="shared" si="19"/>
        <v>7</v>
      </c>
      <c r="B672" s="1">
        <v>262710509</v>
      </c>
      <c r="C672" s="132" t="s">
        <v>1808</v>
      </c>
      <c r="D672" s="51"/>
      <c r="E672" s="52"/>
      <c r="F672" s="152" t="s">
        <v>3</v>
      </c>
      <c r="G672" s="36"/>
      <c r="H672" s="36"/>
      <c r="I672" s="36"/>
      <c r="J672" s="36"/>
      <c r="K672" s="36"/>
      <c r="L672" s="36"/>
      <c r="M672" s="36"/>
      <c r="N672" s="36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 spans="1:28" ht="18" customHeight="1">
      <c r="A673" s="1">
        <f t="shared" si="19"/>
        <v>8</v>
      </c>
      <c r="B673" s="1">
        <v>262710510</v>
      </c>
      <c r="C673" s="132" t="s">
        <v>1809</v>
      </c>
      <c r="D673" s="51"/>
      <c r="E673" s="52"/>
      <c r="F673" s="152" t="s">
        <v>3</v>
      </c>
      <c r="G673" s="36"/>
      <c r="H673" s="36"/>
      <c r="I673" s="36"/>
      <c r="J673" s="36"/>
      <c r="K673" s="36"/>
      <c r="L673" s="36"/>
      <c r="M673" s="36"/>
      <c r="N673" s="36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 spans="1:28" ht="18" customHeight="1">
      <c r="A674" s="1">
        <f t="shared" si="19"/>
        <v>9</v>
      </c>
      <c r="B674" s="1">
        <v>262710511</v>
      </c>
      <c r="C674" s="132" t="s">
        <v>1812</v>
      </c>
      <c r="D674" s="51"/>
      <c r="E674" s="52"/>
      <c r="F674" s="152" t="s">
        <v>3</v>
      </c>
      <c r="G674" s="36"/>
      <c r="H674" s="36"/>
      <c r="I674" s="36"/>
      <c r="J674" s="36"/>
      <c r="K674" s="36"/>
      <c r="L674" s="36"/>
      <c r="M674" s="36"/>
      <c r="N674" s="36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 spans="1:28" ht="18" customHeight="1">
      <c r="A675" s="1">
        <f t="shared" si="19"/>
        <v>10</v>
      </c>
      <c r="B675" s="1">
        <v>262710512</v>
      </c>
      <c r="C675" s="132" t="s">
        <v>1814</v>
      </c>
      <c r="D675" s="51"/>
      <c r="E675" s="52"/>
      <c r="F675" s="152" t="s">
        <v>3</v>
      </c>
      <c r="G675" s="36"/>
      <c r="H675" s="36"/>
      <c r="I675" s="36"/>
      <c r="J675" s="36"/>
      <c r="K675" s="36"/>
      <c r="L675" s="36"/>
      <c r="M675" s="36"/>
      <c r="N675" s="36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 spans="1:28" ht="18" customHeight="1">
      <c r="A676" s="1">
        <f t="shared" si="19"/>
        <v>11</v>
      </c>
      <c r="B676" s="1">
        <v>262710513</v>
      </c>
      <c r="C676" s="132" t="s">
        <v>1816</v>
      </c>
      <c r="D676" s="51"/>
      <c r="E676" s="52"/>
      <c r="F676" s="152" t="s">
        <v>1</v>
      </c>
      <c r="G676" s="36"/>
      <c r="H676" s="36"/>
      <c r="I676" s="36"/>
      <c r="J676" s="36"/>
      <c r="K676" s="36"/>
      <c r="L676" s="36"/>
      <c r="M676" s="36"/>
      <c r="N676" s="36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 spans="1:28" ht="18" customHeight="1">
      <c r="A677" s="1">
        <f t="shared" si="19"/>
        <v>12</v>
      </c>
      <c r="B677" s="1">
        <v>262710514</v>
      </c>
      <c r="C677" s="132" t="s">
        <v>1818</v>
      </c>
      <c r="D677" s="51"/>
      <c r="E677" s="52"/>
      <c r="F677" s="152" t="s">
        <v>3</v>
      </c>
      <c r="G677" s="36"/>
      <c r="H677" s="36"/>
      <c r="I677" s="36"/>
      <c r="J677" s="36"/>
      <c r="K677" s="36"/>
      <c r="L677" s="36"/>
      <c r="M677" s="36"/>
      <c r="N677" s="36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 spans="1:28" ht="18" customHeight="1">
      <c r="A678" s="1">
        <f t="shared" si="19"/>
        <v>13</v>
      </c>
      <c r="B678" s="1">
        <v>262710515</v>
      </c>
      <c r="C678" s="132" t="s">
        <v>1819</v>
      </c>
      <c r="D678" s="51"/>
      <c r="E678" s="52"/>
      <c r="F678" s="152" t="s">
        <v>1</v>
      </c>
      <c r="G678" s="36"/>
      <c r="H678" s="36"/>
      <c r="I678" s="36"/>
      <c r="J678" s="36"/>
      <c r="K678" s="36"/>
      <c r="L678" s="36"/>
      <c r="M678" s="36"/>
      <c r="N678" s="36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 spans="1:28" ht="18" customHeight="1">
      <c r="A679" s="1">
        <f t="shared" si="19"/>
        <v>14</v>
      </c>
      <c r="B679" s="1">
        <v>262710516</v>
      </c>
      <c r="C679" s="132" t="s">
        <v>1821</v>
      </c>
      <c r="D679" s="51"/>
      <c r="E679" s="52"/>
      <c r="F679" s="152" t="s">
        <v>1</v>
      </c>
      <c r="G679" s="36"/>
      <c r="H679" s="36"/>
      <c r="I679" s="36"/>
      <c r="J679" s="36"/>
      <c r="K679" s="36"/>
      <c r="L679" s="36"/>
      <c r="M679" s="36"/>
      <c r="N679" s="36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 spans="1:28" ht="18" customHeight="1">
      <c r="A680" s="1">
        <f t="shared" si="19"/>
        <v>15</v>
      </c>
      <c r="B680" s="1">
        <v>262710517</v>
      </c>
      <c r="C680" s="132" t="s">
        <v>1823</v>
      </c>
      <c r="D680" s="51"/>
      <c r="E680" s="52"/>
      <c r="F680" s="152" t="s">
        <v>3</v>
      </c>
      <c r="G680" s="36"/>
      <c r="H680" s="36"/>
      <c r="I680" s="36"/>
      <c r="J680" s="36"/>
      <c r="K680" s="36"/>
      <c r="L680" s="36"/>
      <c r="M680" s="36"/>
      <c r="N680" s="36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 spans="1:28" ht="18" customHeight="1">
      <c r="A681" s="1">
        <f t="shared" si="19"/>
        <v>16</v>
      </c>
      <c r="B681" s="1">
        <v>262710518</v>
      </c>
      <c r="C681" s="132" t="s">
        <v>1825</v>
      </c>
      <c r="D681" s="51"/>
      <c r="E681" s="52"/>
      <c r="F681" s="152" t="s">
        <v>1</v>
      </c>
      <c r="G681" s="36"/>
      <c r="H681" s="36"/>
      <c r="I681" s="36"/>
      <c r="J681" s="36"/>
      <c r="K681" s="36"/>
      <c r="L681" s="36"/>
      <c r="M681" s="36"/>
      <c r="N681" s="36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 spans="1:28" ht="18" customHeight="1">
      <c r="A682" s="1">
        <f t="shared" si="19"/>
        <v>17</v>
      </c>
      <c r="B682" s="1">
        <v>262710519</v>
      </c>
      <c r="C682" s="132" t="s">
        <v>1827</v>
      </c>
      <c r="D682" s="51"/>
      <c r="E682" s="52"/>
      <c r="F682" s="152" t="s">
        <v>1</v>
      </c>
      <c r="G682" s="36"/>
      <c r="H682" s="36"/>
      <c r="I682" s="36"/>
      <c r="J682" s="36"/>
      <c r="K682" s="36"/>
      <c r="L682" s="36"/>
      <c r="M682" s="36"/>
      <c r="N682" s="36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 spans="1:28" ht="18" customHeight="1">
      <c r="A683" s="1">
        <f t="shared" si="19"/>
        <v>18</v>
      </c>
      <c r="B683" s="1">
        <v>262710520</v>
      </c>
      <c r="C683" s="132" t="s">
        <v>1829</v>
      </c>
      <c r="D683" s="51"/>
      <c r="E683" s="52"/>
      <c r="F683" s="152" t="s">
        <v>3</v>
      </c>
      <c r="G683" s="36"/>
      <c r="H683" s="36"/>
      <c r="I683" s="36"/>
      <c r="J683" s="36"/>
      <c r="K683" s="36"/>
      <c r="L683" s="36"/>
      <c r="M683" s="36"/>
      <c r="N683" s="36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 spans="1:28" ht="18" customHeight="1">
      <c r="A684" s="1">
        <f t="shared" si="19"/>
        <v>19</v>
      </c>
      <c r="B684" s="1">
        <v>262710521</v>
      </c>
      <c r="C684" s="132" t="s">
        <v>1830</v>
      </c>
      <c r="D684" s="51"/>
      <c r="E684" s="52"/>
      <c r="F684" s="152" t="s">
        <v>1</v>
      </c>
      <c r="G684" s="36"/>
      <c r="H684" s="36"/>
      <c r="I684" s="36"/>
      <c r="J684" s="36"/>
      <c r="K684" s="36"/>
      <c r="L684" s="36"/>
      <c r="M684" s="36"/>
      <c r="N684" s="1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 spans="1:28" ht="18" customHeight="1">
      <c r="A685" s="1">
        <f t="shared" si="19"/>
        <v>20</v>
      </c>
      <c r="B685" s="1">
        <v>262710522</v>
      </c>
      <c r="C685" s="132" t="s">
        <v>1832</v>
      </c>
      <c r="D685" s="51"/>
      <c r="E685" s="52"/>
      <c r="F685" s="152" t="s">
        <v>1</v>
      </c>
      <c r="G685" s="36"/>
      <c r="H685" s="36"/>
      <c r="I685" s="36"/>
      <c r="J685" s="36"/>
      <c r="K685" s="36"/>
      <c r="L685" s="36"/>
      <c r="M685" s="36"/>
      <c r="N685" s="36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 spans="1:28" ht="18" customHeight="1">
      <c r="A686" s="1">
        <f t="shared" si="19"/>
        <v>21</v>
      </c>
      <c r="B686" s="1">
        <v>262710523</v>
      </c>
      <c r="C686" s="132" t="s">
        <v>1834</v>
      </c>
      <c r="D686" s="51"/>
      <c r="E686" s="52"/>
      <c r="F686" s="152" t="s">
        <v>1</v>
      </c>
      <c r="G686" s="36"/>
      <c r="H686" s="36"/>
      <c r="I686" s="36"/>
      <c r="J686" s="36"/>
      <c r="K686" s="36"/>
      <c r="L686" s="36"/>
      <c r="M686" s="36"/>
      <c r="N686" s="36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 spans="1:28" ht="18" customHeight="1">
      <c r="A687" s="1">
        <f t="shared" si="19"/>
        <v>22</v>
      </c>
      <c r="B687" s="1">
        <v>262710524</v>
      </c>
      <c r="C687" s="132" t="s">
        <v>1836</v>
      </c>
      <c r="D687" s="51"/>
      <c r="E687" s="52"/>
      <c r="F687" s="152" t="s">
        <v>1</v>
      </c>
      <c r="G687" s="36"/>
      <c r="H687" s="36"/>
      <c r="I687" s="36"/>
      <c r="J687" s="36"/>
      <c r="K687" s="36"/>
      <c r="L687" s="36"/>
      <c r="M687" s="36"/>
      <c r="N687" s="36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 spans="1:28" ht="18" customHeight="1">
      <c r="A688" s="1">
        <f t="shared" si="19"/>
        <v>23</v>
      </c>
      <c r="B688" s="1">
        <v>262710525</v>
      </c>
      <c r="C688" s="132" t="s">
        <v>1837</v>
      </c>
      <c r="D688" s="51"/>
      <c r="E688" s="52"/>
      <c r="F688" s="152" t="s">
        <v>1</v>
      </c>
      <c r="G688" s="36"/>
      <c r="H688" s="36"/>
      <c r="I688" s="36"/>
      <c r="J688" s="36"/>
      <c r="K688" s="36"/>
      <c r="L688" s="36"/>
      <c r="M688" s="36"/>
      <c r="N688" s="36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 spans="1:28" ht="18" customHeight="1">
      <c r="A689" s="1">
        <f t="shared" si="19"/>
        <v>24</v>
      </c>
      <c r="B689" s="1">
        <v>262710526</v>
      </c>
      <c r="C689" s="132" t="s">
        <v>1839</v>
      </c>
      <c r="D689" s="51"/>
      <c r="E689" s="52"/>
      <c r="F689" s="152" t="s">
        <v>1</v>
      </c>
      <c r="G689" s="36"/>
      <c r="H689" s="36"/>
      <c r="I689" s="36"/>
      <c r="J689" s="36"/>
      <c r="K689" s="36"/>
      <c r="L689" s="36"/>
      <c r="M689" s="36"/>
      <c r="N689" s="36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 spans="1:28" ht="18" customHeight="1">
      <c r="A690" s="1">
        <f t="shared" si="19"/>
        <v>25</v>
      </c>
      <c r="B690" s="1">
        <v>262710527</v>
      </c>
      <c r="C690" s="132" t="s">
        <v>1841</v>
      </c>
      <c r="D690" s="51"/>
      <c r="E690" s="52"/>
      <c r="F690" s="152" t="s">
        <v>1</v>
      </c>
      <c r="G690" s="36"/>
      <c r="H690" s="36"/>
      <c r="I690" s="36"/>
      <c r="J690" s="36"/>
      <c r="K690" s="36"/>
      <c r="L690" s="36"/>
      <c r="M690" s="36"/>
      <c r="N690" s="36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 spans="1:28" ht="18" customHeight="1">
      <c r="A691" s="1">
        <f t="shared" si="19"/>
        <v>26</v>
      </c>
      <c r="B691" s="1">
        <v>262710528</v>
      </c>
      <c r="C691" s="132" t="s">
        <v>1843</v>
      </c>
      <c r="D691" s="51"/>
      <c r="E691" s="52"/>
      <c r="F691" s="152" t="s">
        <v>1</v>
      </c>
      <c r="G691" s="36"/>
      <c r="H691" s="36"/>
      <c r="I691" s="36"/>
      <c r="J691" s="36"/>
      <c r="K691" s="36"/>
      <c r="L691" s="36"/>
      <c r="M691" s="36"/>
      <c r="N691" s="36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 spans="1:28" ht="18" customHeight="1">
      <c r="A692" s="83">
        <f t="shared" si="19"/>
        <v>27</v>
      </c>
      <c r="B692" s="1">
        <v>262710529</v>
      </c>
      <c r="C692" s="132" t="s">
        <v>1845</v>
      </c>
      <c r="D692" s="51"/>
      <c r="E692" s="52"/>
      <c r="F692" s="152" t="s">
        <v>1</v>
      </c>
      <c r="G692" s="85"/>
      <c r="H692" s="85"/>
      <c r="I692" s="85"/>
      <c r="J692" s="85"/>
      <c r="K692" s="85"/>
      <c r="L692" s="85"/>
      <c r="M692" s="85"/>
      <c r="N692" s="85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 spans="1:28" ht="18" customHeight="1">
      <c r="A693" s="1">
        <f t="shared" si="19"/>
        <v>28</v>
      </c>
      <c r="B693" s="1">
        <v>262710530</v>
      </c>
      <c r="C693" s="132" t="s">
        <v>1846</v>
      </c>
      <c r="D693" s="51"/>
      <c r="E693" s="52"/>
      <c r="F693" s="152" t="s">
        <v>3</v>
      </c>
      <c r="G693" s="36"/>
      <c r="H693" s="36"/>
      <c r="I693" s="36"/>
      <c r="J693" s="36"/>
      <c r="K693" s="36"/>
      <c r="L693" s="36"/>
      <c r="M693" s="36"/>
      <c r="N693" s="36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 spans="1:28" ht="18" customHeight="1">
      <c r="A694" s="1">
        <f t="shared" si="19"/>
        <v>29</v>
      </c>
      <c r="B694" s="1">
        <v>262710531</v>
      </c>
      <c r="C694" s="132" t="s">
        <v>1848</v>
      </c>
      <c r="D694" s="51"/>
      <c r="E694" s="52"/>
      <c r="F694" s="152" t="s">
        <v>3</v>
      </c>
      <c r="G694" s="36"/>
      <c r="H694" s="36"/>
      <c r="I694" s="36"/>
      <c r="J694" s="36"/>
      <c r="K694" s="36"/>
      <c r="L694" s="36"/>
      <c r="M694" s="36"/>
      <c r="N694" s="36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 spans="1:28" ht="18" customHeight="1">
      <c r="A695" s="1">
        <f t="shared" si="19"/>
        <v>30</v>
      </c>
      <c r="B695" s="1">
        <v>262710532</v>
      </c>
      <c r="C695" s="132" t="s">
        <v>1850</v>
      </c>
      <c r="D695" s="51"/>
      <c r="E695" s="52"/>
      <c r="F695" s="152" t="s">
        <v>3</v>
      </c>
      <c r="G695" s="36"/>
      <c r="H695" s="36"/>
      <c r="I695" s="36"/>
      <c r="J695" s="36"/>
      <c r="K695" s="36"/>
      <c r="L695" s="36"/>
      <c r="M695" s="36"/>
      <c r="N695" s="36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 spans="1:28" ht="18" customHeight="1">
      <c r="A696" s="1">
        <f t="shared" si="19"/>
        <v>31</v>
      </c>
      <c r="B696" s="1">
        <v>262710533</v>
      </c>
      <c r="C696" s="132" t="s">
        <v>1852</v>
      </c>
      <c r="D696" s="51"/>
      <c r="E696" s="52"/>
      <c r="F696" s="152" t="s">
        <v>3</v>
      </c>
      <c r="G696" s="36"/>
      <c r="H696" s="36"/>
      <c r="I696" s="36"/>
      <c r="J696" s="36"/>
      <c r="K696" s="36"/>
      <c r="L696" s="36"/>
      <c r="M696" s="36"/>
      <c r="N696" s="36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 spans="1:28" ht="18" customHeight="1">
      <c r="A697" s="1">
        <f t="shared" si="19"/>
        <v>32</v>
      </c>
      <c r="B697" s="1">
        <v>262710534</v>
      </c>
      <c r="C697" s="132" t="s">
        <v>1854</v>
      </c>
      <c r="D697" s="51"/>
      <c r="E697" s="52"/>
      <c r="F697" s="152" t="s">
        <v>1</v>
      </c>
      <c r="G697" s="36"/>
      <c r="H697" s="36"/>
      <c r="I697" s="36"/>
      <c r="J697" s="36"/>
      <c r="K697" s="36"/>
      <c r="L697" s="36"/>
      <c r="M697" s="36"/>
      <c r="N697" s="36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 spans="1:28" ht="18" customHeight="1">
      <c r="A698" s="1">
        <f t="shared" si="19"/>
        <v>33</v>
      </c>
      <c r="B698" s="1">
        <v>262710535</v>
      </c>
      <c r="C698" s="132" t="s">
        <v>1856</v>
      </c>
      <c r="D698" s="51"/>
      <c r="E698" s="52"/>
      <c r="F698" s="152" t="s">
        <v>1</v>
      </c>
      <c r="G698" s="36"/>
      <c r="H698" s="36"/>
      <c r="I698" s="36"/>
      <c r="J698" s="36"/>
      <c r="K698" s="36"/>
      <c r="L698" s="36"/>
      <c r="M698" s="36"/>
      <c r="N698" s="36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 spans="1:28" ht="18" customHeight="1">
      <c r="A699" s="1">
        <f t="shared" si="19"/>
        <v>34</v>
      </c>
      <c r="B699" s="1">
        <v>262710536</v>
      </c>
      <c r="C699" s="132" t="s">
        <v>1858</v>
      </c>
      <c r="D699" s="51"/>
      <c r="E699" s="52"/>
      <c r="F699" s="152" t="s">
        <v>3</v>
      </c>
      <c r="G699" s="36"/>
      <c r="H699" s="36"/>
      <c r="I699" s="36"/>
      <c r="J699" s="36"/>
      <c r="K699" s="36"/>
      <c r="L699" s="36"/>
      <c r="M699" s="36"/>
      <c r="N699" s="36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 spans="1:28" ht="18" customHeight="1">
      <c r="A700" s="1">
        <f t="shared" si="19"/>
        <v>35</v>
      </c>
      <c r="B700" s="1">
        <v>262710537</v>
      </c>
      <c r="C700" s="132" t="s">
        <v>1859</v>
      </c>
      <c r="D700" s="51"/>
      <c r="E700" s="52"/>
      <c r="F700" s="152" t="s">
        <v>1</v>
      </c>
      <c r="G700" s="36"/>
      <c r="H700" s="36"/>
      <c r="I700" s="36"/>
      <c r="J700" s="36"/>
      <c r="K700" s="36"/>
      <c r="L700" s="36"/>
      <c r="M700" s="36"/>
      <c r="N700" s="36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 spans="1:28" ht="18" customHeight="1">
      <c r="A701" s="1">
        <f t="shared" si="19"/>
        <v>36</v>
      </c>
      <c r="B701" s="1">
        <v>262710538</v>
      </c>
      <c r="C701" s="132" t="s">
        <v>1861</v>
      </c>
      <c r="D701" s="51"/>
      <c r="E701" s="52"/>
      <c r="F701" s="152" t="s">
        <v>1</v>
      </c>
      <c r="G701" s="36"/>
      <c r="H701" s="36"/>
      <c r="I701" s="36"/>
      <c r="J701" s="36"/>
      <c r="K701" s="36"/>
      <c r="L701" s="36"/>
      <c r="M701" s="36"/>
      <c r="N701" s="36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 spans="1:28" ht="18" customHeight="1">
      <c r="A702" s="123">
        <f t="shared" si="19"/>
        <v>37</v>
      </c>
      <c r="B702" s="1">
        <v>262710539</v>
      </c>
      <c r="C702" s="132" t="s">
        <v>1863</v>
      </c>
      <c r="D702" s="51"/>
      <c r="E702" s="52"/>
      <c r="F702" s="174" t="s">
        <v>1</v>
      </c>
      <c r="G702" s="78"/>
      <c r="H702" s="78"/>
      <c r="I702" s="78"/>
      <c r="J702" s="78"/>
      <c r="K702" s="78"/>
      <c r="L702" s="78"/>
      <c r="M702" s="78"/>
      <c r="N702" s="78"/>
      <c r="O702" s="91"/>
      <c r="P702" s="91"/>
      <c r="Q702" s="78" t="s">
        <v>982</v>
      </c>
      <c r="R702" s="91"/>
      <c r="S702" s="91"/>
      <c r="T702" s="91"/>
      <c r="U702" s="91"/>
      <c r="V702" s="91"/>
      <c r="W702" s="91"/>
      <c r="X702" s="91"/>
      <c r="Y702" s="91"/>
      <c r="Z702" s="91"/>
      <c r="AA702" s="91"/>
      <c r="AB702" s="91"/>
    </row>
    <row r="703" spans="1:28" ht="18" customHeight="1">
      <c r="A703" s="1">
        <f t="shared" si="19"/>
        <v>38</v>
      </c>
      <c r="B703" s="1">
        <v>262710540</v>
      </c>
      <c r="C703" s="132" t="s">
        <v>1865</v>
      </c>
      <c r="D703" s="51"/>
      <c r="E703" s="52"/>
      <c r="F703" s="152" t="s">
        <v>1</v>
      </c>
      <c r="G703" s="36"/>
      <c r="H703" s="36"/>
      <c r="I703" s="36"/>
      <c r="J703" s="36"/>
      <c r="K703" s="36"/>
      <c r="L703" s="36"/>
      <c r="M703" s="36"/>
      <c r="N703" s="36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 spans="1:28" ht="18" customHeight="1">
      <c r="A704" s="1">
        <f t="shared" si="19"/>
        <v>39</v>
      </c>
      <c r="B704" s="1">
        <v>262710541</v>
      </c>
      <c r="C704" s="132" t="s">
        <v>1868</v>
      </c>
      <c r="D704" s="51"/>
      <c r="E704" s="52"/>
      <c r="F704" s="152" t="s">
        <v>1</v>
      </c>
      <c r="G704" s="36"/>
      <c r="H704" s="36"/>
      <c r="I704" s="36"/>
      <c r="J704" s="36"/>
      <c r="K704" s="36"/>
      <c r="L704" s="36"/>
      <c r="M704" s="36"/>
      <c r="N704" s="36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 spans="1:28" ht="18" customHeight="1">
      <c r="A705" s="1">
        <f t="shared" si="19"/>
        <v>40</v>
      </c>
      <c r="B705" s="1">
        <v>262710542</v>
      </c>
      <c r="C705" s="132" t="s">
        <v>1869</v>
      </c>
      <c r="D705" s="51"/>
      <c r="E705" s="52"/>
      <c r="F705" s="152" t="s">
        <v>3</v>
      </c>
      <c r="G705" s="36"/>
      <c r="H705" s="36"/>
      <c r="I705" s="36"/>
      <c r="J705" s="36"/>
      <c r="K705" s="36"/>
      <c r="L705" s="36"/>
      <c r="M705" s="36"/>
      <c r="N705" s="36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 spans="1:28" ht="18" customHeight="1">
      <c r="A706" s="1">
        <f t="shared" si="19"/>
        <v>41</v>
      </c>
      <c r="B706" s="1">
        <v>262710543</v>
      </c>
      <c r="C706" s="132" t="s">
        <v>1872</v>
      </c>
      <c r="D706" s="51"/>
      <c r="E706" s="52"/>
      <c r="F706" s="152" t="s">
        <v>3</v>
      </c>
      <c r="G706" s="36"/>
      <c r="H706" s="36"/>
      <c r="I706" s="36"/>
      <c r="J706" s="36"/>
      <c r="K706" s="36"/>
      <c r="L706" s="36"/>
      <c r="M706" s="36"/>
      <c r="N706" s="36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 spans="1:28" ht="18" customHeight="1">
      <c r="A707" s="1">
        <f t="shared" si="19"/>
        <v>42</v>
      </c>
      <c r="B707" s="1">
        <v>262710544</v>
      </c>
      <c r="C707" s="132" t="s">
        <v>1874</v>
      </c>
      <c r="D707" s="51"/>
      <c r="E707" s="52"/>
      <c r="F707" s="152" t="s">
        <v>3</v>
      </c>
      <c r="G707" s="36"/>
      <c r="H707" s="36"/>
      <c r="I707" s="36"/>
      <c r="J707" s="36"/>
      <c r="K707" s="36"/>
      <c r="L707" s="36"/>
      <c r="M707" s="36"/>
      <c r="N707" s="36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 spans="1:28" ht="18" customHeight="1">
      <c r="A708" s="1">
        <f t="shared" si="19"/>
        <v>43</v>
      </c>
      <c r="B708" s="1">
        <v>262710545</v>
      </c>
      <c r="C708" s="132" t="s">
        <v>1875</v>
      </c>
      <c r="D708" s="51"/>
      <c r="E708" s="52"/>
      <c r="F708" s="152" t="s">
        <v>3</v>
      </c>
      <c r="G708" s="36"/>
      <c r="H708" s="36"/>
      <c r="I708" s="36"/>
      <c r="J708" s="36"/>
      <c r="K708" s="36"/>
      <c r="L708" s="36"/>
      <c r="M708" s="36"/>
      <c r="N708" s="36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 spans="1:28" ht="18" customHeight="1">
      <c r="A709" s="1">
        <f t="shared" si="19"/>
        <v>44</v>
      </c>
      <c r="B709" s="1">
        <v>262710546</v>
      </c>
      <c r="C709" s="132" t="s">
        <v>1877</v>
      </c>
      <c r="D709" s="51"/>
      <c r="E709" s="52"/>
      <c r="F709" s="152" t="s">
        <v>3</v>
      </c>
      <c r="G709" s="36"/>
      <c r="H709" s="36"/>
      <c r="I709" s="36"/>
      <c r="J709" s="36"/>
      <c r="K709" s="36"/>
      <c r="L709" s="36"/>
      <c r="M709" s="36"/>
      <c r="N709" s="36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 spans="1:28" ht="18" customHeight="1">
      <c r="A710" s="1">
        <f t="shared" si="19"/>
        <v>45</v>
      </c>
      <c r="B710" s="1">
        <v>262710547</v>
      </c>
      <c r="C710" s="132" t="s">
        <v>1879</v>
      </c>
      <c r="D710" s="51"/>
      <c r="E710" s="52"/>
      <c r="F710" s="152" t="s">
        <v>3</v>
      </c>
      <c r="G710" s="36"/>
      <c r="H710" s="36"/>
      <c r="I710" s="36"/>
      <c r="J710" s="36"/>
      <c r="K710" s="36"/>
      <c r="L710" s="36"/>
      <c r="M710" s="36"/>
      <c r="N710" s="36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 spans="1:28" ht="18" customHeight="1">
      <c r="A711" s="83">
        <f t="shared" si="19"/>
        <v>46</v>
      </c>
      <c r="B711" s="1">
        <v>262710548</v>
      </c>
      <c r="C711" s="137" t="s">
        <v>1881</v>
      </c>
      <c r="D711" s="71"/>
      <c r="E711" s="103"/>
      <c r="F711" s="158" t="s">
        <v>3</v>
      </c>
      <c r="G711" s="85"/>
      <c r="H711" s="85"/>
      <c r="I711" s="85"/>
      <c r="J711" s="85"/>
      <c r="K711" s="85"/>
      <c r="L711" s="85"/>
      <c r="M711" s="85"/>
      <c r="N711" s="85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 spans="1:28" ht="18" customHeight="1">
      <c r="A712" s="83">
        <f t="shared" si="19"/>
        <v>47</v>
      </c>
      <c r="B712" s="1">
        <v>262710549</v>
      </c>
      <c r="C712" s="132" t="s">
        <v>1883</v>
      </c>
      <c r="D712" s="51"/>
      <c r="E712" s="51"/>
      <c r="F712" s="152" t="s">
        <v>3</v>
      </c>
      <c r="G712" s="107"/>
      <c r="H712" s="36"/>
      <c r="I712" s="36"/>
      <c r="J712" s="36"/>
      <c r="K712" s="36"/>
      <c r="L712" s="36"/>
      <c r="M712" s="36"/>
      <c r="N712" s="36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 spans="1:28" ht="15.8" customHeight="1">
      <c r="A713" s="1">
        <f t="shared" si="19"/>
        <v>48</v>
      </c>
      <c r="B713" s="119">
        <v>262710550</v>
      </c>
      <c r="C713" s="172" t="s">
        <v>1884</v>
      </c>
      <c r="D713" s="130"/>
      <c r="E713" s="130"/>
      <c r="F713" s="159" t="s">
        <v>1</v>
      </c>
      <c r="G713" s="107"/>
      <c r="H713" s="36"/>
      <c r="I713" s="36"/>
      <c r="J713" s="36"/>
      <c r="K713" s="36"/>
      <c r="L713" s="36"/>
      <c r="M713" s="36"/>
      <c r="N713" s="36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 spans="1:28" ht="15.8" customHeight="1">
      <c r="A714" s="79"/>
      <c r="B714" s="79"/>
      <c r="C714" s="20"/>
      <c r="D714" s="20"/>
      <c r="E714" s="20"/>
      <c r="F714" s="80" t="s">
        <v>1</v>
      </c>
      <c r="G714" s="80">
        <f>COUNTIF(F666:F713,"L")</f>
        <v>24</v>
      </c>
      <c r="H714" s="20"/>
      <c r="I714" s="20"/>
      <c r="J714" s="20"/>
      <c r="K714" s="20"/>
      <c r="L714" s="20"/>
      <c r="M714" s="20"/>
      <c r="N714" s="20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 spans="1:28" ht="15.8" customHeight="1">
      <c r="A715" s="20" t="s">
        <v>275</v>
      </c>
      <c r="B715" s="79"/>
      <c r="C715" s="20"/>
      <c r="D715" s="20"/>
      <c r="E715" s="20"/>
      <c r="F715" s="30" t="s">
        <v>3</v>
      </c>
      <c r="G715" s="30">
        <f>COUNTIF(F666:F713,"P")</f>
        <v>24</v>
      </c>
      <c r="H715" s="6"/>
      <c r="I715" s="82" t="s">
        <v>254</v>
      </c>
      <c r="J715" s="6"/>
      <c r="K715" s="6"/>
      <c r="L715" s="6"/>
      <c r="M715" s="6"/>
      <c r="N715" s="6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 spans="1:28" ht="15.8" customHeight="1">
      <c r="A716" s="20" t="s">
        <v>280</v>
      </c>
      <c r="B716" s="79"/>
      <c r="C716" s="20"/>
      <c r="D716" s="20"/>
      <c r="E716" s="20" t="s">
        <v>281</v>
      </c>
      <c r="F716" s="81" t="s">
        <v>251</v>
      </c>
      <c r="G716" s="81">
        <f>SUM(G714:G715)</f>
        <v>48</v>
      </c>
      <c r="H716" s="6"/>
      <c r="I716" s="6" t="s">
        <v>256</v>
      </c>
      <c r="J716" s="6"/>
      <c r="K716" s="6"/>
      <c r="L716" s="6"/>
      <c r="M716" s="6"/>
      <c r="N716" s="6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 spans="1:28" ht="15.8" customHeight="1">
      <c r="A717" s="20"/>
      <c r="B717" s="6"/>
      <c r="C717" s="20"/>
      <c r="D717" s="20"/>
      <c r="E717" s="20"/>
      <c r="F717" s="79"/>
      <c r="G717" s="20"/>
      <c r="H717" s="20"/>
      <c r="I717" s="6"/>
      <c r="J717" s="6"/>
      <c r="K717" s="6"/>
      <c r="L717" s="6"/>
      <c r="M717" s="6"/>
      <c r="N717" s="6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 spans="1:28" ht="15.8" customHeight="1">
      <c r="A718" s="20"/>
      <c r="B718" s="6"/>
      <c r="C718" s="20"/>
      <c r="D718" s="20"/>
      <c r="E718" s="20"/>
      <c r="F718" s="79"/>
      <c r="G718" s="20"/>
      <c r="H718" s="20"/>
      <c r="I718" s="6"/>
      <c r="J718" s="6"/>
      <c r="K718" s="6"/>
      <c r="L718" s="6"/>
      <c r="M718" s="6"/>
      <c r="N718" s="6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 spans="1:28" ht="15.8" customHeight="1">
      <c r="A719" s="16" t="s">
        <v>1885</v>
      </c>
      <c r="B719" s="6"/>
      <c r="C719" s="6"/>
      <c r="D719" s="6"/>
      <c r="E719" s="86" t="s">
        <v>300</v>
      </c>
      <c r="F719" s="94"/>
      <c r="G719" s="6"/>
      <c r="H719" s="20"/>
      <c r="I719" s="87"/>
      <c r="J719" s="87"/>
      <c r="K719" s="87"/>
      <c r="L719" s="87"/>
      <c r="M719" s="87"/>
      <c r="N719" s="8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 spans="1:28" ht="15.8" customHeight="1">
      <c r="A720" s="41" t="s">
        <v>1886</v>
      </c>
      <c r="B720" s="41"/>
      <c r="C720" s="20"/>
      <c r="D720" s="20"/>
      <c r="E720" s="20" t="s">
        <v>308</v>
      </c>
      <c r="F720" s="79"/>
      <c r="G720" s="20"/>
      <c r="H720" s="20" t="s">
        <v>266</v>
      </c>
      <c r="I720" s="6"/>
      <c r="J720" s="6"/>
      <c r="K720" s="6"/>
      <c r="L720" s="6"/>
      <c r="M720" s="6"/>
      <c r="N720" s="6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 spans="1:28" ht="15.8" customHeight="1">
      <c r="A721" s="7"/>
      <c r="B721" s="7"/>
      <c r="C721" s="7"/>
      <c r="D721" s="7"/>
      <c r="E721" s="7"/>
      <c r="F721" s="125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 spans="1:28" ht="15.8" customHeight="1">
      <c r="A722" s="7"/>
      <c r="B722" s="7"/>
      <c r="C722" s="7"/>
      <c r="D722" s="7"/>
      <c r="E722" s="7"/>
      <c r="F722" s="125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 spans="1:28" ht="15.8" customHeight="1">
      <c r="A723" s="7"/>
      <c r="B723" s="7"/>
      <c r="C723" s="7"/>
      <c r="D723" s="7"/>
      <c r="E723" s="7"/>
      <c r="F723" s="125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 spans="1:28" ht="15.8" customHeight="1">
      <c r="A724" s="7"/>
      <c r="B724" s="7"/>
      <c r="C724" s="7"/>
      <c r="D724" s="7"/>
      <c r="E724" s="7"/>
      <c r="F724" s="125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 spans="1:28" ht="15.8" customHeight="1">
      <c r="A725" s="7"/>
      <c r="B725" s="7"/>
      <c r="C725" s="7"/>
      <c r="D725" s="7"/>
      <c r="E725" s="7"/>
      <c r="F725" s="125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 spans="1:28" ht="15.8" customHeight="1">
      <c r="A726" s="7"/>
      <c r="B726" s="7"/>
      <c r="C726" s="7"/>
      <c r="D726" s="7"/>
      <c r="E726" s="7"/>
      <c r="F726" s="125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 spans="1:28" ht="15.8" customHeight="1">
      <c r="A727" s="7"/>
      <c r="B727" s="7"/>
      <c r="C727" s="7"/>
      <c r="D727" s="7"/>
      <c r="E727" s="7"/>
      <c r="F727" s="125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 spans="1:28" ht="15.8" customHeight="1">
      <c r="A728" s="7"/>
      <c r="B728" s="7"/>
      <c r="C728" s="7"/>
      <c r="D728" s="7"/>
      <c r="E728" s="7"/>
      <c r="F728" s="125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 spans="1:28" ht="15.8" customHeight="1">
      <c r="A729" s="7"/>
      <c r="B729" s="7"/>
      <c r="C729" s="7"/>
      <c r="D729" s="7"/>
      <c r="E729" s="7"/>
      <c r="F729" s="125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 spans="1:28" ht="15.8" customHeight="1">
      <c r="A730" s="7"/>
      <c r="B730" s="7"/>
      <c r="C730" s="7"/>
      <c r="D730" s="7"/>
      <c r="E730" s="7"/>
      <c r="F730" s="125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 spans="1:28" ht="15.8" customHeight="1">
      <c r="A731" s="7"/>
      <c r="B731" s="7"/>
      <c r="C731" s="7"/>
      <c r="D731" s="7"/>
      <c r="E731" s="7"/>
      <c r="F731" s="125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 spans="1:28" ht="15.8" customHeight="1">
      <c r="A732" s="7"/>
      <c r="B732" s="7"/>
      <c r="C732" s="7"/>
      <c r="D732" s="7"/>
      <c r="E732" s="7"/>
      <c r="F732" s="125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 spans="1:28" ht="15.8" customHeight="1">
      <c r="A733" s="7"/>
      <c r="B733" s="7"/>
      <c r="C733" s="7"/>
      <c r="D733" s="7"/>
      <c r="E733" s="7"/>
      <c r="F733" s="125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 spans="1:28" ht="15.8" customHeight="1">
      <c r="A734" s="7"/>
      <c r="B734" s="7"/>
      <c r="C734" s="7"/>
      <c r="D734" s="7"/>
      <c r="E734" s="7"/>
      <c r="F734" s="125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 spans="1:28" ht="15.8" customHeight="1">
      <c r="A735" s="7"/>
      <c r="B735" s="7"/>
      <c r="C735" s="7"/>
      <c r="D735" s="7"/>
      <c r="E735" s="7"/>
      <c r="F735" s="125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 spans="1:28" ht="15.8" customHeight="1">
      <c r="A736" s="7"/>
      <c r="B736" s="7"/>
      <c r="C736" s="7"/>
      <c r="D736" s="7"/>
      <c r="E736" s="7"/>
      <c r="F736" s="125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 spans="1:28" ht="15.8" customHeight="1">
      <c r="A737" s="7"/>
      <c r="B737" s="7"/>
      <c r="C737" s="7"/>
      <c r="D737" s="7"/>
      <c r="E737" s="7"/>
      <c r="F737" s="125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 spans="1:28" ht="15.8" customHeight="1">
      <c r="A738" s="7"/>
      <c r="B738" s="7"/>
      <c r="C738" s="7"/>
      <c r="D738" s="7"/>
      <c r="E738" s="7"/>
      <c r="F738" s="125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 spans="1:28" ht="15.8" customHeight="1">
      <c r="A739" s="7"/>
      <c r="B739" s="7"/>
      <c r="C739" s="7"/>
      <c r="D739" s="7"/>
      <c r="E739" s="7"/>
      <c r="F739" s="125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 spans="1:28" ht="15.8" customHeight="1">
      <c r="A740" s="7"/>
      <c r="B740" s="7"/>
      <c r="C740" s="7"/>
      <c r="D740" s="7"/>
      <c r="E740" s="7"/>
      <c r="F740" s="125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 spans="1:28" ht="15.8" customHeight="1">
      <c r="A741" s="7"/>
      <c r="B741" s="7"/>
      <c r="C741" s="7"/>
      <c r="D741" s="7"/>
      <c r="E741" s="7"/>
      <c r="F741" s="125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 spans="1:28" ht="15.8" customHeight="1">
      <c r="A742" s="7"/>
      <c r="B742" s="7"/>
      <c r="C742" s="7"/>
      <c r="D742" s="7"/>
      <c r="E742" s="7"/>
      <c r="F742" s="125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 spans="1:28" ht="15.8" customHeight="1">
      <c r="A743" s="7"/>
      <c r="B743" s="7"/>
      <c r="C743" s="7"/>
      <c r="D743" s="7"/>
      <c r="E743" s="7"/>
      <c r="F743" s="125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 spans="1:28" ht="15.8" customHeight="1">
      <c r="A744" s="7"/>
      <c r="B744" s="7"/>
      <c r="C744" s="7"/>
      <c r="D744" s="7"/>
      <c r="E744" s="7"/>
      <c r="F744" s="125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 spans="1:28" ht="15.8" customHeight="1">
      <c r="A745" s="7"/>
      <c r="B745" s="7"/>
      <c r="C745" s="7"/>
      <c r="D745" s="7"/>
      <c r="E745" s="7"/>
      <c r="F745" s="125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 spans="1:28" ht="15.8" customHeight="1">
      <c r="A746" s="7"/>
      <c r="B746" s="7"/>
      <c r="C746" s="7"/>
      <c r="D746" s="7"/>
      <c r="E746" s="7"/>
      <c r="F746" s="125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 spans="1:28" ht="15.8" customHeight="1">
      <c r="A747" s="7"/>
      <c r="B747" s="7"/>
      <c r="C747" s="7"/>
      <c r="D747" s="7"/>
      <c r="E747" s="7"/>
      <c r="F747" s="125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 spans="1:28" ht="15.8" customHeight="1">
      <c r="A748" s="7"/>
      <c r="B748" s="7"/>
      <c r="C748" s="7"/>
      <c r="D748" s="7"/>
      <c r="E748" s="7"/>
      <c r="F748" s="125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 spans="1:28" ht="15.8" customHeight="1">
      <c r="A749" s="7"/>
      <c r="B749" s="7"/>
      <c r="C749" s="7"/>
      <c r="D749" s="7"/>
      <c r="E749" s="7"/>
      <c r="F749" s="125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 spans="1:28" ht="15.8" customHeight="1">
      <c r="A750" s="7"/>
      <c r="B750" s="7"/>
      <c r="C750" s="7"/>
      <c r="D750" s="7"/>
      <c r="E750" s="7"/>
      <c r="F750" s="125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 spans="1:28" ht="15.8" customHeight="1">
      <c r="A751" s="7"/>
      <c r="B751" s="7"/>
      <c r="C751" s="7"/>
      <c r="D751" s="7"/>
      <c r="E751" s="7"/>
      <c r="F751" s="125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 spans="1:28" ht="15.8" customHeight="1">
      <c r="A752" s="7"/>
      <c r="B752" s="7"/>
      <c r="C752" s="7"/>
      <c r="D752" s="7"/>
      <c r="E752" s="7"/>
      <c r="F752" s="125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 spans="1:28" ht="15.8" customHeight="1">
      <c r="A753" s="7"/>
      <c r="B753" s="7"/>
      <c r="C753" s="7"/>
      <c r="D753" s="7"/>
      <c r="E753" s="7"/>
      <c r="F753" s="125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 spans="1:28" ht="15.8" customHeight="1">
      <c r="A754" s="7"/>
      <c r="B754" s="7"/>
      <c r="C754" s="7"/>
      <c r="D754" s="7"/>
      <c r="E754" s="7"/>
      <c r="F754" s="125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 spans="1:28" ht="15.8" customHeight="1">
      <c r="A755" s="7"/>
      <c r="B755" s="7"/>
      <c r="C755" s="7"/>
      <c r="D755" s="7"/>
      <c r="E755" s="7"/>
      <c r="F755" s="125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 spans="1:28" ht="15.8" customHeight="1">
      <c r="A756" s="7"/>
      <c r="B756" s="7"/>
      <c r="C756" s="7"/>
      <c r="D756" s="7"/>
      <c r="E756" s="7"/>
      <c r="F756" s="125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 spans="1:28" ht="15.8" customHeight="1">
      <c r="A757" s="7"/>
      <c r="B757" s="7"/>
      <c r="C757" s="7"/>
      <c r="D757" s="7"/>
      <c r="E757" s="7"/>
      <c r="F757" s="125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 spans="1:28" ht="15.8" customHeight="1">
      <c r="A758" s="7"/>
      <c r="B758" s="7"/>
      <c r="C758" s="7"/>
      <c r="D758" s="7"/>
      <c r="E758" s="7"/>
      <c r="F758" s="125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 spans="1:28" ht="15.8" customHeight="1">
      <c r="A759" s="7"/>
      <c r="B759" s="7"/>
      <c r="C759" s="7"/>
      <c r="D759" s="7"/>
      <c r="E759" s="7"/>
      <c r="F759" s="125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 spans="1:28" ht="15.8" customHeight="1">
      <c r="A760" s="7"/>
      <c r="B760" s="7"/>
      <c r="C760" s="7"/>
      <c r="D760" s="7"/>
      <c r="E760" s="7"/>
      <c r="F760" s="125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 spans="1:28" ht="15.8" customHeight="1">
      <c r="A761" s="7"/>
      <c r="B761" s="7"/>
      <c r="C761" s="7"/>
      <c r="D761" s="7"/>
      <c r="E761" s="7"/>
      <c r="F761" s="125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 spans="1:28" ht="15.8" customHeight="1">
      <c r="A762" s="7"/>
      <c r="B762" s="7"/>
      <c r="C762" s="7"/>
      <c r="D762" s="7"/>
      <c r="E762" s="7"/>
      <c r="F762" s="125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 spans="1:28" ht="15.8" customHeight="1">
      <c r="A763" s="7"/>
      <c r="B763" s="7"/>
      <c r="C763" s="7"/>
      <c r="D763" s="7"/>
      <c r="E763" s="7"/>
      <c r="F763" s="125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 spans="1:28" ht="15.8" customHeight="1">
      <c r="A764" s="7"/>
      <c r="B764" s="7"/>
      <c r="C764" s="7"/>
      <c r="D764" s="7"/>
      <c r="E764" s="7"/>
      <c r="F764" s="125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 spans="1:28" ht="15.8" customHeight="1">
      <c r="A765" s="7"/>
      <c r="B765" s="7"/>
      <c r="C765" s="7"/>
      <c r="D765" s="7"/>
      <c r="E765" s="7"/>
      <c r="F765" s="125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 spans="1:28" ht="15.8" customHeight="1">
      <c r="A766" s="7"/>
      <c r="B766" s="7"/>
      <c r="C766" s="7"/>
      <c r="D766" s="7"/>
      <c r="E766" s="7"/>
      <c r="F766" s="125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 spans="1:28" ht="15.8" customHeight="1">
      <c r="A767" s="7"/>
      <c r="B767" s="7"/>
      <c r="C767" s="7"/>
      <c r="D767" s="7"/>
      <c r="E767" s="7"/>
      <c r="F767" s="125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 spans="1:28" ht="15.8" customHeight="1">
      <c r="A768" s="7"/>
      <c r="B768" s="7"/>
      <c r="C768" s="7"/>
      <c r="D768" s="7"/>
      <c r="E768" s="7"/>
      <c r="F768" s="125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 spans="1:28" ht="15.8" customHeight="1">
      <c r="A769" s="7"/>
      <c r="B769" s="7"/>
      <c r="C769" s="7"/>
      <c r="D769" s="7"/>
      <c r="E769" s="7"/>
      <c r="F769" s="125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 spans="1:28" ht="15.8" customHeight="1">
      <c r="A770" s="7"/>
      <c r="B770" s="7"/>
      <c r="C770" s="7"/>
      <c r="D770" s="7"/>
      <c r="E770" s="7"/>
      <c r="F770" s="125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 spans="1:28" ht="15.8" customHeight="1">
      <c r="A771" s="7"/>
      <c r="B771" s="7"/>
      <c r="C771" s="7"/>
      <c r="D771" s="7"/>
      <c r="E771" s="7"/>
      <c r="F771" s="125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 spans="1:28" ht="15.8" customHeight="1">
      <c r="A772" s="7"/>
      <c r="B772" s="7"/>
      <c r="C772" s="7"/>
      <c r="D772" s="7"/>
      <c r="E772" s="7"/>
      <c r="F772" s="125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 spans="1:28" ht="15.8" customHeight="1">
      <c r="A773" s="7"/>
      <c r="B773" s="7"/>
      <c r="C773" s="7"/>
      <c r="D773" s="7"/>
      <c r="E773" s="7"/>
      <c r="F773" s="125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 spans="1:28" ht="15.8" customHeight="1">
      <c r="A774" s="7"/>
      <c r="B774" s="7"/>
      <c r="C774" s="7"/>
      <c r="D774" s="7"/>
      <c r="E774" s="7"/>
      <c r="F774" s="125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 spans="1:28" ht="15.8" customHeight="1">
      <c r="A775" s="7"/>
      <c r="B775" s="7"/>
      <c r="C775" s="7"/>
      <c r="D775" s="7"/>
      <c r="E775" s="7"/>
      <c r="F775" s="125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 spans="1:28" ht="15.8" customHeight="1">
      <c r="A776" s="7"/>
      <c r="B776" s="7"/>
      <c r="C776" s="7"/>
      <c r="D776" s="7"/>
      <c r="E776" s="7"/>
      <c r="F776" s="125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 spans="1:28" ht="15.8" customHeight="1">
      <c r="A777" s="7"/>
      <c r="B777" s="7"/>
      <c r="C777" s="7"/>
      <c r="D777" s="7"/>
      <c r="E777" s="7"/>
      <c r="F777" s="125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 spans="1:28" ht="15.8" customHeight="1">
      <c r="A778" s="7"/>
      <c r="B778" s="7"/>
      <c r="C778" s="7"/>
      <c r="D778" s="7"/>
      <c r="E778" s="7"/>
      <c r="F778" s="125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 spans="1:28" ht="15.8" customHeight="1">
      <c r="A779" s="7"/>
      <c r="B779" s="7"/>
      <c r="C779" s="7"/>
      <c r="D779" s="7"/>
      <c r="E779" s="7"/>
      <c r="F779" s="125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 spans="1:28" ht="15.8" customHeight="1">
      <c r="A780" s="7"/>
      <c r="B780" s="7"/>
      <c r="C780" s="7"/>
      <c r="D780" s="7"/>
      <c r="E780" s="7"/>
      <c r="F780" s="125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 spans="1:28" ht="15.8" customHeight="1">
      <c r="A781" s="7"/>
      <c r="B781" s="7"/>
      <c r="C781" s="7"/>
      <c r="D781" s="7"/>
      <c r="E781" s="7"/>
      <c r="F781" s="125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 spans="1:28" ht="15.8" customHeight="1">
      <c r="A782" s="7"/>
      <c r="B782" s="7"/>
      <c r="C782" s="7"/>
      <c r="D782" s="7"/>
      <c r="E782" s="7"/>
      <c r="F782" s="125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 spans="1:28" ht="15.8" customHeight="1">
      <c r="A783" s="7"/>
      <c r="B783" s="7"/>
      <c r="C783" s="7"/>
      <c r="D783" s="7"/>
      <c r="E783" s="7"/>
      <c r="F783" s="125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 spans="1:28" ht="15.8" customHeight="1">
      <c r="A784" s="7"/>
      <c r="B784" s="7"/>
      <c r="C784" s="7"/>
      <c r="D784" s="7"/>
      <c r="E784" s="7"/>
      <c r="F784" s="125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 spans="1:28" ht="15.8" customHeight="1">
      <c r="A785" s="7"/>
      <c r="B785" s="7"/>
      <c r="C785" s="7"/>
      <c r="D785" s="7"/>
      <c r="E785" s="7"/>
      <c r="F785" s="125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 spans="1:28" ht="15.8" customHeight="1">
      <c r="A786" s="7"/>
      <c r="B786" s="7"/>
      <c r="C786" s="7"/>
      <c r="D786" s="7"/>
      <c r="E786" s="7"/>
      <c r="F786" s="125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 spans="1:28" ht="15.8" customHeight="1">
      <c r="A787" s="7"/>
      <c r="B787" s="7"/>
      <c r="C787" s="7"/>
      <c r="D787" s="7"/>
      <c r="E787" s="7"/>
      <c r="F787" s="125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 spans="1:28" ht="15.8" customHeight="1">
      <c r="A788" s="7"/>
      <c r="B788" s="7"/>
      <c r="C788" s="7"/>
      <c r="D788" s="7"/>
      <c r="E788" s="7"/>
      <c r="F788" s="125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 spans="1:28" ht="15.8" customHeight="1">
      <c r="A789" s="7"/>
      <c r="B789" s="7"/>
      <c r="C789" s="7"/>
      <c r="D789" s="7"/>
      <c r="E789" s="7"/>
      <c r="F789" s="125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 spans="1:28" ht="15.8" customHeight="1">
      <c r="A790" s="7"/>
      <c r="B790" s="7"/>
      <c r="C790" s="7"/>
      <c r="D790" s="7"/>
      <c r="E790" s="7"/>
      <c r="F790" s="125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 spans="1:28" ht="15.8" customHeight="1">
      <c r="A791" s="7"/>
      <c r="B791" s="7"/>
      <c r="C791" s="7"/>
      <c r="D791" s="7"/>
      <c r="E791" s="7"/>
      <c r="F791" s="125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 spans="1:28" ht="15.8" customHeight="1">
      <c r="A792" s="7"/>
      <c r="B792" s="7"/>
      <c r="C792" s="7"/>
      <c r="D792" s="7"/>
      <c r="E792" s="7"/>
      <c r="F792" s="125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 spans="1:28" ht="15.8" customHeight="1">
      <c r="A793" s="7"/>
      <c r="B793" s="7"/>
      <c r="C793" s="7"/>
      <c r="D793" s="7"/>
      <c r="E793" s="7"/>
      <c r="F793" s="125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 spans="1:28" ht="15.8" customHeight="1">
      <c r="A794" s="7"/>
      <c r="B794" s="7"/>
      <c r="C794" s="7"/>
      <c r="D794" s="7"/>
      <c r="E794" s="7"/>
      <c r="F794" s="125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 spans="1:28" ht="15.8" customHeight="1">
      <c r="A795" s="7"/>
      <c r="B795" s="7"/>
      <c r="C795" s="7"/>
      <c r="D795" s="7"/>
      <c r="E795" s="7"/>
      <c r="F795" s="125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 spans="1:28" ht="15.8" customHeight="1">
      <c r="A796" s="7"/>
      <c r="B796" s="7"/>
      <c r="C796" s="7"/>
      <c r="D796" s="7"/>
      <c r="E796" s="7"/>
      <c r="F796" s="125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 spans="1:28" ht="15.8" customHeight="1">
      <c r="A797" s="7"/>
      <c r="B797" s="7"/>
      <c r="C797" s="7"/>
      <c r="D797" s="7"/>
      <c r="E797" s="7"/>
      <c r="F797" s="125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 spans="1:28" ht="15.8" customHeight="1">
      <c r="A798" s="7"/>
      <c r="B798" s="7"/>
      <c r="C798" s="7"/>
      <c r="D798" s="7"/>
      <c r="E798" s="7"/>
      <c r="F798" s="125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 spans="1:28" ht="15.8" customHeight="1">
      <c r="A799" s="7"/>
      <c r="B799" s="7"/>
      <c r="C799" s="7"/>
      <c r="D799" s="7"/>
      <c r="E799" s="7"/>
      <c r="F799" s="125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 spans="1:28" ht="15.8" customHeight="1">
      <c r="A800" s="7"/>
      <c r="B800" s="7"/>
      <c r="C800" s="7"/>
      <c r="D800" s="7"/>
      <c r="E800" s="7"/>
      <c r="F800" s="125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 spans="1:28" ht="15.8" customHeight="1">
      <c r="A801" s="7"/>
      <c r="B801" s="7"/>
      <c r="C801" s="7"/>
      <c r="D801" s="7"/>
      <c r="E801" s="7"/>
      <c r="F801" s="125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 spans="1:28" ht="15.8" customHeight="1">
      <c r="A802" s="7"/>
      <c r="B802" s="7"/>
      <c r="C802" s="7"/>
      <c r="D802" s="7"/>
      <c r="E802" s="7"/>
      <c r="F802" s="125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 spans="1:28" ht="15.8" customHeight="1">
      <c r="A803" s="7"/>
      <c r="B803" s="7"/>
      <c r="C803" s="7"/>
      <c r="D803" s="7"/>
      <c r="E803" s="7"/>
      <c r="F803" s="125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 spans="1:28" ht="15.8" customHeight="1">
      <c r="A804" s="7"/>
      <c r="B804" s="7"/>
      <c r="C804" s="7"/>
      <c r="D804" s="7"/>
      <c r="E804" s="7"/>
      <c r="F804" s="125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 spans="1:28" ht="15.8" customHeight="1">
      <c r="A805" s="7"/>
      <c r="B805" s="7"/>
      <c r="C805" s="7"/>
      <c r="D805" s="7"/>
      <c r="E805" s="7"/>
      <c r="F805" s="125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 spans="1:28" ht="15.8" customHeight="1">
      <c r="A806" s="7"/>
      <c r="B806" s="7"/>
      <c r="C806" s="7"/>
      <c r="D806" s="7"/>
      <c r="E806" s="7"/>
      <c r="F806" s="125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 spans="1:28" ht="15.8" customHeight="1">
      <c r="A807" s="7"/>
      <c r="B807" s="7"/>
      <c r="C807" s="7"/>
      <c r="D807" s="7"/>
      <c r="E807" s="7"/>
      <c r="F807" s="125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 spans="1:28" ht="15.8" customHeight="1">
      <c r="A808" s="7"/>
      <c r="B808" s="7"/>
      <c r="C808" s="7"/>
      <c r="D808" s="7"/>
      <c r="E808" s="7"/>
      <c r="F808" s="125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 spans="1:28" ht="15.8" customHeight="1">
      <c r="A809" s="7"/>
      <c r="B809" s="7"/>
      <c r="C809" s="7"/>
      <c r="D809" s="7"/>
      <c r="E809" s="7"/>
      <c r="F809" s="125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 spans="1:28" ht="15.8" customHeight="1">
      <c r="A810" s="7"/>
      <c r="B810" s="7"/>
      <c r="C810" s="7"/>
      <c r="D810" s="7"/>
      <c r="E810" s="7"/>
      <c r="F810" s="125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 spans="1:28" ht="15.8" customHeight="1">
      <c r="A811" s="7"/>
      <c r="B811" s="7"/>
      <c r="C811" s="7"/>
      <c r="D811" s="7"/>
      <c r="E811" s="7"/>
      <c r="F811" s="125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 spans="1:28" ht="15.8" customHeight="1">
      <c r="A812" s="7"/>
      <c r="B812" s="7"/>
      <c r="C812" s="7"/>
      <c r="D812" s="7"/>
      <c r="E812" s="7"/>
      <c r="F812" s="125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 spans="1:28" ht="15.8" customHeight="1">
      <c r="A813" s="7"/>
      <c r="B813" s="7"/>
      <c r="C813" s="7"/>
      <c r="D813" s="7"/>
      <c r="E813" s="7"/>
      <c r="F813" s="125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 spans="1:28" ht="15.8" customHeight="1">
      <c r="A814" s="7"/>
      <c r="B814" s="7"/>
      <c r="C814" s="7"/>
      <c r="D814" s="7"/>
      <c r="E814" s="7"/>
      <c r="F814" s="125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 spans="1:28" ht="15.8" customHeight="1">
      <c r="A815" s="7"/>
      <c r="B815" s="7"/>
      <c r="C815" s="7"/>
      <c r="D815" s="7"/>
      <c r="E815" s="7"/>
      <c r="F815" s="125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 spans="1:28" ht="15.8" customHeight="1">
      <c r="A816" s="7"/>
      <c r="B816" s="7"/>
      <c r="C816" s="7"/>
      <c r="D816" s="7"/>
      <c r="E816" s="7"/>
      <c r="F816" s="125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 spans="1:28" ht="15.8" customHeight="1">
      <c r="A817" s="7"/>
      <c r="B817" s="7"/>
      <c r="C817" s="7"/>
      <c r="D817" s="7"/>
      <c r="E817" s="7"/>
      <c r="F817" s="125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 spans="1:28" ht="15.8" customHeight="1">
      <c r="A818" s="7"/>
      <c r="B818" s="7"/>
      <c r="C818" s="7"/>
      <c r="D818" s="7"/>
      <c r="E818" s="7"/>
      <c r="F818" s="125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 spans="1:28" ht="15.8" customHeight="1">
      <c r="A819" s="7"/>
      <c r="B819" s="7"/>
      <c r="C819" s="7"/>
      <c r="D819" s="7"/>
      <c r="E819" s="7"/>
      <c r="F819" s="125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 spans="1:28" ht="15.8" customHeight="1">
      <c r="A820" s="7"/>
      <c r="B820" s="7"/>
      <c r="C820" s="7"/>
      <c r="D820" s="7"/>
      <c r="E820" s="7"/>
      <c r="F820" s="125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 spans="1:28" ht="15.8" customHeight="1">
      <c r="A821" s="7"/>
      <c r="B821" s="7"/>
      <c r="C821" s="7"/>
      <c r="D821" s="7"/>
      <c r="E821" s="7"/>
      <c r="F821" s="125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 spans="1:28" ht="15.8" customHeight="1">
      <c r="A822" s="7"/>
      <c r="B822" s="7"/>
      <c r="C822" s="7"/>
      <c r="D822" s="7"/>
      <c r="E822" s="7"/>
      <c r="F822" s="125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 spans="1:28" ht="15.8" customHeight="1">
      <c r="A823" s="7"/>
      <c r="B823" s="7"/>
      <c r="C823" s="7"/>
      <c r="D823" s="7"/>
      <c r="E823" s="7"/>
      <c r="F823" s="125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 spans="1:28" ht="15.8" customHeight="1">
      <c r="A824" s="7"/>
      <c r="B824" s="7"/>
      <c r="C824" s="7"/>
      <c r="D824" s="7"/>
      <c r="E824" s="7"/>
      <c r="F824" s="125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 spans="1:28" ht="15.8" customHeight="1">
      <c r="A825" s="7"/>
      <c r="B825" s="7"/>
      <c r="C825" s="7"/>
      <c r="D825" s="7"/>
      <c r="E825" s="7"/>
      <c r="F825" s="125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 spans="1:28" ht="15.8" customHeight="1">
      <c r="A826" s="7"/>
      <c r="B826" s="7"/>
      <c r="C826" s="7"/>
      <c r="D826" s="7"/>
      <c r="E826" s="7"/>
      <c r="F826" s="125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 spans="1:28" ht="15.8" customHeight="1">
      <c r="A827" s="7"/>
      <c r="B827" s="7"/>
      <c r="C827" s="7"/>
      <c r="D827" s="7"/>
      <c r="E827" s="7"/>
      <c r="F827" s="125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 spans="1:28" ht="15.8" customHeight="1">
      <c r="A828" s="7"/>
      <c r="B828" s="7"/>
      <c r="C828" s="7"/>
      <c r="D828" s="7"/>
      <c r="E828" s="7"/>
      <c r="F828" s="125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 spans="1:28" ht="15.8" customHeight="1">
      <c r="A829" s="7"/>
      <c r="B829" s="7"/>
      <c r="C829" s="7"/>
      <c r="D829" s="7"/>
      <c r="E829" s="7"/>
      <c r="F829" s="125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 spans="1:28" ht="15.8" customHeight="1">
      <c r="A830" s="7"/>
      <c r="B830" s="7"/>
      <c r="C830" s="7"/>
      <c r="D830" s="7"/>
      <c r="E830" s="7"/>
      <c r="F830" s="125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 spans="1:28" ht="15.8" customHeight="1">
      <c r="A831" s="7"/>
      <c r="B831" s="7"/>
      <c r="C831" s="7"/>
      <c r="D831" s="7"/>
      <c r="E831" s="7"/>
      <c r="F831" s="125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 spans="1:28" ht="15.8" customHeight="1">
      <c r="A832" s="7"/>
      <c r="B832" s="7"/>
      <c r="C832" s="7"/>
      <c r="D832" s="7"/>
      <c r="E832" s="7"/>
      <c r="F832" s="125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 spans="1:28" ht="15.8" customHeight="1">
      <c r="A833" s="7"/>
      <c r="B833" s="7"/>
      <c r="C833" s="7"/>
      <c r="D833" s="7"/>
      <c r="E833" s="7"/>
      <c r="F833" s="125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 spans="1:28" ht="15.8" customHeight="1">
      <c r="A834" s="7"/>
      <c r="B834" s="7"/>
      <c r="C834" s="7"/>
      <c r="D834" s="7"/>
      <c r="E834" s="7"/>
      <c r="F834" s="125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 spans="1:28" ht="15.8" customHeight="1">
      <c r="A835" s="7"/>
      <c r="B835" s="7"/>
      <c r="C835" s="7"/>
      <c r="D835" s="7"/>
      <c r="E835" s="7"/>
      <c r="F835" s="125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 spans="1:28" ht="15.8" customHeight="1">
      <c r="A836" s="7"/>
      <c r="B836" s="7"/>
      <c r="C836" s="7"/>
      <c r="D836" s="7"/>
      <c r="E836" s="7"/>
      <c r="F836" s="125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 spans="1:28" ht="15.8" customHeight="1">
      <c r="A837" s="7"/>
      <c r="B837" s="7"/>
      <c r="C837" s="7"/>
      <c r="D837" s="7"/>
      <c r="E837" s="7"/>
      <c r="F837" s="125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 spans="1:28" ht="15.8" customHeight="1">
      <c r="A838" s="7"/>
      <c r="B838" s="7"/>
      <c r="C838" s="7"/>
      <c r="D838" s="7"/>
      <c r="E838" s="7"/>
      <c r="F838" s="125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 spans="1:28" ht="15.8" customHeight="1">
      <c r="A839" s="7"/>
      <c r="B839" s="7"/>
      <c r="C839" s="7"/>
      <c r="D839" s="7"/>
      <c r="E839" s="7"/>
      <c r="F839" s="125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 spans="1:28" ht="15.8" customHeight="1">
      <c r="A840" s="7"/>
      <c r="B840" s="7"/>
      <c r="C840" s="7"/>
      <c r="D840" s="7"/>
      <c r="E840" s="7"/>
      <c r="F840" s="125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 spans="1:28" ht="15.8" customHeight="1">
      <c r="A841" s="7"/>
      <c r="B841" s="7"/>
      <c r="C841" s="7"/>
      <c r="D841" s="7"/>
      <c r="E841" s="7"/>
      <c r="F841" s="125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 spans="1:28" ht="15.8" customHeight="1">
      <c r="A842" s="7"/>
      <c r="B842" s="7"/>
      <c r="C842" s="7"/>
      <c r="D842" s="7"/>
      <c r="E842" s="7"/>
      <c r="F842" s="125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 spans="1:28" ht="15.8" customHeight="1">
      <c r="A843" s="7"/>
      <c r="B843" s="7"/>
      <c r="C843" s="7"/>
      <c r="D843" s="7"/>
      <c r="E843" s="7"/>
      <c r="F843" s="125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 spans="1:28" ht="15.8" customHeight="1">
      <c r="A844" s="7"/>
      <c r="B844" s="7"/>
      <c r="C844" s="7"/>
      <c r="D844" s="7"/>
      <c r="E844" s="7"/>
      <c r="F844" s="125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 spans="1:28" ht="15.8" customHeight="1">
      <c r="A845" s="7"/>
      <c r="B845" s="7"/>
      <c r="C845" s="7"/>
      <c r="D845" s="7"/>
      <c r="E845" s="7"/>
      <c r="F845" s="125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 spans="1:28" ht="15.8" customHeight="1">
      <c r="A846" s="7"/>
      <c r="B846" s="7"/>
      <c r="C846" s="7"/>
      <c r="D846" s="7"/>
      <c r="E846" s="7"/>
      <c r="F846" s="125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 spans="1:28" ht="15.8" customHeight="1">
      <c r="A847" s="7"/>
      <c r="B847" s="7"/>
      <c r="C847" s="7"/>
      <c r="D847" s="7"/>
      <c r="E847" s="7"/>
      <c r="F847" s="125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 spans="1:28" ht="15.8" customHeight="1">
      <c r="A848" s="7"/>
      <c r="B848" s="7"/>
      <c r="C848" s="7"/>
      <c r="D848" s="7"/>
      <c r="E848" s="7"/>
      <c r="F848" s="125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 spans="1:28" ht="15.8" customHeight="1">
      <c r="A849" s="7"/>
      <c r="B849" s="7"/>
      <c r="C849" s="7"/>
      <c r="D849" s="7"/>
      <c r="E849" s="7"/>
      <c r="F849" s="125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 spans="1:28" ht="15.8" customHeight="1">
      <c r="A850" s="7"/>
      <c r="B850" s="7"/>
      <c r="C850" s="7"/>
      <c r="D850" s="7"/>
      <c r="E850" s="7"/>
      <c r="F850" s="125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 spans="1:28" ht="15.8" customHeight="1">
      <c r="A851" s="7"/>
      <c r="B851" s="7"/>
      <c r="C851" s="7"/>
      <c r="D851" s="7"/>
      <c r="E851" s="7"/>
      <c r="F851" s="125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 spans="1:28" ht="15.8" customHeight="1">
      <c r="A852" s="7"/>
      <c r="B852" s="7"/>
      <c r="C852" s="7"/>
      <c r="D852" s="7"/>
      <c r="E852" s="7"/>
      <c r="F852" s="125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 spans="1:28" ht="15.8" customHeight="1">
      <c r="A853" s="7"/>
      <c r="B853" s="7"/>
      <c r="C853" s="7"/>
      <c r="D853" s="7"/>
      <c r="E853" s="7"/>
      <c r="F853" s="125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 spans="1:28" ht="15.8" customHeight="1">
      <c r="A854" s="7"/>
      <c r="B854" s="7"/>
      <c r="C854" s="7"/>
      <c r="D854" s="7"/>
      <c r="E854" s="7"/>
      <c r="F854" s="125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 spans="1:28" ht="15.8" customHeight="1">
      <c r="A855" s="7"/>
      <c r="B855" s="7"/>
      <c r="C855" s="7"/>
      <c r="D855" s="7"/>
      <c r="E855" s="7"/>
      <c r="F855" s="125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 spans="1:28" ht="15.8" customHeight="1">
      <c r="A856" s="7"/>
      <c r="B856" s="7"/>
      <c r="C856" s="7"/>
      <c r="D856" s="7"/>
      <c r="E856" s="7"/>
      <c r="F856" s="125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 spans="1:28" ht="15.8" customHeight="1">
      <c r="A857" s="7"/>
      <c r="B857" s="7"/>
      <c r="C857" s="7"/>
      <c r="D857" s="7"/>
      <c r="E857" s="7"/>
      <c r="F857" s="125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 spans="1:28" ht="15.8" customHeight="1">
      <c r="A858" s="7"/>
      <c r="B858" s="7"/>
      <c r="C858" s="7"/>
      <c r="D858" s="7"/>
      <c r="E858" s="7"/>
      <c r="F858" s="125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 spans="1:28" ht="15.8" customHeight="1">
      <c r="A859" s="7"/>
      <c r="B859" s="7"/>
      <c r="C859" s="7"/>
      <c r="D859" s="7"/>
      <c r="E859" s="7"/>
      <c r="F859" s="125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 spans="1:28" ht="15.8" customHeight="1">
      <c r="A860" s="7"/>
      <c r="B860" s="7"/>
      <c r="C860" s="7"/>
      <c r="D860" s="7"/>
      <c r="E860" s="7"/>
      <c r="F860" s="125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 spans="1:28" ht="15.8" customHeight="1">
      <c r="A861" s="7"/>
      <c r="B861" s="7"/>
      <c r="C861" s="7"/>
      <c r="D861" s="7"/>
      <c r="E861" s="7"/>
      <c r="F861" s="125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 spans="1:28" ht="15.8" customHeight="1">
      <c r="A862" s="7"/>
      <c r="B862" s="7"/>
      <c r="C862" s="7"/>
      <c r="D862" s="7"/>
      <c r="E862" s="7"/>
      <c r="F862" s="125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 spans="1:28" ht="15.8" customHeight="1">
      <c r="A863" s="7"/>
      <c r="B863" s="7"/>
      <c r="C863" s="7"/>
      <c r="D863" s="7"/>
      <c r="E863" s="7"/>
      <c r="F863" s="125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 spans="1:28" ht="15.8" customHeight="1">
      <c r="A864" s="7"/>
      <c r="B864" s="7"/>
      <c r="C864" s="7"/>
      <c r="D864" s="7"/>
      <c r="E864" s="7"/>
      <c r="F864" s="125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 spans="1:28" ht="15.8" customHeight="1">
      <c r="A865" s="7"/>
      <c r="B865" s="7"/>
      <c r="C865" s="7"/>
      <c r="D865" s="7"/>
      <c r="E865" s="7"/>
      <c r="F865" s="125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 spans="1:28" ht="15.8" customHeight="1">
      <c r="A866" s="7"/>
      <c r="B866" s="7"/>
      <c r="C866" s="7"/>
      <c r="D866" s="7"/>
      <c r="E866" s="7"/>
      <c r="F866" s="125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 spans="1:28" ht="15.8" customHeight="1">
      <c r="A867" s="7"/>
      <c r="B867" s="7"/>
      <c r="C867" s="7"/>
      <c r="D867" s="7"/>
      <c r="E867" s="7"/>
      <c r="F867" s="125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 spans="1:28" ht="15.8" customHeight="1">
      <c r="A868" s="7"/>
      <c r="B868" s="7"/>
      <c r="C868" s="7"/>
      <c r="D868" s="7"/>
      <c r="E868" s="7"/>
      <c r="F868" s="125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 spans="1:28" ht="15.8" customHeight="1">
      <c r="A869" s="7"/>
      <c r="B869" s="7"/>
      <c r="C869" s="7"/>
      <c r="D869" s="7"/>
      <c r="E869" s="7"/>
      <c r="F869" s="125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 spans="1:28" ht="15.8" customHeight="1">
      <c r="A870" s="7"/>
      <c r="B870" s="7"/>
      <c r="C870" s="7"/>
      <c r="D870" s="7"/>
      <c r="E870" s="7"/>
      <c r="F870" s="125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 spans="1:28" ht="15.8" customHeight="1">
      <c r="A871" s="7"/>
      <c r="B871" s="7"/>
      <c r="C871" s="7"/>
      <c r="D871" s="7"/>
      <c r="E871" s="7"/>
      <c r="F871" s="125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 spans="1:28" ht="15.8" customHeight="1">
      <c r="A872" s="7"/>
      <c r="B872" s="7"/>
      <c r="C872" s="7"/>
      <c r="D872" s="7"/>
      <c r="E872" s="7"/>
      <c r="F872" s="125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 spans="1:28" ht="15.8" customHeight="1">
      <c r="A873" s="7"/>
      <c r="B873" s="7"/>
      <c r="C873" s="7"/>
      <c r="D873" s="7"/>
      <c r="E873" s="7"/>
      <c r="F873" s="125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 spans="1:28" ht="15.8" customHeight="1">
      <c r="A874" s="7"/>
      <c r="B874" s="7"/>
      <c r="C874" s="7"/>
      <c r="D874" s="7"/>
      <c r="E874" s="7"/>
      <c r="F874" s="125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 spans="1:28" ht="15.8" customHeight="1">
      <c r="A875" s="7"/>
      <c r="B875" s="7"/>
      <c r="C875" s="7"/>
      <c r="D875" s="7"/>
      <c r="E875" s="7"/>
      <c r="F875" s="125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 spans="1:28" ht="15.8" customHeight="1">
      <c r="A876" s="7"/>
      <c r="B876" s="7"/>
      <c r="C876" s="7"/>
      <c r="D876" s="7"/>
      <c r="E876" s="7"/>
      <c r="F876" s="125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 spans="1:28" ht="15.8" customHeight="1">
      <c r="A877" s="7"/>
      <c r="B877" s="7"/>
      <c r="C877" s="7"/>
      <c r="D877" s="7"/>
      <c r="E877" s="7"/>
      <c r="F877" s="125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 spans="1:28" ht="15.8" customHeight="1">
      <c r="A878" s="7"/>
      <c r="B878" s="7"/>
      <c r="C878" s="7"/>
      <c r="D878" s="7"/>
      <c r="E878" s="7"/>
      <c r="F878" s="125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 spans="1:28" ht="15.8" customHeight="1">
      <c r="A879" s="7"/>
      <c r="B879" s="7"/>
      <c r="C879" s="7"/>
      <c r="D879" s="7"/>
      <c r="E879" s="7"/>
      <c r="F879" s="125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 spans="1:28" ht="15.8" customHeight="1">
      <c r="A880" s="7"/>
      <c r="B880" s="7"/>
      <c r="C880" s="7"/>
      <c r="D880" s="7"/>
      <c r="E880" s="7"/>
      <c r="F880" s="125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 spans="1:28" ht="15.8" customHeight="1">
      <c r="A881" s="7"/>
      <c r="B881" s="7"/>
      <c r="C881" s="7"/>
      <c r="D881" s="7"/>
      <c r="E881" s="7"/>
      <c r="F881" s="125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 spans="1:28" ht="15.8" customHeight="1">
      <c r="A882" s="7"/>
      <c r="B882" s="7"/>
      <c r="C882" s="7"/>
      <c r="D882" s="7"/>
      <c r="E882" s="7"/>
      <c r="F882" s="125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 spans="1:28" ht="15.8" customHeight="1">
      <c r="A883" s="7"/>
      <c r="B883" s="7"/>
      <c r="C883" s="7"/>
      <c r="D883" s="7"/>
      <c r="E883" s="7"/>
      <c r="F883" s="125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 spans="1:28" ht="15.8" customHeight="1">
      <c r="A884" s="7"/>
      <c r="B884" s="7"/>
      <c r="C884" s="7"/>
      <c r="D884" s="7"/>
      <c r="E884" s="7"/>
      <c r="F884" s="125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 spans="1:28" ht="15.8" customHeight="1">
      <c r="A885" s="7"/>
      <c r="B885" s="7"/>
      <c r="C885" s="7"/>
      <c r="D885" s="7"/>
      <c r="E885" s="7"/>
      <c r="F885" s="125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 spans="1:28" ht="15.8" customHeight="1">
      <c r="A886" s="7"/>
      <c r="B886" s="7"/>
      <c r="C886" s="7"/>
      <c r="D886" s="7"/>
      <c r="E886" s="7"/>
      <c r="F886" s="125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 spans="1:28" ht="15.8" customHeight="1">
      <c r="A887" s="7"/>
      <c r="B887" s="7"/>
      <c r="C887" s="7"/>
      <c r="D887" s="7"/>
      <c r="E887" s="7"/>
      <c r="F887" s="125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 spans="1:28" ht="15.8" customHeight="1">
      <c r="A888" s="7"/>
      <c r="B888" s="7"/>
      <c r="C888" s="7"/>
      <c r="D888" s="7"/>
      <c r="E888" s="7"/>
      <c r="F888" s="125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 spans="1:28" ht="15.8" customHeight="1">
      <c r="A889" s="7"/>
      <c r="B889" s="7"/>
      <c r="C889" s="7"/>
      <c r="D889" s="7"/>
      <c r="E889" s="7"/>
      <c r="F889" s="125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 spans="1:28" ht="15.8" customHeight="1">
      <c r="A890" s="7"/>
      <c r="B890" s="7"/>
      <c r="C890" s="7"/>
      <c r="D890" s="7"/>
      <c r="E890" s="7"/>
      <c r="F890" s="125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 spans="1:28" ht="15.8" customHeight="1">
      <c r="A891" s="7"/>
      <c r="B891" s="7"/>
      <c r="C891" s="7"/>
      <c r="D891" s="7"/>
      <c r="E891" s="7"/>
      <c r="F891" s="125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 spans="1:28" ht="15.8" customHeight="1">
      <c r="A892" s="7"/>
      <c r="B892" s="7"/>
      <c r="C892" s="7"/>
      <c r="D892" s="7"/>
      <c r="E892" s="7"/>
      <c r="F892" s="125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 spans="1:28" ht="15.8" customHeight="1">
      <c r="A893" s="7"/>
      <c r="B893" s="7"/>
      <c r="C893" s="7"/>
      <c r="D893" s="7"/>
      <c r="E893" s="7"/>
      <c r="F893" s="125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 spans="1:28" ht="15.8" customHeight="1">
      <c r="A894" s="7"/>
      <c r="B894" s="7"/>
      <c r="C894" s="7"/>
      <c r="D894" s="7"/>
      <c r="E894" s="7"/>
      <c r="F894" s="125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 spans="1:28" ht="15.8" customHeight="1">
      <c r="A895" s="7"/>
      <c r="B895" s="7"/>
      <c r="C895" s="7"/>
      <c r="D895" s="7"/>
      <c r="E895" s="7"/>
      <c r="F895" s="125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 spans="1:28" ht="15.8" customHeight="1">
      <c r="A896" s="7"/>
      <c r="B896" s="7"/>
      <c r="C896" s="7"/>
      <c r="D896" s="7"/>
      <c r="E896" s="7"/>
      <c r="F896" s="125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 spans="1:28" ht="15.8" customHeight="1">
      <c r="A897" s="7"/>
      <c r="B897" s="7"/>
      <c r="C897" s="7"/>
      <c r="D897" s="7"/>
      <c r="E897" s="7"/>
      <c r="F897" s="125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 spans="1:28" ht="15.8" customHeight="1">
      <c r="A898" s="7"/>
      <c r="B898" s="7"/>
      <c r="C898" s="7"/>
      <c r="D898" s="7"/>
      <c r="E898" s="7"/>
      <c r="F898" s="125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 spans="1:28" ht="15.8" customHeight="1">
      <c r="A899" s="7"/>
      <c r="B899" s="7"/>
      <c r="C899" s="7"/>
      <c r="D899" s="7"/>
      <c r="E899" s="7"/>
      <c r="F899" s="125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 spans="1:28" ht="15.8" customHeight="1">
      <c r="A900" s="7"/>
      <c r="B900" s="7"/>
      <c r="C900" s="7"/>
      <c r="D900" s="7"/>
      <c r="E900" s="7"/>
      <c r="F900" s="125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 spans="1:28" ht="15.8" customHeight="1">
      <c r="A901" s="7"/>
      <c r="B901" s="7"/>
      <c r="C901" s="7"/>
      <c r="D901" s="7"/>
      <c r="E901" s="7"/>
      <c r="F901" s="125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 spans="1:28" ht="15.8" customHeight="1">
      <c r="A902" s="7"/>
      <c r="B902" s="7"/>
      <c r="C902" s="7"/>
      <c r="D902" s="7"/>
      <c r="E902" s="7"/>
      <c r="F902" s="125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 spans="1:28" ht="15.8" customHeight="1">
      <c r="A903" s="7"/>
      <c r="B903" s="7"/>
      <c r="C903" s="7"/>
      <c r="D903" s="7"/>
      <c r="E903" s="7"/>
      <c r="F903" s="125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 spans="1:28" ht="15.8" customHeight="1">
      <c r="A904" s="7"/>
      <c r="B904" s="7"/>
      <c r="C904" s="7"/>
      <c r="D904" s="7"/>
      <c r="E904" s="7"/>
      <c r="F904" s="125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 spans="1:28" ht="15.8" customHeight="1">
      <c r="A905" s="7"/>
      <c r="B905" s="7"/>
      <c r="C905" s="7"/>
      <c r="D905" s="7"/>
      <c r="E905" s="7"/>
      <c r="F905" s="125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 spans="1:28" ht="15.8" customHeight="1">
      <c r="A906" s="7"/>
      <c r="B906" s="7"/>
      <c r="C906" s="7"/>
      <c r="D906" s="7"/>
      <c r="E906" s="7"/>
      <c r="F906" s="125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 spans="1:28" ht="15.8" customHeight="1">
      <c r="A907" s="7"/>
      <c r="B907" s="7"/>
      <c r="C907" s="7"/>
      <c r="D907" s="7"/>
      <c r="E907" s="7"/>
      <c r="F907" s="125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 spans="1:28" ht="15.8" customHeight="1">
      <c r="A908" s="7"/>
      <c r="B908" s="7"/>
      <c r="C908" s="7"/>
      <c r="D908" s="7"/>
      <c r="E908" s="7"/>
      <c r="F908" s="125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 spans="1:28" ht="15.8" customHeight="1">
      <c r="A909" s="7"/>
      <c r="B909" s="7"/>
      <c r="C909" s="7"/>
      <c r="D909" s="7"/>
      <c r="E909" s="7"/>
      <c r="F909" s="125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 spans="1:28" ht="15.8" customHeight="1">
      <c r="A910" s="7"/>
      <c r="B910" s="7"/>
      <c r="C910" s="7"/>
      <c r="D910" s="7"/>
      <c r="E910" s="7"/>
      <c r="F910" s="125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 spans="1:28" ht="15.8" customHeight="1">
      <c r="A911" s="7"/>
      <c r="B911" s="7"/>
      <c r="C911" s="7"/>
      <c r="D911" s="7"/>
      <c r="E911" s="7"/>
      <c r="F911" s="125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 spans="1:28" ht="15.8" customHeight="1">
      <c r="A912" s="7"/>
      <c r="B912" s="7"/>
      <c r="C912" s="7"/>
      <c r="D912" s="7"/>
      <c r="E912" s="7"/>
      <c r="F912" s="125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 spans="1:28" ht="15.8" customHeight="1">
      <c r="A913" s="7"/>
      <c r="B913" s="7"/>
      <c r="C913" s="7"/>
      <c r="D913" s="7"/>
      <c r="E913" s="7"/>
      <c r="F913" s="125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 spans="1:28" ht="15.8" customHeight="1">
      <c r="A914" s="7"/>
      <c r="B914" s="7"/>
      <c r="C914" s="7"/>
      <c r="D914" s="7"/>
      <c r="E914" s="7"/>
      <c r="F914" s="125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 spans="1:28" ht="15.8" customHeight="1">
      <c r="A915" s="7"/>
      <c r="B915" s="7"/>
      <c r="C915" s="7"/>
      <c r="D915" s="7"/>
      <c r="E915" s="7"/>
      <c r="F915" s="125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 spans="1:28" ht="15.8" customHeight="1">
      <c r="A916" s="7"/>
      <c r="B916" s="7"/>
      <c r="C916" s="7"/>
      <c r="D916" s="7"/>
      <c r="E916" s="7"/>
      <c r="F916" s="125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 spans="1:28" ht="15.8" customHeight="1">
      <c r="A917" s="7"/>
      <c r="B917" s="7"/>
      <c r="C917" s="7"/>
      <c r="D917" s="7"/>
      <c r="E917" s="7"/>
      <c r="F917" s="125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 spans="1:28" ht="15.8" customHeight="1">
      <c r="A918" s="7"/>
      <c r="B918" s="7"/>
      <c r="C918" s="7"/>
      <c r="D918" s="7"/>
      <c r="E918" s="7"/>
      <c r="F918" s="125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 spans="1:28" ht="15.8" customHeight="1">
      <c r="A919" s="7"/>
      <c r="B919" s="7"/>
      <c r="C919" s="7"/>
      <c r="D919" s="7"/>
      <c r="E919" s="7"/>
      <c r="F919" s="125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 spans="1:28" ht="15.8" customHeight="1">
      <c r="A920" s="7"/>
      <c r="B920" s="7"/>
      <c r="C920" s="7"/>
      <c r="D920" s="7"/>
      <c r="E920" s="7"/>
      <c r="F920" s="125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 spans="1:28" ht="14.3" customHeight="1">
      <c r="F921" s="175"/>
    </row>
    <row r="922" spans="1:28" ht="14.3" customHeight="1">
      <c r="F922" s="175"/>
    </row>
    <row r="923" spans="1:28" ht="14.3" customHeight="1">
      <c r="F923" s="175"/>
    </row>
    <row r="924" spans="1:28" ht="14.3" customHeight="1">
      <c r="F924" s="175"/>
    </row>
    <row r="925" spans="1:28" ht="14.3" customHeight="1">
      <c r="F925" s="175"/>
    </row>
    <row r="926" spans="1:28" ht="14.3" customHeight="1">
      <c r="F926" s="175"/>
    </row>
    <row r="927" spans="1:28" ht="14.3" customHeight="1">
      <c r="F927" s="175"/>
    </row>
    <row r="928" spans="1:28" ht="14.3" customHeight="1">
      <c r="F928" s="175"/>
    </row>
    <row r="929" spans="6:6" ht="14.3" customHeight="1">
      <c r="F929" s="175"/>
    </row>
    <row r="930" spans="6:6" ht="14.3" customHeight="1">
      <c r="F930" s="175"/>
    </row>
    <row r="931" spans="6:6" ht="14.3" customHeight="1">
      <c r="F931" s="175"/>
    </row>
    <row r="932" spans="6:6" ht="14.3" customHeight="1">
      <c r="F932" s="175"/>
    </row>
    <row r="933" spans="6:6" ht="14.3" customHeight="1">
      <c r="F933" s="175"/>
    </row>
    <row r="934" spans="6:6" ht="14.3" customHeight="1">
      <c r="F934" s="175"/>
    </row>
    <row r="935" spans="6:6" ht="14.3" customHeight="1">
      <c r="F935" s="175"/>
    </row>
    <row r="936" spans="6:6" ht="14.3" customHeight="1">
      <c r="F936" s="175"/>
    </row>
    <row r="937" spans="6:6" ht="14.3" customHeight="1">
      <c r="F937" s="175"/>
    </row>
    <row r="938" spans="6:6" ht="14.3" customHeight="1">
      <c r="F938" s="175"/>
    </row>
    <row r="939" spans="6:6" ht="14.3" customHeight="1">
      <c r="F939" s="175"/>
    </row>
    <row r="940" spans="6:6" ht="14.3" customHeight="1">
      <c r="F940" s="175"/>
    </row>
    <row r="941" spans="6:6" ht="14.3" customHeight="1">
      <c r="F941" s="175"/>
    </row>
    <row r="942" spans="6:6" ht="14.3" customHeight="1">
      <c r="F942" s="175"/>
    </row>
    <row r="943" spans="6:6" ht="14.3" customHeight="1">
      <c r="F943" s="175"/>
    </row>
    <row r="944" spans="6:6" ht="14.3" customHeight="1">
      <c r="F944" s="175"/>
    </row>
    <row r="945" spans="6:6" ht="14.3" customHeight="1">
      <c r="F945" s="175"/>
    </row>
    <row r="946" spans="6:6" ht="14.3" customHeight="1">
      <c r="F946" s="175"/>
    </row>
    <row r="947" spans="6:6" ht="14.3" customHeight="1">
      <c r="F947" s="175"/>
    </row>
    <row r="948" spans="6:6" ht="14.3" customHeight="1">
      <c r="F948" s="175"/>
    </row>
    <row r="949" spans="6:6" ht="14.3" customHeight="1">
      <c r="F949" s="175"/>
    </row>
    <row r="950" spans="6:6" ht="14.3" customHeight="1">
      <c r="F950" s="175"/>
    </row>
    <row r="951" spans="6:6" ht="14.3" customHeight="1">
      <c r="F951" s="175"/>
    </row>
    <row r="952" spans="6:6" ht="14.3" customHeight="1">
      <c r="F952" s="175"/>
    </row>
    <row r="953" spans="6:6" ht="14.3" customHeight="1">
      <c r="F953" s="175"/>
    </row>
    <row r="954" spans="6:6" ht="14.3" customHeight="1">
      <c r="F954" s="175"/>
    </row>
    <row r="955" spans="6:6" ht="14.3" customHeight="1">
      <c r="F955" s="175"/>
    </row>
    <row r="956" spans="6:6" ht="14.3" customHeight="1">
      <c r="F956" s="175"/>
    </row>
    <row r="957" spans="6:6" ht="14.3" customHeight="1">
      <c r="F957" s="175"/>
    </row>
    <row r="958" spans="6:6" ht="14.3" customHeight="1">
      <c r="F958" s="175"/>
    </row>
    <row r="959" spans="6:6" ht="14.3" customHeight="1">
      <c r="F959" s="175"/>
    </row>
    <row r="960" spans="6:6" ht="14.3" customHeight="1">
      <c r="F960" s="175"/>
    </row>
    <row r="961" spans="6:6" ht="14.3" customHeight="1">
      <c r="F961" s="175"/>
    </row>
    <row r="962" spans="6:6" ht="14.3" customHeight="1">
      <c r="F962" s="175"/>
    </row>
    <row r="963" spans="6:6" ht="14.3" customHeight="1">
      <c r="F963" s="175"/>
    </row>
    <row r="964" spans="6:6" ht="14.3" customHeight="1">
      <c r="F964" s="175"/>
    </row>
    <row r="965" spans="6:6" ht="14.3" customHeight="1">
      <c r="F965" s="175"/>
    </row>
    <row r="966" spans="6:6" ht="14.3" customHeight="1">
      <c r="F966" s="175"/>
    </row>
    <row r="967" spans="6:6" ht="14.3" customHeight="1">
      <c r="F967" s="175"/>
    </row>
    <row r="968" spans="6:6" ht="14.3" customHeight="1">
      <c r="F968" s="175"/>
    </row>
    <row r="969" spans="6:6" ht="14.3" customHeight="1">
      <c r="F969" s="175"/>
    </row>
    <row r="970" spans="6:6" ht="14.3" customHeight="1">
      <c r="F970" s="175"/>
    </row>
    <row r="971" spans="6:6" ht="14.3" customHeight="1">
      <c r="F971" s="175"/>
    </row>
    <row r="972" spans="6:6" ht="14.3" customHeight="1">
      <c r="F972" s="175"/>
    </row>
    <row r="973" spans="6:6" ht="14.3" customHeight="1">
      <c r="F973" s="175"/>
    </row>
    <row r="974" spans="6:6" ht="14.3" customHeight="1">
      <c r="F974" s="175"/>
    </row>
    <row r="975" spans="6:6" ht="14.3" customHeight="1">
      <c r="F975" s="175"/>
    </row>
    <row r="976" spans="6:6" ht="14.3" customHeight="1">
      <c r="F976" s="175"/>
    </row>
    <row r="977" spans="6:6" ht="14.3" customHeight="1">
      <c r="F977" s="175"/>
    </row>
    <row r="978" spans="6:6" ht="14.3" customHeight="1">
      <c r="F978" s="175"/>
    </row>
    <row r="979" spans="6:6" ht="14.3" customHeight="1">
      <c r="F979" s="175"/>
    </row>
    <row r="980" spans="6:6" ht="14.3" customHeight="1">
      <c r="F980" s="175"/>
    </row>
    <row r="981" spans="6:6" ht="14.3" customHeight="1">
      <c r="F981" s="175"/>
    </row>
    <row r="982" spans="6:6" ht="14.3" customHeight="1">
      <c r="F982" s="175"/>
    </row>
    <row r="983" spans="6:6" ht="14.3" customHeight="1">
      <c r="F983" s="175"/>
    </row>
    <row r="984" spans="6:6" ht="14.3" customHeight="1">
      <c r="F984" s="175"/>
    </row>
    <row r="985" spans="6:6" ht="14.3" customHeight="1">
      <c r="F985" s="175"/>
    </row>
    <row r="986" spans="6:6" ht="14.3" customHeight="1">
      <c r="F986" s="175"/>
    </row>
    <row r="987" spans="6:6" ht="14.3" customHeight="1">
      <c r="F987" s="175"/>
    </row>
    <row r="988" spans="6:6" ht="14.3" customHeight="1">
      <c r="F988" s="175"/>
    </row>
    <row r="989" spans="6:6" ht="14.3" customHeight="1">
      <c r="F989" s="175"/>
    </row>
    <row r="990" spans="6:6" ht="14.3" customHeight="1">
      <c r="F990" s="175"/>
    </row>
    <row r="991" spans="6:6" ht="14.3" customHeight="1">
      <c r="F991" s="175"/>
    </row>
    <row r="992" spans="6:6" ht="14.3" customHeight="1">
      <c r="F992" s="175"/>
    </row>
    <row r="993" spans="6:6" ht="14.3" customHeight="1">
      <c r="F993" s="175"/>
    </row>
    <row r="994" spans="6:6" ht="14.3" customHeight="1">
      <c r="F994" s="175"/>
    </row>
    <row r="995" spans="6:6" ht="14.3" customHeight="1">
      <c r="F995" s="175"/>
    </row>
    <row r="996" spans="6:6" ht="14.3" customHeight="1">
      <c r="F996" s="175"/>
    </row>
    <row r="997" spans="6:6" ht="14.3" customHeight="1">
      <c r="F997" s="175"/>
    </row>
    <row r="998" spans="6:6" ht="14.3" customHeight="1">
      <c r="F998" s="175"/>
    </row>
    <row r="999" spans="6:6" ht="14.3" customHeight="1">
      <c r="F999" s="175"/>
    </row>
  </sheetData>
  <mergeCells count="87">
    <mergeCell ref="A245:B245"/>
    <mergeCell ref="F245:F246"/>
    <mergeCell ref="G245:M245"/>
    <mergeCell ref="N245:N246"/>
    <mergeCell ref="C245:E246"/>
    <mergeCell ref="N131:N132"/>
    <mergeCell ref="C191:E192"/>
    <mergeCell ref="F191:F192"/>
    <mergeCell ref="N191:N192"/>
    <mergeCell ref="A191:B191"/>
    <mergeCell ref="G191:M191"/>
    <mergeCell ref="A126:D126"/>
    <mergeCell ref="A131:B131"/>
    <mergeCell ref="C131:E132"/>
    <mergeCell ref="F131:F132"/>
    <mergeCell ref="G131:M131"/>
    <mergeCell ref="B6:M6"/>
    <mergeCell ref="A8:N8"/>
    <mergeCell ref="A67:D67"/>
    <mergeCell ref="A72:B72"/>
    <mergeCell ref="C72:E73"/>
    <mergeCell ref="F72:F73"/>
    <mergeCell ref="G72:M72"/>
    <mergeCell ref="N72:N73"/>
    <mergeCell ref="B1:M1"/>
    <mergeCell ref="B2:M2"/>
    <mergeCell ref="B3:M3"/>
    <mergeCell ref="B4:M4"/>
    <mergeCell ref="B5:M5"/>
    <mergeCell ref="W26:W27"/>
    <mergeCell ref="C13:E14"/>
    <mergeCell ref="F13:F14"/>
    <mergeCell ref="N13:N14"/>
    <mergeCell ref="R19:R20"/>
    <mergeCell ref="S19:S20"/>
    <mergeCell ref="T19:T20"/>
    <mergeCell ref="U19:U20"/>
    <mergeCell ref="R26:R27"/>
    <mergeCell ref="S26:S27"/>
    <mergeCell ref="T26:T27"/>
    <mergeCell ref="U26:U27"/>
    <mergeCell ref="V26:V27"/>
    <mergeCell ref="W12:W13"/>
    <mergeCell ref="A13:B13"/>
    <mergeCell ref="G13:M13"/>
    <mergeCell ref="V19:V20"/>
    <mergeCell ref="W19:W20"/>
    <mergeCell ref="R12:R13"/>
    <mergeCell ref="S12:S13"/>
    <mergeCell ref="T12:T13"/>
    <mergeCell ref="U12:U13"/>
    <mergeCell ref="V12:V13"/>
    <mergeCell ref="C550:E551"/>
    <mergeCell ref="F550:F551"/>
    <mergeCell ref="N550:N551"/>
    <mergeCell ref="A664:B664"/>
    <mergeCell ref="C664:E665"/>
    <mergeCell ref="F664:F665"/>
    <mergeCell ref="G664:M664"/>
    <mergeCell ref="N664:N665"/>
    <mergeCell ref="A550:B550"/>
    <mergeCell ref="G550:M550"/>
    <mergeCell ref="A604:B604"/>
    <mergeCell ref="C604:E605"/>
    <mergeCell ref="F604:F605"/>
    <mergeCell ref="G604:M604"/>
    <mergeCell ref="N604:N605"/>
    <mergeCell ref="A488:B488"/>
    <mergeCell ref="C488:E489"/>
    <mergeCell ref="F488:F489"/>
    <mergeCell ref="G488:M488"/>
    <mergeCell ref="N488:N489"/>
    <mergeCell ref="A428:B428"/>
    <mergeCell ref="C428:E429"/>
    <mergeCell ref="F428:F429"/>
    <mergeCell ref="G428:M428"/>
    <mergeCell ref="N428:N429"/>
    <mergeCell ref="C367:E368"/>
    <mergeCell ref="F367:F368"/>
    <mergeCell ref="N367:N368"/>
    <mergeCell ref="A367:B367"/>
    <mergeCell ref="G367:M367"/>
    <mergeCell ref="A306:B306"/>
    <mergeCell ref="C306:E307"/>
    <mergeCell ref="F306:F307"/>
    <mergeCell ref="G306:M306"/>
    <mergeCell ref="N306:N307"/>
  </mergeCell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B996"/>
  <sheetViews>
    <sheetView tabSelected="1" workbookViewId="0">
      <pane ySplit="10" topLeftCell="A11" activePane="bottomLeft" state="frozen"/>
      <selection pane="bottomLeft" activeCell="P18" sqref="P18"/>
    </sheetView>
  </sheetViews>
  <sheetFormatPr defaultColWidth="14.375" defaultRowHeight="14.95" customHeight="1"/>
  <cols>
    <col min="1" max="1" width="5.375" customWidth="1"/>
    <col min="2" max="2" width="15.375" customWidth="1"/>
    <col min="3" max="3" width="11" customWidth="1"/>
    <col min="4" max="4" width="1.375" customWidth="1"/>
    <col min="5" max="5" width="31.625" customWidth="1"/>
    <col min="6" max="14" width="6" customWidth="1"/>
    <col min="15" max="17" width="8.625" customWidth="1"/>
    <col min="18" max="18" width="22.375" customWidth="1"/>
    <col min="19" max="19" width="12.375" customWidth="1"/>
    <col min="20" max="20" width="6" customWidth="1"/>
    <col min="21" max="21" width="9.625" customWidth="1"/>
    <col min="22" max="22" width="8.625" customWidth="1"/>
    <col min="23" max="23" width="17.375" customWidth="1"/>
    <col min="24" max="28" width="8.625" customWidth="1"/>
  </cols>
  <sheetData>
    <row r="1" spans="1:28" ht="14.3" customHeight="1">
      <c r="A1" s="4"/>
      <c r="B1" s="189" t="s">
        <v>29</v>
      </c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1"/>
      <c r="N1" s="4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spans="1:28" ht="14.3" customHeight="1">
      <c r="A2" s="4"/>
      <c r="B2" s="189" t="s">
        <v>35</v>
      </c>
      <c r="C2" s="190"/>
      <c r="D2" s="190"/>
      <c r="E2" s="190"/>
      <c r="F2" s="190"/>
      <c r="G2" s="190"/>
      <c r="H2" s="190"/>
      <c r="I2" s="190"/>
      <c r="J2" s="190"/>
      <c r="K2" s="190"/>
      <c r="L2" s="190"/>
      <c r="M2" s="191"/>
      <c r="N2" s="4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spans="1:28" ht="14.3" customHeight="1">
      <c r="A3" s="4"/>
      <c r="B3" s="189" t="s">
        <v>36</v>
      </c>
      <c r="C3" s="190"/>
      <c r="D3" s="190"/>
      <c r="E3" s="190"/>
      <c r="F3" s="190"/>
      <c r="G3" s="190"/>
      <c r="H3" s="190"/>
      <c r="I3" s="190"/>
      <c r="J3" s="190"/>
      <c r="K3" s="190"/>
      <c r="L3" s="190"/>
      <c r="M3" s="191"/>
      <c r="N3" s="4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spans="1:28" ht="25.5" customHeight="1">
      <c r="A4" s="4"/>
      <c r="B4" s="192" t="s">
        <v>37</v>
      </c>
      <c r="C4" s="190"/>
      <c r="D4" s="190"/>
      <c r="E4" s="190"/>
      <c r="F4" s="190"/>
      <c r="G4" s="190"/>
      <c r="H4" s="190"/>
      <c r="I4" s="190"/>
      <c r="J4" s="190"/>
      <c r="K4" s="190"/>
      <c r="L4" s="190"/>
      <c r="M4" s="191"/>
      <c r="N4" s="4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 spans="1:28" ht="14.3" customHeight="1">
      <c r="A5" s="4"/>
      <c r="B5" s="193" t="s">
        <v>38</v>
      </c>
      <c r="C5" s="190"/>
      <c r="D5" s="190"/>
      <c r="E5" s="190"/>
      <c r="F5" s="190"/>
      <c r="G5" s="190"/>
      <c r="H5" s="190"/>
      <c r="I5" s="190"/>
      <c r="J5" s="190"/>
      <c r="K5" s="190"/>
      <c r="L5" s="190"/>
      <c r="M5" s="191"/>
      <c r="N5" s="4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spans="1:28" ht="14.3" customHeight="1">
      <c r="A6" s="11"/>
      <c r="B6" s="194" t="s">
        <v>46</v>
      </c>
      <c r="C6" s="195"/>
      <c r="D6" s="195"/>
      <c r="E6" s="195"/>
      <c r="F6" s="195"/>
      <c r="G6" s="195"/>
      <c r="H6" s="195"/>
      <c r="I6" s="195"/>
      <c r="J6" s="195"/>
      <c r="K6" s="195"/>
      <c r="L6" s="195"/>
      <c r="M6" s="196"/>
      <c r="N6" s="11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spans="1:28" ht="14.3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spans="1:28" ht="19.55" customHeight="1">
      <c r="A8" s="197" t="s">
        <v>69</v>
      </c>
      <c r="B8" s="190"/>
      <c r="C8" s="190"/>
      <c r="D8" s="190"/>
      <c r="E8" s="190"/>
      <c r="F8" s="190"/>
      <c r="G8" s="190"/>
      <c r="H8" s="190"/>
      <c r="I8" s="190"/>
      <c r="J8" s="190"/>
      <c r="K8" s="190"/>
      <c r="L8" s="190"/>
      <c r="M8" s="190"/>
      <c r="N8" s="191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9" customHeight="1">
      <c r="A9" s="14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4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spans="1:28" ht="19.55" customHeight="1">
      <c r="A10" s="16" t="s">
        <v>76</v>
      </c>
      <c r="B10" s="16"/>
      <c r="C10" s="4" t="s">
        <v>77</v>
      </c>
      <c r="D10" s="16"/>
      <c r="E10" s="17"/>
      <c r="F10" s="18"/>
      <c r="G10" s="17"/>
      <c r="H10" s="19" t="s">
        <v>78</v>
      </c>
      <c r="I10" s="17"/>
      <c r="J10" s="17"/>
      <c r="K10" s="17"/>
      <c r="L10" s="17"/>
      <c r="M10" s="20"/>
      <c r="N10" s="20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spans="1:28" ht="19.55" customHeight="1">
      <c r="A11" s="16" t="s">
        <v>79</v>
      </c>
      <c r="B11" s="16"/>
      <c r="C11" s="4" t="s">
        <v>81</v>
      </c>
      <c r="D11" s="16"/>
      <c r="E11" s="22"/>
      <c r="F11" s="23"/>
      <c r="G11" s="17"/>
      <c r="H11" s="19" t="s">
        <v>82</v>
      </c>
      <c r="I11" s="17"/>
      <c r="J11" s="17"/>
      <c r="K11" s="17"/>
      <c r="L11" s="17"/>
      <c r="M11" s="20"/>
      <c r="N11" s="20"/>
      <c r="O11" s="6"/>
      <c r="P11" s="6"/>
      <c r="Q11" s="6"/>
      <c r="R11" s="21"/>
      <c r="S11" s="21"/>
      <c r="T11" s="21"/>
      <c r="U11" s="21"/>
      <c r="V11" s="21"/>
      <c r="W11" s="21"/>
      <c r="X11" s="6"/>
      <c r="Y11" s="6"/>
      <c r="Z11" s="6"/>
      <c r="AA11" s="6"/>
      <c r="AB11" s="6"/>
    </row>
    <row r="12" spans="1:28" ht="9" customHeight="1">
      <c r="A12" s="20"/>
      <c r="B12" s="24"/>
      <c r="C12" s="24"/>
      <c r="D12" s="24"/>
      <c r="E12" s="25"/>
      <c r="F12" s="14"/>
      <c r="G12" s="20"/>
      <c r="H12" s="26"/>
      <c r="I12" s="27"/>
      <c r="J12" s="27"/>
      <c r="K12" s="27"/>
      <c r="L12" s="27"/>
      <c r="M12" s="27"/>
      <c r="N12" s="27"/>
      <c r="O12" s="6"/>
      <c r="P12" s="6"/>
      <c r="Q12" s="6"/>
      <c r="R12" s="203"/>
      <c r="S12" s="203"/>
      <c r="T12" s="203"/>
      <c r="U12" s="203"/>
      <c r="V12" s="203"/>
      <c r="W12" s="205"/>
      <c r="X12" s="6"/>
      <c r="Y12" s="6"/>
      <c r="Z12" s="6"/>
      <c r="AA12" s="6"/>
      <c r="AB12" s="6"/>
    </row>
    <row r="13" spans="1:28" ht="18" customHeight="1">
      <c r="A13" s="176" t="s">
        <v>84</v>
      </c>
      <c r="B13" s="177"/>
      <c r="C13" s="178" t="s">
        <v>85</v>
      </c>
      <c r="D13" s="179"/>
      <c r="E13" s="180"/>
      <c r="F13" s="184" t="s">
        <v>86</v>
      </c>
      <c r="G13" s="176" t="s">
        <v>87</v>
      </c>
      <c r="H13" s="186"/>
      <c r="I13" s="186"/>
      <c r="J13" s="186"/>
      <c r="K13" s="186"/>
      <c r="L13" s="186"/>
      <c r="M13" s="177"/>
      <c r="N13" s="184" t="s">
        <v>88</v>
      </c>
      <c r="O13" s="6"/>
      <c r="P13" s="6"/>
      <c r="Q13" s="6"/>
      <c r="R13" s="204"/>
      <c r="S13" s="204"/>
      <c r="T13" s="204"/>
      <c r="U13" s="204"/>
      <c r="V13" s="204"/>
      <c r="W13" s="204"/>
      <c r="X13" s="6"/>
      <c r="Y13" s="6"/>
      <c r="Z13" s="6"/>
      <c r="AA13" s="6"/>
      <c r="AB13" s="6"/>
    </row>
    <row r="14" spans="1:28" ht="14.3" customHeight="1">
      <c r="A14" s="28" t="s">
        <v>90</v>
      </c>
      <c r="B14" s="30" t="s">
        <v>91</v>
      </c>
      <c r="C14" s="199"/>
      <c r="D14" s="200"/>
      <c r="E14" s="201"/>
      <c r="F14" s="206"/>
      <c r="G14" s="28"/>
      <c r="H14" s="28"/>
      <c r="I14" s="28"/>
      <c r="J14" s="28"/>
      <c r="K14" s="28"/>
      <c r="L14" s="28"/>
      <c r="M14" s="28"/>
      <c r="N14" s="185"/>
      <c r="O14" s="6"/>
      <c r="P14" s="6"/>
      <c r="Q14" s="6"/>
      <c r="R14" s="21"/>
      <c r="S14" s="21"/>
      <c r="T14" s="21"/>
      <c r="U14" s="21"/>
      <c r="V14" s="21"/>
      <c r="W14" s="29"/>
      <c r="X14" s="6"/>
      <c r="Y14" s="6"/>
      <c r="Z14" s="6"/>
      <c r="AA14" s="6"/>
      <c r="AB14" s="6"/>
    </row>
    <row r="15" spans="1:28" ht="18" customHeight="1">
      <c r="A15" s="31">
        <v>1</v>
      </c>
      <c r="B15" s="37">
        <v>252610094</v>
      </c>
      <c r="C15" s="38" t="s">
        <v>97</v>
      </c>
      <c r="D15" s="39"/>
      <c r="E15" s="39"/>
      <c r="F15" s="37" t="s">
        <v>3</v>
      </c>
      <c r="G15" s="40"/>
      <c r="H15" s="36"/>
      <c r="I15" s="36"/>
      <c r="J15" s="36"/>
      <c r="K15" s="36"/>
      <c r="L15" s="36"/>
      <c r="M15" s="36"/>
      <c r="N15" s="36"/>
      <c r="O15" s="6"/>
      <c r="P15" s="6"/>
      <c r="Q15" s="6"/>
      <c r="R15" s="21"/>
      <c r="S15" s="21"/>
      <c r="T15" s="21"/>
      <c r="U15" s="21"/>
      <c r="V15" s="21"/>
      <c r="W15" s="29"/>
      <c r="X15" s="6"/>
      <c r="Y15" s="6"/>
      <c r="Z15" s="6"/>
      <c r="AA15" s="6"/>
      <c r="AB15" s="6"/>
    </row>
    <row r="16" spans="1:28" ht="18" customHeight="1">
      <c r="A16" s="31">
        <f t="shared" ref="A16:A60" si="0">A15+1</f>
        <v>2</v>
      </c>
      <c r="B16" s="37">
        <v>252610049</v>
      </c>
      <c r="C16" s="38" t="s">
        <v>103</v>
      </c>
      <c r="D16" s="39"/>
      <c r="E16" s="39"/>
      <c r="F16" s="37" t="s">
        <v>3</v>
      </c>
      <c r="G16" s="40"/>
      <c r="H16" s="36"/>
      <c r="I16" s="36"/>
      <c r="J16" s="36"/>
      <c r="K16" s="36"/>
      <c r="L16" s="36"/>
      <c r="M16" s="36"/>
      <c r="N16" s="36"/>
      <c r="O16" s="6"/>
      <c r="P16" s="6"/>
      <c r="Q16" s="6"/>
      <c r="R16" s="21"/>
      <c r="S16" s="21"/>
      <c r="T16" s="21"/>
      <c r="U16" s="21"/>
      <c r="V16" s="21"/>
      <c r="W16" s="29"/>
      <c r="X16" s="6"/>
      <c r="Y16" s="6" t="s">
        <v>100</v>
      </c>
      <c r="Z16" s="6"/>
      <c r="AA16" s="6"/>
      <c r="AB16" s="6"/>
    </row>
    <row r="17" spans="1:28" ht="18" customHeight="1">
      <c r="A17" s="31">
        <f t="shared" si="0"/>
        <v>3</v>
      </c>
      <c r="B17" s="37">
        <v>252610142</v>
      </c>
      <c r="C17" s="48" t="s">
        <v>105</v>
      </c>
      <c r="D17" s="50"/>
      <c r="E17" s="50"/>
      <c r="F17" s="37" t="s">
        <v>1</v>
      </c>
      <c r="G17" s="40"/>
      <c r="H17" s="36"/>
      <c r="I17" s="36"/>
      <c r="J17" s="36"/>
      <c r="K17" s="36"/>
      <c r="L17" s="36"/>
      <c r="M17" s="36"/>
      <c r="N17" s="36"/>
      <c r="O17" s="6"/>
      <c r="P17" s="6"/>
      <c r="Q17" s="6"/>
      <c r="R17" s="21"/>
      <c r="S17" s="21"/>
      <c r="T17" s="21"/>
      <c r="U17" s="21"/>
      <c r="V17" s="21"/>
      <c r="W17" s="29"/>
      <c r="X17" s="6"/>
      <c r="Y17" s="6"/>
      <c r="Z17" s="6"/>
      <c r="AA17" s="6"/>
      <c r="AB17" s="6"/>
    </row>
    <row r="18" spans="1:28" ht="18" customHeight="1">
      <c r="A18" s="31">
        <f t="shared" si="0"/>
        <v>4</v>
      </c>
      <c r="B18" s="57">
        <v>252610273</v>
      </c>
      <c r="C18" s="58" t="s">
        <v>111</v>
      </c>
      <c r="D18" s="59"/>
      <c r="E18" s="60"/>
      <c r="F18" s="62" t="s">
        <v>3</v>
      </c>
      <c r="G18" s="40"/>
      <c r="H18" s="36"/>
      <c r="I18" s="36"/>
      <c r="J18" s="36"/>
      <c r="K18" s="36"/>
      <c r="L18" s="36"/>
      <c r="M18" s="36"/>
      <c r="N18" s="36"/>
      <c r="O18" s="6"/>
      <c r="P18" s="6"/>
      <c r="Q18" s="6"/>
      <c r="R18" s="21"/>
      <c r="S18" s="21"/>
      <c r="T18" s="21"/>
      <c r="U18" s="21"/>
      <c r="V18" s="21"/>
      <c r="W18" s="21"/>
      <c r="X18" s="6"/>
      <c r="Y18" s="6"/>
      <c r="Z18" s="6"/>
      <c r="AA18" s="6"/>
      <c r="AB18" s="6"/>
    </row>
    <row r="19" spans="1:28" ht="18" customHeight="1">
      <c r="A19" s="31">
        <f t="shared" si="0"/>
        <v>5</v>
      </c>
      <c r="B19" s="37">
        <v>252610275</v>
      </c>
      <c r="C19" s="63" t="s">
        <v>114</v>
      </c>
      <c r="D19" s="65"/>
      <c r="E19" s="65"/>
      <c r="F19" s="37" t="s">
        <v>3</v>
      </c>
      <c r="G19" s="40"/>
      <c r="H19" s="36"/>
      <c r="I19" s="36"/>
      <c r="J19" s="36"/>
      <c r="K19" s="36"/>
      <c r="L19" s="36"/>
      <c r="M19" s="36"/>
      <c r="N19" s="36"/>
      <c r="O19" s="6"/>
      <c r="P19" s="6"/>
      <c r="Q19" s="6"/>
      <c r="R19" s="203"/>
      <c r="S19" s="203"/>
      <c r="T19" s="203"/>
      <c r="U19" s="203"/>
      <c r="V19" s="203"/>
      <c r="W19" s="205"/>
      <c r="X19" s="6"/>
      <c r="Y19" s="6"/>
      <c r="Z19" s="6"/>
      <c r="AA19" s="6"/>
      <c r="AB19" s="6"/>
    </row>
    <row r="20" spans="1:28" ht="18" customHeight="1">
      <c r="A20" s="31">
        <f t="shared" si="0"/>
        <v>6</v>
      </c>
      <c r="B20" s="37">
        <v>252610006</v>
      </c>
      <c r="C20" s="38" t="s">
        <v>121</v>
      </c>
      <c r="D20" s="39"/>
      <c r="E20" s="39"/>
      <c r="F20" s="37" t="s">
        <v>1</v>
      </c>
      <c r="G20" s="40"/>
      <c r="H20" s="36"/>
      <c r="I20" s="36"/>
      <c r="J20" s="36"/>
      <c r="K20" s="36"/>
      <c r="L20" s="36"/>
      <c r="M20" s="36"/>
      <c r="N20" s="36"/>
      <c r="O20" s="6"/>
      <c r="P20" s="6"/>
      <c r="Q20" s="6"/>
      <c r="R20" s="204"/>
      <c r="S20" s="204"/>
      <c r="T20" s="204"/>
      <c r="U20" s="204"/>
      <c r="V20" s="204"/>
      <c r="W20" s="204"/>
      <c r="X20" s="6"/>
      <c r="Y20" s="6"/>
      <c r="Z20" s="6"/>
      <c r="AA20" s="6"/>
      <c r="AB20" s="6"/>
    </row>
    <row r="21" spans="1:28" ht="18" customHeight="1">
      <c r="A21" s="31">
        <f t="shared" si="0"/>
        <v>7</v>
      </c>
      <c r="B21" s="37">
        <v>252610507</v>
      </c>
      <c r="C21" s="38" t="s">
        <v>125</v>
      </c>
      <c r="D21" s="39"/>
      <c r="E21" s="39"/>
      <c r="F21" s="37" t="s">
        <v>3</v>
      </c>
      <c r="G21" s="40"/>
      <c r="H21" s="36"/>
      <c r="I21" s="36"/>
      <c r="J21" s="36"/>
      <c r="K21" s="36"/>
      <c r="L21" s="36"/>
      <c r="M21" s="36"/>
      <c r="N21" s="36"/>
      <c r="O21" s="6"/>
      <c r="P21" s="6"/>
      <c r="Q21" s="6"/>
      <c r="R21" s="21"/>
      <c r="S21" s="21"/>
      <c r="T21" s="21"/>
      <c r="U21" s="21"/>
      <c r="V21" s="21"/>
      <c r="W21" s="29"/>
      <c r="X21" s="6"/>
      <c r="Y21" s="6"/>
      <c r="Z21" s="6"/>
      <c r="AA21" s="6"/>
      <c r="AB21" s="6"/>
    </row>
    <row r="22" spans="1:28" ht="18" customHeight="1">
      <c r="A22" s="31">
        <f t="shared" si="0"/>
        <v>8</v>
      </c>
      <c r="B22" s="37">
        <v>252610149</v>
      </c>
      <c r="C22" s="38" t="s">
        <v>131</v>
      </c>
      <c r="D22" s="39"/>
      <c r="E22" s="39"/>
      <c r="F22" s="37" t="s">
        <v>1</v>
      </c>
      <c r="G22" s="40"/>
      <c r="H22" s="36"/>
      <c r="I22" s="36"/>
      <c r="J22" s="36"/>
      <c r="K22" s="36"/>
      <c r="L22" s="36"/>
      <c r="M22" s="36"/>
      <c r="N22" s="36"/>
      <c r="O22" s="6"/>
      <c r="P22" s="6"/>
      <c r="Q22" s="6"/>
      <c r="R22" s="21"/>
      <c r="S22" s="21"/>
      <c r="T22" s="21"/>
      <c r="U22" s="21"/>
      <c r="V22" s="21"/>
      <c r="W22" s="29"/>
      <c r="X22" s="6"/>
      <c r="Y22" s="6"/>
      <c r="Z22" s="6"/>
      <c r="AA22" s="6"/>
      <c r="AB22" s="6"/>
    </row>
    <row r="23" spans="1:28" ht="18" customHeight="1">
      <c r="A23" s="31">
        <f t="shared" si="0"/>
        <v>9</v>
      </c>
      <c r="B23" s="37">
        <v>252610461</v>
      </c>
      <c r="C23" s="38" t="s">
        <v>137</v>
      </c>
      <c r="D23" s="39"/>
      <c r="E23" s="39"/>
      <c r="F23" s="37" t="s">
        <v>3</v>
      </c>
      <c r="G23" s="40"/>
      <c r="H23" s="36"/>
      <c r="I23" s="36"/>
      <c r="J23" s="36"/>
      <c r="K23" s="36"/>
      <c r="L23" s="36"/>
      <c r="M23" s="36"/>
      <c r="N23" s="36"/>
      <c r="O23" s="6"/>
      <c r="P23" s="6"/>
      <c r="Q23" s="6"/>
      <c r="R23" s="21"/>
      <c r="S23" s="21"/>
      <c r="T23" s="21"/>
      <c r="U23" s="21"/>
      <c r="V23" s="21"/>
      <c r="W23" s="29"/>
      <c r="X23" s="6"/>
      <c r="Y23" s="6"/>
      <c r="Z23" s="6"/>
      <c r="AA23" s="6"/>
      <c r="AB23" s="6"/>
    </row>
    <row r="24" spans="1:28" ht="18" customHeight="1">
      <c r="A24" s="31">
        <f t="shared" si="0"/>
        <v>10</v>
      </c>
      <c r="B24" s="37">
        <v>252610152</v>
      </c>
      <c r="C24" s="38" t="s">
        <v>142</v>
      </c>
      <c r="D24" s="39"/>
      <c r="E24" s="39"/>
      <c r="F24" s="37" t="s">
        <v>3</v>
      </c>
      <c r="G24" s="40"/>
      <c r="H24" s="36"/>
      <c r="I24" s="36"/>
      <c r="J24" s="36"/>
      <c r="K24" s="36"/>
      <c r="L24" s="36"/>
      <c r="M24" s="36"/>
      <c r="N24" s="36"/>
      <c r="O24" s="6"/>
      <c r="P24" s="6"/>
      <c r="Q24" s="6"/>
      <c r="R24" s="21"/>
      <c r="S24" s="21"/>
      <c r="T24" s="21"/>
      <c r="U24" s="21"/>
      <c r="V24" s="21"/>
      <c r="W24" s="29"/>
      <c r="X24" s="6"/>
      <c r="Y24" s="6"/>
      <c r="Z24" s="6"/>
      <c r="AA24" s="6"/>
      <c r="AB24" s="6"/>
    </row>
    <row r="25" spans="1:28" ht="18" customHeight="1">
      <c r="A25" s="31">
        <f t="shared" si="0"/>
        <v>11</v>
      </c>
      <c r="B25" s="37">
        <v>252610464</v>
      </c>
      <c r="C25" s="38" t="s">
        <v>147</v>
      </c>
      <c r="D25" s="39"/>
      <c r="E25" s="39"/>
      <c r="F25" s="37" t="s">
        <v>3</v>
      </c>
      <c r="G25" s="40"/>
      <c r="H25" s="36"/>
      <c r="I25" s="36"/>
      <c r="J25" s="36"/>
      <c r="K25" s="36"/>
      <c r="L25" s="36"/>
      <c r="M25" s="36"/>
      <c r="N25" s="36"/>
      <c r="O25" s="6"/>
      <c r="P25" s="6"/>
      <c r="Q25" s="6"/>
      <c r="R25" s="21"/>
      <c r="S25" s="21"/>
      <c r="T25" s="21"/>
      <c r="U25" s="21"/>
      <c r="V25" s="21"/>
      <c r="W25" s="21"/>
      <c r="X25" s="6"/>
      <c r="Y25" s="6"/>
      <c r="Z25" s="6"/>
      <c r="AA25" s="6"/>
      <c r="AB25" s="6"/>
    </row>
    <row r="26" spans="1:28" ht="18" customHeight="1">
      <c r="A26" s="31">
        <f t="shared" si="0"/>
        <v>12</v>
      </c>
      <c r="B26" s="37">
        <v>252610154</v>
      </c>
      <c r="C26" s="48" t="s">
        <v>152</v>
      </c>
      <c r="D26" s="50"/>
      <c r="E26" s="50"/>
      <c r="F26" s="37" t="s">
        <v>3</v>
      </c>
      <c r="G26" s="40"/>
      <c r="H26" s="36"/>
      <c r="I26" s="36"/>
      <c r="J26" s="36"/>
      <c r="K26" s="36"/>
      <c r="L26" s="36"/>
      <c r="M26" s="36"/>
      <c r="N26" s="36"/>
      <c r="O26" s="6"/>
      <c r="P26" s="6"/>
      <c r="Q26" s="6"/>
      <c r="R26" s="203"/>
      <c r="S26" s="203"/>
      <c r="T26" s="203"/>
      <c r="U26" s="203"/>
      <c r="V26" s="203"/>
      <c r="W26" s="205"/>
      <c r="X26" s="6"/>
      <c r="Y26" s="6"/>
      <c r="Z26" s="6"/>
      <c r="AA26" s="6"/>
      <c r="AB26" s="6"/>
    </row>
    <row r="27" spans="1:28" ht="18" customHeight="1">
      <c r="A27" s="31">
        <f t="shared" si="0"/>
        <v>13</v>
      </c>
      <c r="B27" s="57">
        <v>252610155</v>
      </c>
      <c r="C27" s="58" t="s">
        <v>160</v>
      </c>
      <c r="D27" s="59"/>
      <c r="E27" s="60"/>
      <c r="F27" s="62" t="s">
        <v>1</v>
      </c>
      <c r="G27" s="40"/>
      <c r="H27" s="36"/>
      <c r="I27" s="36"/>
      <c r="J27" s="36"/>
      <c r="K27" s="36"/>
      <c r="L27" s="36"/>
      <c r="M27" s="36"/>
      <c r="N27" s="36"/>
      <c r="O27" s="6"/>
      <c r="P27" s="6"/>
      <c r="Q27" s="6"/>
      <c r="R27" s="204"/>
      <c r="S27" s="204"/>
      <c r="T27" s="204"/>
      <c r="U27" s="204"/>
      <c r="V27" s="204"/>
      <c r="W27" s="204"/>
      <c r="X27" s="6"/>
      <c r="Y27" s="6"/>
      <c r="Z27" s="6"/>
      <c r="AA27" s="6"/>
      <c r="AB27" s="6"/>
    </row>
    <row r="28" spans="1:28" ht="18" customHeight="1">
      <c r="A28" s="31">
        <f t="shared" si="0"/>
        <v>14</v>
      </c>
      <c r="B28" s="37">
        <v>252610419</v>
      </c>
      <c r="C28" s="63" t="s">
        <v>164</v>
      </c>
      <c r="D28" s="65"/>
      <c r="E28" s="65"/>
      <c r="F28" s="37" t="s">
        <v>1</v>
      </c>
      <c r="G28" s="40"/>
      <c r="H28" s="36"/>
      <c r="I28" s="36"/>
      <c r="J28" s="36"/>
      <c r="K28" s="36"/>
      <c r="L28" s="36"/>
      <c r="M28" s="36"/>
      <c r="N28" s="36"/>
      <c r="O28" s="6"/>
      <c r="P28" s="6"/>
      <c r="Q28" s="6"/>
      <c r="R28" s="21"/>
      <c r="S28" s="21"/>
      <c r="T28" s="21"/>
      <c r="U28" s="21"/>
      <c r="V28" s="21"/>
      <c r="W28" s="29"/>
      <c r="X28" s="6"/>
      <c r="Y28" s="6"/>
      <c r="Z28" s="6"/>
      <c r="AA28" s="6"/>
      <c r="AB28" s="6"/>
    </row>
    <row r="29" spans="1:28" ht="18" customHeight="1">
      <c r="A29" s="31">
        <f t="shared" si="0"/>
        <v>15</v>
      </c>
      <c r="B29" s="37">
        <v>252610239</v>
      </c>
      <c r="C29" s="38" t="s">
        <v>172</v>
      </c>
      <c r="D29" s="39"/>
      <c r="E29" s="39"/>
      <c r="F29" s="37" t="s">
        <v>1</v>
      </c>
      <c r="G29" s="40"/>
      <c r="H29" s="36"/>
      <c r="I29" s="36"/>
      <c r="J29" s="36"/>
      <c r="K29" s="36"/>
      <c r="L29" s="36"/>
      <c r="M29" s="36"/>
      <c r="N29" s="36"/>
      <c r="O29" s="6"/>
      <c r="P29" s="6"/>
      <c r="Q29" s="6"/>
      <c r="R29" s="21"/>
      <c r="S29" s="21"/>
      <c r="T29" s="21"/>
      <c r="U29" s="21"/>
      <c r="V29" s="21"/>
      <c r="W29" s="29"/>
      <c r="X29" s="6"/>
      <c r="Y29" s="6"/>
      <c r="Z29" s="6"/>
      <c r="AA29" s="6"/>
      <c r="AB29" s="6"/>
    </row>
    <row r="30" spans="1:28" ht="18" customHeight="1">
      <c r="A30" s="31">
        <f t="shared" si="0"/>
        <v>16</v>
      </c>
      <c r="B30" s="37">
        <v>252610054</v>
      </c>
      <c r="C30" s="38" t="s">
        <v>176</v>
      </c>
      <c r="D30" s="39"/>
      <c r="E30" s="39"/>
      <c r="F30" s="37" t="s">
        <v>3</v>
      </c>
      <c r="G30" s="40"/>
      <c r="H30" s="36"/>
      <c r="I30" s="36"/>
      <c r="J30" s="36"/>
      <c r="K30" s="36"/>
      <c r="L30" s="36"/>
      <c r="M30" s="36"/>
      <c r="N30" s="36"/>
      <c r="O30" s="6"/>
      <c r="P30" s="6"/>
      <c r="Q30" s="6"/>
      <c r="R30" s="21"/>
      <c r="S30" s="21"/>
      <c r="T30" s="21"/>
      <c r="U30" s="21"/>
      <c r="V30" s="21"/>
      <c r="W30" s="29"/>
      <c r="X30" s="6"/>
      <c r="Y30" s="6"/>
      <c r="Z30" s="6"/>
      <c r="AA30" s="6"/>
      <c r="AB30" s="6"/>
    </row>
    <row r="31" spans="1:28" ht="18" customHeight="1">
      <c r="A31" s="31">
        <f t="shared" si="0"/>
        <v>17</v>
      </c>
      <c r="B31" s="37">
        <v>252610195</v>
      </c>
      <c r="C31" s="38" t="s">
        <v>184</v>
      </c>
      <c r="D31" s="39"/>
      <c r="E31" s="39"/>
      <c r="F31" s="37" t="s">
        <v>3</v>
      </c>
      <c r="G31" s="40"/>
      <c r="H31" s="36"/>
      <c r="I31" s="36"/>
      <c r="J31" s="36"/>
      <c r="K31" s="36"/>
      <c r="L31" s="36"/>
      <c r="M31" s="36"/>
      <c r="N31" s="36"/>
      <c r="O31" s="6"/>
      <c r="P31" s="6"/>
      <c r="Q31" s="6"/>
      <c r="R31" s="21"/>
      <c r="S31" s="21"/>
      <c r="T31" s="21"/>
      <c r="U31" s="21"/>
      <c r="V31" s="21"/>
      <c r="W31" s="29"/>
      <c r="X31" s="6"/>
      <c r="Y31" s="6"/>
      <c r="Z31" s="6"/>
      <c r="AA31" s="6"/>
      <c r="AB31" s="6"/>
    </row>
    <row r="32" spans="1:28" ht="18" customHeight="1">
      <c r="A32" s="31">
        <f t="shared" si="0"/>
        <v>18</v>
      </c>
      <c r="B32" s="37">
        <v>252610288</v>
      </c>
      <c r="C32" s="38" t="s">
        <v>188</v>
      </c>
      <c r="D32" s="39"/>
      <c r="E32" s="39"/>
      <c r="F32" s="37" t="s">
        <v>3</v>
      </c>
      <c r="G32" s="40"/>
      <c r="H32" s="36"/>
      <c r="I32" s="36"/>
      <c r="J32" s="36"/>
      <c r="K32" s="36"/>
      <c r="L32" s="36"/>
      <c r="M32" s="36"/>
      <c r="N32" s="36"/>
      <c r="O32" s="6"/>
      <c r="P32" s="6"/>
      <c r="Q32" s="6"/>
      <c r="R32" s="21"/>
      <c r="S32" s="21"/>
      <c r="T32" s="21"/>
      <c r="U32" s="21"/>
      <c r="V32" s="21"/>
      <c r="W32" s="21"/>
      <c r="X32" s="6"/>
      <c r="Y32" s="6"/>
      <c r="Z32" s="6"/>
      <c r="AA32" s="6"/>
      <c r="AB32" s="6"/>
    </row>
    <row r="33" spans="1:28" ht="18" customHeight="1">
      <c r="A33" s="31">
        <f t="shared" si="0"/>
        <v>19</v>
      </c>
      <c r="B33" s="37">
        <v>252610248</v>
      </c>
      <c r="C33" s="38" t="s">
        <v>194</v>
      </c>
      <c r="D33" s="39"/>
      <c r="E33" s="39"/>
      <c r="F33" s="37" t="s">
        <v>1</v>
      </c>
      <c r="G33" s="40"/>
      <c r="H33" s="36"/>
      <c r="I33" s="36"/>
      <c r="J33" s="36"/>
      <c r="K33" s="36"/>
      <c r="L33" s="36"/>
      <c r="M33" s="36"/>
      <c r="N33" s="1"/>
      <c r="O33" s="6"/>
      <c r="P33" s="6"/>
      <c r="Q33" s="6"/>
      <c r="R33" s="21"/>
      <c r="S33" s="74"/>
      <c r="T33" s="21"/>
      <c r="U33" s="21"/>
      <c r="V33" s="21"/>
      <c r="W33" s="21"/>
      <c r="X33" s="6"/>
      <c r="Y33" s="6"/>
      <c r="Z33" s="6"/>
      <c r="AA33" s="6"/>
      <c r="AB33" s="6"/>
    </row>
    <row r="34" spans="1:28" ht="18" customHeight="1">
      <c r="A34" s="31">
        <f t="shared" si="0"/>
        <v>20</v>
      </c>
      <c r="B34" s="37">
        <v>252610059</v>
      </c>
      <c r="C34" s="38" t="s">
        <v>200</v>
      </c>
      <c r="D34" s="39"/>
      <c r="E34" s="39"/>
      <c r="F34" s="37" t="s">
        <v>3</v>
      </c>
      <c r="G34" s="40"/>
      <c r="H34" s="36"/>
      <c r="I34" s="36"/>
      <c r="J34" s="36"/>
      <c r="K34" s="36"/>
      <c r="L34" s="36"/>
      <c r="M34" s="36"/>
      <c r="N34" s="36"/>
      <c r="O34" s="6"/>
      <c r="P34" s="6"/>
      <c r="Q34" s="6"/>
      <c r="R34" s="21"/>
      <c r="S34" s="21"/>
      <c r="T34" s="21"/>
      <c r="U34" s="21"/>
      <c r="V34" s="21"/>
      <c r="W34" s="21"/>
      <c r="X34" s="6"/>
      <c r="Y34" s="6"/>
      <c r="Z34" s="6"/>
      <c r="AA34" s="6"/>
      <c r="AB34" s="6"/>
    </row>
    <row r="35" spans="1:28" ht="18" customHeight="1">
      <c r="A35" s="31">
        <f t="shared" si="0"/>
        <v>21</v>
      </c>
      <c r="B35" s="37">
        <v>252610429</v>
      </c>
      <c r="C35" s="38" t="s">
        <v>207</v>
      </c>
      <c r="D35" s="39"/>
      <c r="E35" s="39"/>
      <c r="F35" s="37" t="s">
        <v>1</v>
      </c>
      <c r="G35" s="40"/>
      <c r="H35" s="36"/>
      <c r="I35" s="36"/>
      <c r="J35" s="36"/>
      <c r="K35" s="36"/>
      <c r="L35" s="36"/>
      <c r="M35" s="36"/>
      <c r="N35" s="36"/>
      <c r="O35" s="6"/>
      <c r="P35" s="6"/>
      <c r="Q35" s="6"/>
      <c r="R35" s="21"/>
      <c r="S35" s="21"/>
      <c r="T35" s="21"/>
      <c r="U35" s="21"/>
      <c r="V35" s="21"/>
      <c r="W35" s="21"/>
      <c r="X35" s="6"/>
      <c r="Y35" s="6"/>
      <c r="Z35" s="6"/>
      <c r="AA35" s="6"/>
      <c r="AB35" s="6"/>
    </row>
    <row r="36" spans="1:28" ht="18" customHeight="1">
      <c r="A36" s="31">
        <f t="shared" si="0"/>
        <v>22</v>
      </c>
      <c r="B36" s="37">
        <v>252610519</v>
      </c>
      <c r="C36" s="38" t="s">
        <v>212</v>
      </c>
      <c r="D36" s="39"/>
      <c r="E36" s="39"/>
      <c r="F36" s="37" t="s">
        <v>3</v>
      </c>
      <c r="G36" s="40"/>
      <c r="H36" s="36"/>
      <c r="I36" s="36"/>
      <c r="J36" s="36"/>
      <c r="K36" s="36"/>
      <c r="L36" s="36"/>
      <c r="M36" s="36"/>
      <c r="N36" s="3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spans="1:28" ht="18" customHeight="1">
      <c r="A37" s="31">
        <f t="shared" si="0"/>
        <v>23</v>
      </c>
      <c r="B37" s="37">
        <v>252610383</v>
      </c>
      <c r="C37" s="38" t="s">
        <v>218</v>
      </c>
      <c r="D37" s="39"/>
      <c r="E37" s="39"/>
      <c r="F37" s="37" t="s">
        <v>3</v>
      </c>
      <c r="G37" s="40"/>
      <c r="H37" s="36"/>
      <c r="I37" s="36"/>
      <c r="J37" s="36"/>
      <c r="K37" s="36"/>
      <c r="L37" s="36"/>
      <c r="M37" s="36"/>
      <c r="N37" s="3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spans="1:28" ht="18" customHeight="1">
      <c r="A38" s="31">
        <f t="shared" si="0"/>
        <v>24</v>
      </c>
      <c r="B38" s="37">
        <v>252610521</v>
      </c>
      <c r="C38" s="38" t="s">
        <v>224</v>
      </c>
      <c r="D38" s="39"/>
      <c r="E38" s="39"/>
      <c r="F38" s="37" t="s">
        <v>3</v>
      </c>
      <c r="G38" s="40"/>
      <c r="H38" s="36"/>
      <c r="I38" s="36"/>
      <c r="J38" s="36"/>
      <c r="K38" s="36"/>
      <c r="L38" s="36"/>
      <c r="M38" s="36"/>
      <c r="N38" s="3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spans="1:28" ht="18" customHeight="1">
      <c r="A39" s="31">
        <f t="shared" si="0"/>
        <v>25</v>
      </c>
      <c r="B39" s="37">
        <v>252610163</v>
      </c>
      <c r="C39" s="38" t="s">
        <v>230</v>
      </c>
      <c r="D39" s="39"/>
      <c r="E39" s="39"/>
      <c r="F39" s="37" t="s">
        <v>1</v>
      </c>
      <c r="G39" s="40"/>
      <c r="H39" s="36"/>
      <c r="I39" s="36"/>
      <c r="J39" s="36"/>
      <c r="K39" s="36"/>
      <c r="L39" s="36"/>
      <c r="M39" s="36"/>
      <c r="N39" s="3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8" customHeight="1">
      <c r="A40" s="31">
        <f t="shared" si="0"/>
        <v>26</v>
      </c>
      <c r="B40" s="37">
        <v>252610433</v>
      </c>
      <c r="C40" s="38" t="s">
        <v>237</v>
      </c>
      <c r="D40" s="39"/>
      <c r="E40" s="39"/>
      <c r="F40" s="37" t="s">
        <v>1</v>
      </c>
      <c r="G40" s="40"/>
      <c r="H40" s="36"/>
      <c r="I40" s="36"/>
      <c r="J40" s="36"/>
      <c r="K40" s="36"/>
      <c r="L40" s="36"/>
      <c r="M40" s="36"/>
      <c r="N40" s="3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spans="1:28" ht="18" customHeight="1">
      <c r="A41" s="31">
        <f t="shared" si="0"/>
        <v>27</v>
      </c>
      <c r="B41" s="37">
        <v>252610024</v>
      </c>
      <c r="C41" s="38" t="s">
        <v>241</v>
      </c>
      <c r="D41" s="39"/>
      <c r="E41" s="39"/>
      <c r="F41" s="37" t="s">
        <v>1</v>
      </c>
      <c r="G41" s="40"/>
      <c r="H41" s="36"/>
      <c r="I41" s="36"/>
      <c r="J41" s="36"/>
      <c r="K41" s="36"/>
      <c r="L41" s="36"/>
      <c r="M41" s="36"/>
      <c r="N41" s="3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18" customHeight="1">
      <c r="A42" s="77">
        <f t="shared" si="0"/>
        <v>28</v>
      </c>
      <c r="B42" s="37">
        <v>252610118</v>
      </c>
      <c r="C42" s="38" t="s">
        <v>244</v>
      </c>
      <c r="D42" s="39"/>
      <c r="E42" s="39"/>
      <c r="F42" s="37" t="s">
        <v>1</v>
      </c>
      <c r="G42" s="21"/>
      <c r="H42" s="78"/>
      <c r="I42" s="78"/>
      <c r="J42" s="78"/>
      <c r="K42" s="78"/>
      <c r="L42" s="78"/>
      <c r="M42" s="78"/>
      <c r="N42" s="78"/>
      <c r="O42" s="21"/>
      <c r="P42" s="21"/>
      <c r="Q42" s="78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</row>
    <row r="43" spans="1:28" ht="18" customHeight="1">
      <c r="A43" s="31">
        <f t="shared" si="0"/>
        <v>29</v>
      </c>
      <c r="B43" s="37">
        <v>252610203</v>
      </c>
      <c r="C43" s="38" t="s">
        <v>248</v>
      </c>
      <c r="D43" s="39"/>
      <c r="E43" s="39"/>
      <c r="F43" s="37" t="s">
        <v>1</v>
      </c>
      <c r="G43" s="40"/>
      <c r="H43" s="36"/>
      <c r="I43" s="36"/>
      <c r="J43" s="36"/>
      <c r="K43" s="36"/>
      <c r="L43" s="36"/>
      <c r="M43" s="36"/>
      <c r="N43" s="3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8" customHeight="1">
      <c r="A44" s="31">
        <f t="shared" si="0"/>
        <v>30</v>
      </c>
      <c r="B44" s="37">
        <v>252610257</v>
      </c>
      <c r="C44" s="38" t="s">
        <v>252</v>
      </c>
      <c r="D44" s="39"/>
      <c r="E44" s="39"/>
      <c r="F44" s="37" t="s">
        <v>1</v>
      </c>
      <c r="G44" s="40"/>
      <c r="H44" s="36"/>
      <c r="I44" s="36"/>
      <c r="J44" s="36"/>
      <c r="K44" s="36"/>
      <c r="L44" s="36"/>
      <c r="M44" s="36"/>
      <c r="N44" s="3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8" customHeight="1">
      <c r="A45" s="31">
        <f t="shared" si="0"/>
        <v>31</v>
      </c>
      <c r="B45" s="37">
        <v>252610068</v>
      </c>
      <c r="C45" s="38" t="s">
        <v>257</v>
      </c>
      <c r="D45" s="39"/>
      <c r="E45" s="39"/>
      <c r="F45" s="37" t="s">
        <v>3</v>
      </c>
      <c r="G45" s="40"/>
      <c r="H45" s="36"/>
      <c r="I45" s="36"/>
      <c r="J45" s="36"/>
      <c r="K45" s="36"/>
      <c r="L45" s="36"/>
      <c r="M45" s="36"/>
      <c r="N45" s="3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8" customHeight="1">
      <c r="A46" s="31">
        <f t="shared" si="0"/>
        <v>32</v>
      </c>
      <c r="B46" s="37">
        <v>252610120</v>
      </c>
      <c r="C46" s="38" t="s">
        <v>260</v>
      </c>
      <c r="D46" s="39"/>
      <c r="E46" s="39"/>
      <c r="F46" s="37" t="s">
        <v>3</v>
      </c>
      <c r="G46" s="40"/>
      <c r="H46" s="36"/>
      <c r="I46" s="36"/>
      <c r="J46" s="36"/>
      <c r="K46" s="36"/>
      <c r="L46" s="36"/>
      <c r="M46" s="36"/>
      <c r="N46" s="3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8" customHeight="1">
      <c r="A47" s="31">
        <f t="shared" si="0"/>
        <v>33</v>
      </c>
      <c r="B47" s="37">
        <v>252610072</v>
      </c>
      <c r="C47" s="38" t="s">
        <v>263</v>
      </c>
      <c r="D47" s="39"/>
      <c r="E47" s="39"/>
      <c r="F47" s="37" t="s">
        <v>3</v>
      </c>
      <c r="G47" s="40"/>
      <c r="H47" s="36"/>
      <c r="I47" s="36"/>
      <c r="J47" s="36"/>
      <c r="K47" s="36"/>
      <c r="L47" s="36"/>
      <c r="M47" s="36"/>
      <c r="N47" s="3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8" customHeight="1">
      <c r="A48" s="88">
        <f t="shared" si="0"/>
        <v>34</v>
      </c>
      <c r="B48" s="37">
        <v>252610355</v>
      </c>
      <c r="C48" s="38" t="s">
        <v>267</v>
      </c>
      <c r="D48" s="39"/>
      <c r="E48" s="39"/>
      <c r="F48" s="37" t="s">
        <v>3</v>
      </c>
      <c r="G48" s="89"/>
      <c r="H48" s="85"/>
      <c r="I48" s="85"/>
      <c r="J48" s="85"/>
      <c r="K48" s="85"/>
      <c r="L48" s="85"/>
      <c r="M48" s="85"/>
      <c r="N48" s="85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8" customHeight="1">
      <c r="A49" s="31">
        <f t="shared" si="0"/>
        <v>35</v>
      </c>
      <c r="B49" s="37">
        <v>252610262</v>
      </c>
      <c r="C49" s="38" t="s">
        <v>270</v>
      </c>
      <c r="D49" s="39"/>
      <c r="E49" s="39"/>
      <c r="F49" s="37" t="s">
        <v>1</v>
      </c>
      <c r="G49" s="40"/>
      <c r="H49" s="36"/>
      <c r="I49" s="36"/>
      <c r="J49" s="36"/>
      <c r="K49" s="36"/>
      <c r="L49" s="36"/>
      <c r="M49" s="36"/>
      <c r="N49" s="3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8" customHeight="1">
      <c r="A50" s="31">
        <f t="shared" si="0"/>
        <v>36</v>
      </c>
      <c r="B50" s="37">
        <v>252610029</v>
      </c>
      <c r="C50" s="38" t="s">
        <v>273</v>
      </c>
      <c r="D50" s="39"/>
      <c r="E50" s="39"/>
      <c r="F50" s="37" t="s">
        <v>3</v>
      </c>
      <c r="G50" s="40"/>
      <c r="H50" s="36"/>
      <c r="I50" s="36"/>
      <c r="J50" s="36"/>
      <c r="K50" s="36"/>
      <c r="L50" s="36"/>
      <c r="M50" s="36"/>
      <c r="N50" s="36"/>
      <c r="O50" s="6"/>
      <c r="P50" s="6"/>
      <c r="Q50" s="8"/>
      <c r="R50" s="8"/>
      <c r="S50" s="8"/>
      <c r="T50" s="8"/>
      <c r="U50" s="8"/>
      <c r="V50" s="8"/>
      <c r="W50" s="8"/>
      <c r="X50" s="6"/>
      <c r="Y50" s="6"/>
      <c r="Z50" s="6"/>
      <c r="AA50" s="6"/>
      <c r="AB50" s="6"/>
    </row>
    <row r="51" spans="1:28" ht="18" customHeight="1">
      <c r="A51" s="31">
        <f t="shared" si="0"/>
        <v>37</v>
      </c>
      <c r="B51" s="37">
        <v>252610207</v>
      </c>
      <c r="C51" s="38" t="s">
        <v>277</v>
      </c>
      <c r="D51" s="39"/>
      <c r="E51" s="39"/>
      <c r="F51" s="37" t="s">
        <v>1</v>
      </c>
      <c r="G51" s="93"/>
      <c r="H51" s="36"/>
      <c r="I51" s="36"/>
      <c r="J51" s="36"/>
      <c r="K51" s="36"/>
      <c r="L51" s="36"/>
      <c r="M51" s="36"/>
      <c r="N51" s="36"/>
      <c r="O51" s="6"/>
      <c r="P51" s="6"/>
      <c r="Q51" s="6"/>
      <c r="R51" s="8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8" customHeight="1">
      <c r="A52" s="31">
        <f t="shared" si="0"/>
        <v>38</v>
      </c>
      <c r="B52" s="37">
        <v>252610399</v>
      </c>
      <c r="C52" s="38" t="s">
        <v>284</v>
      </c>
      <c r="D52" s="39"/>
      <c r="E52" s="39"/>
      <c r="F52" s="37" t="s">
        <v>3</v>
      </c>
      <c r="G52" s="93"/>
      <c r="H52" s="36"/>
      <c r="I52" s="36"/>
      <c r="J52" s="36"/>
      <c r="K52" s="36"/>
      <c r="L52" s="36"/>
      <c r="M52" s="36"/>
      <c r="N52" s="36"/>
      <c r="O52" s="6"/>
      <c r="P52" s="6"/>
      <c r="Q52" s="6"/>
      <c r="R52" s="8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8" customHeight="1">
      <c r="A53" s="31">
        <f t="shared" si="0"/>
        <v>39</v>
      </c>
      <c r="B53" s="37">
        <v>252610131</v>
      </c>
      <c r="C53" s="38" t="s">
        <v>289</v>
      </c>
      <c r="D53" s="39"/>
      <c r="E53" s="39"/>
      <c r="F53" s="37" t="s">
        <v>1</v>
      </c>
      <c r="G53" s="93"/>
      <c r="H53" s="36"/>
      <c r="I53" s="36"/>
      <c r="J53" s="36"/>
      <c r="K53" s="36"/>
      <c r="L53" s="36"/>
      <c r="M53" s="36"/>
      <c r="N53" s="36"/>
      <c r="O53" s="6"/>
      <c r="P53" s="6"/>
      <c r="Q53" s="6"/>
      <c r="R53" s="8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8" customHeight="1">
      <c r="A54" s="31">
        <f t="shared" si="0"/>
        <v>40</v>
      </c>
      <c r="B54" s="37">
        <v>252610311</v>
      </c>
      <c r="C54" s="38" t="s">
        <v>293</v>
      </c>
      <c r="D54" s="39"/>
      <c r="E54" s="39"/>
      <c r="F54" s="37" t="s">
        <v>3</v>
      </c>
      <c r="G54" s="93"/>
      <c r="H54" s="36"/>
      <c r="I54" s="36"/>
      <c r="J54" s="36"/>
      <c r="K54" s="36"/>
      <c r="L54" s="36"/>
      <c r="M54" s="36"/>
      <c r="N54" s="36"/>
      <c r="O54" s="6"/>
      <c r="P54" s="6"/>
      <c r="Q54" s="6"/>
      <c r="R54" s="8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8" customHeight="1">
      <c r="A55" s="31">
        <f t="shared" si="0"/>
        <v>41</v>
      </c>
      <c r="B55" s="37">
        <v>252610085</v>
      </c>
      <c r="C55" s="38" t="s">
        <v>297</v>
      </c>
      <c r="D55" s="39"/>
      <c r="E55" s="39"/>
      <c r="F55" s="37" t="s">
        <v>3</v>
      </c>
      <c r="G55" s="93"/>
      <c r="H55" s="36"/>
      <c r="I55" s="36"/>
      <c r="J55" s="36"/>
      <c r="K55" s="36"/>
      <c r="L55" s="36"/>
      <c r="M55" s="36"/>
      <c r="N55" s="36"/>
      <c r="O55" s="6"/>
      <c r="P55" s="6"/>
      <c r="Q55" s="6"/>
      <c r="R55" s="8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8" customHeight="1">
      <c r="A56" s="31">
        <f t="shared" si="0"/>
        <v>42</v>
      </c>
      <c r="B56" s="37">
        <v>252610138</v>
      </c>
      <c r="C56" s="38" t="s">
        <v>303</v>
      </c>
      <c r="D56" s="39"/>
      <c r="E56" s="39"/>
      <c r="F56" s="37" t="s">
        <v>3</v>
      </c>
      <c r="G56" s="93"/>
      <c r="H56" s="36"/>
      <c r="I56" s="36"/>
      <c r="J56" s="36"/>
      <c r="K56" s="36"/>
      <c r="L56" s="36"/>
      <c r="M56" s="36"/>
      <c r="N56" s="36"/>
      <c r="O56" s="6"/>
      <c r="P56" s="6"/>
      <c r="Q56" s="6"/>
      <c r="R56" s="8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8" customHeight="1">
      <c r="A57" s="31">
        <f t="shared" si="0"/>
        <v>43</v>
      </c>
      <c r="B57" s="37">
        <v>252610088</v>
      </c>
      <c r="C57" s="38" t="s">
        <v>311</v>
      </c>
      <c r="D57" s="39"/>
      <c r="E57" s="39"/>
      <c r="F57" s="37" t="s">
        <v>3</v>
      </c>
      <c r="G57" s="93"/>
      <c r="H57" s="36"/>
      <c r="I57" s="36"/>
      <c r="J57" s="36"/>
      <c r="K57" s="36"/>
      <c r="L57" s="36"/>
      <c r="M57" s="36"/>
      <c r="N57" s="36"/>
      <c r="O57" s="6"/>
      <c r="P57" s="6"/>
      <c r="Q57" s="6"/>
      <c r="R57" s="8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8" customHeight="1">
      <c r="A58" s="31">
        <f t="shared" si="0"/>
        <v>44</v>
      </c>
      <c r="B58" s="37">
        <v>252610177</v>
      </c>
      <c r="C58" s="48" t="s">
        <v>317</v>
      </c>
      <c r="D58" s="50"/>
      <c r="E58" s="50"/>
      <c r="F58" s="37" t="s">
        <v>3</v>
      </c>
      <c r="G58" s="93"/>
      <c r="H58" s="36"/>
      <c r="I58" s="36"/>
      <c r="J58" s="36"/>
      <c r="K58" s="36"/>
      <c r="L58" s="36"/>
      <c r="M58" s="36"/>
      <c r="N58" s="36"/>
      <c r="O58" s="6"/>
      <c r="P58" s="6"/>
      <c r="Q58" s="6"/>
      <c r="R58" s="8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8" customHeight="1">
      <c r="A59" s="31">
        <f t="shared" si="0"/>
        <v>45</v>
      </c>
      <c r="B59" s="57">
        <v>252610224</v>
      </c>
      <c r="C59" s="58" t="s">
        <v>324</v>
      </c>
      <c r="D59" s="59"/>
      <c r="E59" s="60"/>
      <c r="F59" s="62" t="s">
        <v>3</v>
      </c>
      <c r="G59" s="93"/>
      <c r="H59" s="36"/>
      <c r="I59" s="36"/>
      <c r="J59" s="36"/>
      <c r="K59" s="36"/>
      <c r="L59" s="36"/>
      <c r="M59" s="36"/>
      <c r="N59" s="36"/>
      <c r="O59" s="6"/>
      <c r="P59" s="6"/>
      <c r="Q59" s="6"/>
      <c r="R59" s="8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8" customHeight="1">
      <c r="A60" s="31">
        <f t="shared" si="0"/>
        <v>46</v>
      </c>
      <c r="B60" s="37">
        <v>252610046</v>
      </c>
      <c r="C60" s="63" t="s">
        <v>330</v>
      </c>
      <c r="D60" s="65"/>
      <c r="E60" s="65"/>
      <c r="F60" s="37" t="s">
        <v>1</v>
      </c>
      <c r="G60" s="93"/>
      <c r="H60" s="36"/>
      <c r="I60" s="36"/>
      <c r="J60" s="36"/>
      <c r="K60" s="36"/>
      <c r="L60" s="36"/>
      <c r="M60" s="36"/>
      <c r="N60" s="36"/>
      <c r="O60" s="6"/>
      <c r="P60" s="6"/>
      <c r="Q60" s="6"/>
      <c r="R60" s="8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5.8" customHeight="1">
      <c r="A61" s="79"/>
      <c r="B61" s="79"/>
      <c r="C61" s="20"/>
      <c r="D61" s="20"/>
      <c r="E61" s="20"/>
      <c r="F61" s="99" t="s">
        <v>1</v>
      </c>
      <c r="G61" s="80">
        <f>COUNTIF(F15:F60,"L")</f>
        <v>18</v>
      </c>
      <c r="H61" s="20"/>
      <c r="I61" s="20"/>
      <c r="J61" s="20"/>
      <c r="K61" s="20"/>
      <c r="L61" s="20"/>
      <c r="M61" s="20"/>
      <c r="N61" s="20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5.8" customHeight="1">
      <c r="A62" s="79"/>
      <c r="B62" s="79"/>
      <c r="C62" s="20"/>
      <c r="D62" s="20"/>
      <c r="E62" s="20"/>
      <c r="F62" s="30" t="s">
        <v>3</v>
      </c>
      <c r="G62" s="30">
        <f>COUNTIF(F14:F60,"P")</f>
        <v>28</v>
      </c>
      <c r="H62" s="20"/>
      <c r="I62" s="20"/>
      <c r="J62" s="20"/>
      <c r="K62" s="20"/>
      <c r="L62" s="20"/>
      <c r="M62" s="20"/>
      <c r="N62" s="20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5.8" customHeight="1">
      <c r="A63" s="20" t="s">
        <v>275</v>
      </c>
      <c r="B63" s="6"/>
      <c r="C63" s="20"/>
      <c r="D63" s="20"/>
      <c r="E63" s="20"/>
      <c r="F63" s="81" t="s">
        <v>251</v>
      </c>
      <c r="G63" s="81">
        <f>SUM(G61:G62)</f>
        <v>46</v>
      </c>
      <c r="H63" s="6"/>
      <c r="I63" s="82" t="s">
        <v>254</v>
      </c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5.8" customHeight="1">
      <c r="A64" s="20" t="s">
        <v>280</v>
      </c>
      <c r="B64" s="6"/>
      <c r="C64" s="20"/>
      <c r="D64" s="20"/>
      <c r="E64" s="79" t="s">
        <v>281</v>
      </c>
      <c r="F64" s="94"/>
      <c r="G64" s="6"/>
      <c r="H64" s="6"/>
      <c r="I64" s="6" t="s">
        <v>256</v>
      </c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5.8" customHeight="1">
      <c r="A65" s="20"/>
      <c r="B65" s="6"/>
      <c r="C65" s="20"/>
      <c r="D65" s="20"/>
      <c r="E65" s="20"/>
      <c r="F65" s="79"/>
      <c r="G65" s="20"/>
      <c r="H65" s="20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5.8" customHeight="1">
      <c r="A66" s="20"/>
      <c r="B66" s="6"/>
      <c r="C66" s="20"/>
      <c r="D66" s="20"/>
      <c r="E66" s="20"/>
      <c r="F66" s="79"/>
      <c r="G66" s="20"/>
      <c r="H66" s="20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5.8" customHeight="1">
      <c r="A67" s="24" t="s">
        <v>366</v>
      </c>
      <c r="B67" s="24"/>
      <c r="C67" s="24"/>
      <c r="D67" s="24"/>
      <c r="E67" s="86" t="s">
        <v>368</v>
      </c>
      <c r="F67" s="94"/>
      <c r="G67" s="6"/>
      <c r="H67" s="20"/>
      <c r="I67" s="87"/>
      <c r="J67" s="87"/>
      <c r="K67" s="87"/>
      <c r="L67" s="87"/>
      <c r="M67" s="87"/>
      <c r="N67" s="87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5.8" customHeight="1">
      <c r="A68" s="41" t="s">
        <v>371</v>
      </c>
      <c r="B68" s="41"/>
      <c r="C68" s="41"/>
      <c r="D68" s="41"/>
      <c r="E68" s="20" t="s">
        <v>372</v>
      </c>
      <c r="F68" s="79"/>
      <c r="G68" s="20"/>
      <c r="H68" s="20" t="s">
        <v>266</v>
      </c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5.8" customHeight="1">
      <c r="A69" s="43"/>
      <c r="B69" s="44"/>
      <c r="C69" s="44"/>
      <c r="D69" s="44"/>
      <c r="E69" s="44"/>
      <c r="F69" s="45"/>
      <c r="G69" s="46"/>
      <c r="H69" s="46"/>
      <c r="I69" s="44"/>
      <c r="J69" s="44"/>
      <c r="K69" s="44"/>
      <c r="L69" s="44"/>
      <c r="M69" s="44"/>
      <c r="N69" s="44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5.8" customHeight="1">
      <c r="A70" s="43"/>
      <c r="B70" s="44"/>
      <c r="C70" s="44"/>
      <c r="D70" s="44"/>
      <c r="E70" s="44"/>
      <c r="F70" s="45"/>
      <c r="G70" s="46"/>
      <c r="H70" s="46"/>
      <c r="I70" s="44"/>
      <c r="J70" s="44"/>
      <c r="K70" s="44"/>
      <c r="L70" s="44"/>
      <c r="M70" s="44"/>
      <c r="N70" s="44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9.55" customHeight="1">
      <c r="A71" s="16" t="s">
        <v>79</v>
      </c>
      <c r="B71" s="16"/>
      <c r="C71" s="4" t="s">
        <v>376</v>
      </c>
      <c r="D71" s="16"/>
      <c r="E71" s="22"/>
      <c r="F71" s="23"/>
      <c r="G71" s="17"/>
      <c r="H71" s="19" t="s">
        <v>82</v>
      </c>
      <c r="I71" s="17"/>
      <c r="J71" s="17"/>
      <c r="K71" s="17"/>
      <c r="L71" s="17"/>
      <c r="M71" s="20"/>
      <c r="N71" s="20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9" customHeight="1">
      <c r="A72" s="20"/>
      <c r="B72" s="24"/>
      <c r="C72" s="24"/>
      <c r="D72" s="24"/>
      <c r="E72" s="25"/>
      <c r="F72" s="14"/>
      <c r="G72" s="20"/>
      <c r="H72" s="26"/>
      <c r="I72" s="27"/>
      <c r="J72" s="27"/>
      <c r="K72" s="27"/>
      <c r="L72" s="27"/>
      <c r="M72" s="27"/>
      <c r="N72" s="27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5.8" customHeight="1">
      <c r="A73" s="176" t="s">
        <v>84</v>
      </c>
      <c r="B73" s="177"/>
      <c r="C73" s="178" t="s">
        <v>85</v>
      </c>
      <c r="D73" s="179"/>
      <c r="E73" s="180"/>
      <c r="F73" s="184" t="s">
        <v>86</v>
      </c>
      <c r="G73" s="176" t="s">
        <v>87</v>
      </c>
      <c r="H73" s="186"/>
      <c r="I73" s="186"/>
      <c r="J73" s="186"/>
      <c r="K73" s="186"/>
      <c r="L73" s="186"/>
      <c r="M73" s="177"/>
      <c r="N73" s="184" t="s">
        <v>88</v>
      </c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5.8" customHeight="1">
      <c r="A74" s="28" t="s">
        <v>90</v>
      </c>
      <c r="B74" s="28" t="s">
        <v>91</v>
      </c>
      <c r="C74" s="199"/>
      <c r="D74" s="200"/>
      <c r="E74" s="201"/>
      <c r="F74" s="185"/>
      <c r="G74" s="28"/>
      <c r="H74" s="28"/>
      <c r="I74" s="28"/>
      <c r="J74" s="28"/>
      <c r="K74" s="28"/>
      <c r="L74" s="28"/>
      <c r="M74" s="28"/>
      <c r="N74" s="185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8" customHeight="1">
      <c r="A75" s="1">
        <v>1</v>
      </c>
      <c r="B75" s="31">
        <v>252610501</v>
      </c>
      <c r="C75" s="108" t="s">
        <v>385</v>
      </c>
      <c r="D75" s="33"/>
      <c r="E75" s="93"/>
      <c r="F75" s="109" t="s">
        <v>3</v>
      </c>
      <c r="G75" s="36"/>
      <c r="H75" s="36"/>
      <c r="I75" s="36"/>
      <c r="J75" s="36"/>
      <c r="K75" s="36"/>
      <c r="L75" s="36"/>
      <c r="M75" s="36"/>
      <c r="N75" s="68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8" customHeight="1">
      <c r="A76" s="1">
        <f t="shared" ref="A76:A119" si="1">A75+1</f>
        <v>2</v>
      </c>
      <c r="B76" s="1">
        <v>252610048</v>
      </c>
      <c r="C76" s="108" t="s">
        <v>387</v>
      </c>
      <c r="D76" s="33"/>
      <c r="E76" s="93"/>
      <c r="F76" s="109" t="s">
        <v>1</v>
      </c>
      <c r="G76" s="36"/>
      <c r="H76" s="36"/>
      <c r="I76" s="36"/>
      <c r="J76" s="36"/>
      <c r="K76" s="36"/>
      <c r="L76" s="36"/>
      <c r="M76" s="36"/>
      <c r="N76" s="68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8" customHeight="1">
      <c r="A77" s="1">
        <f t="shared" si="1"/>
        <v>3</v>
      </c>
      <c r="B77" s="1">
        <v>252610002</v>
      </c>
      <c r="C77" s="108" t="s">
        <v>390</v>
      </c>
      <c r="D77" s="33"/>
      <c r="E77" s="93"/>
      <c r="F77" s="109" t="s">
        <v>3</v>
      </c>
      <c r="G77" s="36"/>
      <c r="H77" s="36"/>
      <c r="I77" s="36"/>
      <c r="J77" s="36"/>
      <c r="K77" s="36"/>
      <c r="L77" s="36"/>
      <c r="M77" s="36"/>
      <c r="N77" s="68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8" customHeight="1">
      <c r="A78" s="1">
        <f t="shared" si="1"/>
        <v>4</v>
      </c>
      <c r="B78" s="1">
        <v>252610456</v>
      </c>
      <c r="C78" s="108" t="s">
        <v>393</v>
      </c>
      <c r="D78" s="33"/>
      <c r="E78" s="93"/>
      <c r="F78" s="109" t="s">
        <v>3</v>
      </c>
      <c r="G78" s="36"/>
      <c r="H78" s="36"/>
      <c r="I78" s="36"/>
      <c r="J78" s="36"/>
      <c r="K78" s="36"/>
      <c r="L78" s="36"/>
      <c r="M78" s="36"/>
      <c r="N78" s="68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8" customHeight="1">
      <c r="A79" s="1">
        <f t="shared" si="1"/>
        <v>5</v>
      </c>
      <c r="B79" s="1">
        <v>252610145</v>
      </c>
      <c r="C79" s="108" t="s">
        <v>395</v>
      </c>
      <c r="D79" s="33"/>
      <c r="E79" s="93"/>
      <c r="F79" s="109" t="s">
        <v>3</v>
      </c>
      <c r="G79" s="36"/>
      <c r="H79" s="36"/>
      <c r="I79" s="36"/>
      <c r="J79" s="36"/>
      <c r="K79" s="36"/>
      <c r="L79" s="36"/>
      <c r="M79" s="36"/>
      <c r="N79" s="68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8" customHeight="1">
      <c r="A80" s="1">
        <f t="shared" si="1"/>
        <v>6</v>
      </c>
      <c r="B80" s="1">
        <v>252610146</v>
      </c>
      <c r="C80" s="108" t="s">
        <v>397</v>
      </c>
      <c r="D80" s="33"/>
      <c r="E80" s="93"/>
      <c r="F80" s="109" t="s">
        <v>1</v>
      </c>
      <c r="G80" s="36"/>
      <c r="H80" s="36"/>
      <c r="I80" s="36"/>
      <c r="J80" s="36"/>
      <c r="K80" s="36"/>
      <c r="L80" s="36"/>
      <c r="M80" s="36"/>
      <c r="N80" s="68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8" customHeight="1">
      <c r="A81" s="1">
        <f t="shared" si="1"/>
        <v>7</v>
      </c>
      <c r="B81" s="1">
        <v>252610148</v>
      </c>
      <c r="C81" s="108" t="s">
        <v>401</v>
      </c>
      <c r="D81" s="33"/>
      <c r="E81" s="93"/>
      <c r="F81" s="109" t="s">
        <v>3</v>
      </c>
      <c r="G81" s="36"/>
      <c r="H81" s="36"/>
      <c r="I81" s="36"/>
      <c r="J81" s="36"/>
      <c r="K81" s="36"/>
      <c r="L81" s="36"/>
      <c r="M81" s="36"/>
      <c r="N81" s="68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8" customHeight="1">
      <c r="A82" s="1">
        <f t="shared" si="1"/>
        <v>8</v>
      </c>
      <c r="B82" s="1">
        <v>252610008</v>
      </c>
      <c r="C82" s="108" t="s">
        <v>406</v>
      </c>
      <c r="D82" s="33"/>
      <c r="E82" s="93"/>
      <c r="F82" s="109" t="s">
        <v>3</v>
      </c>
      <c r="G82" s="36"/>
      <c r="H82" s="36"/>
      <c r="I82" s="36"/>
      <c r="J82" s="36"/>
      <c r="K82" s="36"/>
      <c r="L82" s="36"/>
      <c r="M82" s="36"/>
      <c r="N82" s="68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8" customHeight="1">
      <c r="A83" s="1">
        <f t="shared" si="1"/>
        <v>9</v>
      </c>
      <c r="B83" s="1">
        <v>252610150</v>
      </c>
      <c r="C83" s="108" t="s">
        <v>411</v>
      </c>
      <c r="D83" s="33"/>
      <c r="E83" s="93"/>
      <c r="F83" s="109" t="s">
        <v>3</v>
      </c>
      <c r="G83" s="36"/>
      <c r="H83" s="36"/>
      <c r="I83" s="36"/>
      <c r="J83" s="36"/>
      <c r="K83" s="36"/>
      <c r="L83" s="36"/>
      <c r="M83" s="36"/>
      <c r="N83" s="68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18" customHeight="1">
      <c r="A84" s="1">
        <f t="shared" si="1"/>
        <v>10</v>
      </c>
      <c r="B84" s="1">
        <v>252610102</v>
      </c>
      <c r="C84" s="108" t="s">
        <v>417</v>
      </c>
      <c r="D84" s="33"/>
      <c r="E84" s="93"/>
      <c r="F84" s="109" t="s">
        <v>3</v>
      </c>
      <c r="G84" s="36"/>
      <c r="H84" s="36"/>
      <c r="I84" s="36"/>
      <c r="J84" s="36"/>
      <c r="K84" s="36"/>
      <c r="L84" s="36"/>
      <c r="M84" s="36"/>
      <c r="N84" s="68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8" customHeight="1">
      <c r="A85" s="1">
        <f t="shared" si="1"/>
        <v>11</v>
      </c>
      <c r="B85" s="1">
        <v>252610153</v>
      </c>
      <c r="C85" s="108" t="s">
        <v>424</v>
      </c>
      <c r="D85" s="33"/>
      <c r="E85" s="93"/>
      <c r="F85" s="109" t="s">
        <v>3</v>
      </c>
      <c r="G85" s="36"/>
      <c r="H85" s="36"/>
      <c r="I85" s="36"/>
      <c r="J85" s="36"/>
      <c r="K85" s="36"/>
      <c r="L85" s="36"/>
      <c r="M85" s="36"/>
      <c r="N85" s="68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8" customHeight="1">
      <c r="A86" s="1">
        <f t="shared" si="1"/>
        <v>12</v>
      </c>
      <c r="B86" s="1">
        <v>252610279</v>
      </c>
      <c r="C86" s="108" t="s">
        <v>429</v>
      </c>
      <c r="D86" s="33"/>
      <c r="E86" s="93"/>
      <c r="F86" s="109" t="s">
        <v>3</v>
      </c>
      <c r="G86" s="36"/>
      <c r="H86" s="36"/>
      <c r="I86" s="36"/>
      <c r="J86" s="36"/>
      <c r="K86" s="36"/>
      <c r="L86" s="36"/>
      <c r="M86" s="36"/>
      <c r="N86" s="68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8" customHeight="1">
      <c r="A87" s="1">
        <f t="shared" si="1"/>
        <v>13</v>
      </c>
      <c r="B87" s="1">
        <v>252610235</v>
      </c>
      <c r="C87" s="108" t="s">
        <v>434</v>
      </c>
      <c r="D87" s="33"/>
      <c r="E87" s="93"/>
      <c r="F87" s="109" t="s">
        <v>3</v>
      </c>
      <c r="G87" s="36"/>
      <c r="H87" s="36"/>
      <c r="I87" s="36"/>
      <c r="J87" s="36"/>
      <c r="K87" s="36"/>
      <c r="L87" s="36"/>
      <c r="M87" s="36"/>
      <c r="N87" s="68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8" customHeight="1">
      <c r="A88" s="1">
        <f t="shared" si="1"/>
        <v>14</v>
      </c>
      <c r="B88" s="1">
        <v>252610157</v>
      </c>
      <c r="C88" s="112" t="s">
        <v>441</v>
      </c>
      <c r="D88" s="33"/>
      <c r="E88" s="93"/>
      <c r="F88" s="109" t="s">
        <v>3</v>
      </c>
      <c r="G88" s="36"/>
      <c r="H88" s="36"/>
      <c r="I88" s="36"/>
      <c r="J88" s="36"/>
      <c r="K88" s="36"/>
      <c r="L88" s="36"/>
      <c r="M88" s="36"/>
      <c r="N88" s="68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8" customHeight="1">
      <c r="A89" s="1">
        <f t="shared" si="1"/>
        <v>15</v>
      </c>
      <c r="B89" s="1">
        <v>252610240</v>
      </c>
      <c r="C89" s="108" t="s">
        <v>449</v>
      </c>
      <c r="D89" s="33"/>
      <c r="E89" s="93"/>
      <c r="F89" s="109" t="s">
        <v>1</v>
      </c>
      <c r="G89" s="36"/>
      <c r="H89" s="36"/>
      <c r="I89" s="36"/>
      <c r="J89" s="36"/>
      <c r="K89" s="36"/>
      <c r="L89" s="36"/>
      <c r="M89" s="36"/>
      <c r="N89" s="68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8" customHeight="1">
      <c r="A90" s="1">
        <f t="shared" si="1"/>
        <v>16</v>
      </c>
      <c r="B90" s="1">
        <v>252610106</v>
      </c>
      <c r="C90" s="108" t="s">
        <v>453</v>
      </c>
      <c r="D90" s="33"/>
      <c r="E90" s="93"/>
      <c r="F90" s="109" t="s">
        <v>1</v>
      </c>
      <c r="G90" s="36"/>
      <c r="H90" s="36"/>
      <c r="I90" s="36"/>
      <c r="J90" s="36"/>
      <c r="K90" s="36"/>
      <c r="L90" s="36"/>
      <c r="M90" s="36"/>
      <c r="N90" s="68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8" customHeight="1">
      <c r="A91" s="1">
        <f t="shared" si="1"/>
        <v>17</v>
      </c>
      <c r="B91" s="1">
        <v>252610107</v>
      </c>
      <c r="C91" s="108" t="s">
        <v>462</v>
      </c>
      <c r="D91" s="33"/>
      <c r="E91" s="93"/>
      <c r="F91" s="109" t="s">
        <v>1</v>
      </c>
      <c r="G91" s="36"/>
      <c r="H91" s="36"/>
      <c r="I91" s="36"/>
      <c r="J91" s="36"/>
      <c r="K91" s="36"/>
      <c r="L91" s="36"/>
      <c r="M91" s="36"/>
      <c r="N91" s="68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8" customHeight="1">
      <c r="A92" s="1">
        <f t="shared" si="1"/>
        <v>18</v>
      </c>
      <c r="B92" s="1">
        <v>252610379</v>
      </c>
      <c r="C92" s="108" t="s">
        <v>468</v>
      </c>
      <c r="D92" s="33"/>
      <c r="E92" s="93"/>
      <c r="F92" s="109" t="s">
        <v>1</v>
      </c>
      <c r="G92" s="36"/>
      <c r="H92" s="36"/>
      <c r="I92" s="36"/>
      <c r="J92" s="36"/>
      <c r="K92" s="36"/>
      <c r="L92" s="36"/>
      <c r="M92" s="36"/>
      <c r="N92" s="75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8" customHeight="1">
      <c r="A93" s="1">
        <f t="shared" si="1"/>
        <v>19</v>
      </c>
      <c r="B93" s="1">
        <v>252610380</v>
      </c>
      <c r="C93" s="108" t="s">
        <v>476</v>
      </c>
      <c r="D93" s="33"/>
      <c r="E93" s="93"/>
      <c r="F93" s="109" t="s">
        <v>1</v>
      </c>
      <c r="G93" s="36"/>
      <c r="H93" s="36"/>
      <c r="I93" s="36"/>
      <c r="J93" s="36"/>
      <c r="K93" s="36"/>
      <c r="L93" s="36"/>
      <c r="M93" s="36"/>
      <c r="N93" s="68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8" customHeight="1">
      <c r="A94" s="1">
        <f t="shared" si="1"/>
        <v>20</v>
      </c>
      <c r="B94" s="1">
        <v>252610159</v>
      </c>
      <c r="C94" s="108" t="s">
        <v>483</v>
      </c>
      <c r="D94" s="33"/>
      <c r="E94" s="93"/>
      <c r="F94" s="109" t="s">
        <v>1</v>
      </c>
      <c r="G94" s="36"/>
      <c r="H94" s="36"/>
      <c r="I94" s="36"/>
      <c r="J94" s="36"/>
      <c r="K94" s="36"/>
      <c r="L94" s="36"/>
      <c r="M94" s="36"/>
      <c r="N94" s="68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8" customHeight="1">
      <c r="A95" s="1">
        <f t="shared" si="1"/>
        <v>21</v>
      </c>
      <c r="B95" s="1">
        <v>252610243</v>
      </c>
      <c r="C95" s="108" t="s">
        <v>488</v>
      </c>
      <c r="D95" s="33"/>
      <c r="E95" s="93"/>
      <c r="F95" s="109" t="s">
        <v>1</v>
      </c>
      <c r="G95" s="36"/>
      <c r="H95" s="36"/>
      <c r="I95" s="36"/>
      <c r="J95" s="36"/>
      <c r="K95" s="36"/>
      <c r="L95" s="36"/>
      <c r="M95" s="36"/>
      <c r="N95" s="68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 spans="1:28" ht="18" customHeight="1">
      <c r="A96" s="1">
        <f t="shared" si="1"/>
        <v>22</v>
      </c>
      <c r="B96" s="1">
        <v>252610112</v>
      </c>
      <c r="C96" s="108" t="s">
        <v>494</v>
      </c>
      <c r="D96" s="33"/>
      <c r="E96" s="93"/>
      <c r="F96" s="109" t="s">
        <v>3</v>
      </c>
      <c r="G96" s="36"/>
      <c r="H96" s="36"/>
      <c r="I96" s="36"/>
      <c r="J96" s="36"/>
      <c r="K96" s="36"/>
      <c r="L96" s="36"/>
      <c r="M96" s="36"/>
      <c r="N96" s="68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 spans="1:28" ht="18" customHeight="1">
      <c r="A97" s="1">
        <f t="shared" si="1"/>
        <v>23</v>
      </c>
      <c r="B97" s="1">
        <v>252610289</v>
      </c>
      <c r="C97" s="108" t="s">
        <v>498</v>
      </c>
      <c r="D97" s="33"/>
      <c r="E97" s="93"/>
      <c r="F97" s="109" t="s">
        <v>1</v>
      </c>
      <c r="G97" s="36"/>
      <c r="H97" s="36"/>
      <c r="I97" s="36"/>
      <c r="J97" s="36"/>
      <c r="K97" s="36"/>
      <c r="L97" s="36"/>
      <c r="M97" s="36"/>
      <c r="N97" s="68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 spans="1:28" ht="18" customHeight="1">
      <c r="A98" s="1">
        <f t="shared" si="1"/>
        <v>24</v>
      </c>
      <c r="B98" s="1">
        <v>252610253</v>
      </c>
      <c r="C98" s="108" t="s">
        <v>504</v>
      </c>
      <c r="D98" s="33"/>
      <c r="E98" s="93"/>
      <c r="F98" s="109" t="s">
        <v>3</v>
      </c>
      <c r="G98" s="36"/>
      <c r="H98" s="36"/>
      <c r="I98" s="36"/>
      <c r="J98" s="36"/>
      <c r="K98" s="36"/>
      <c r="L98" s="36"/>
      <c r="M98" s="36"/>
      <c r="N98" s="68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 spans="1:28" ht="18" customHeight="1">
      <c r="A99" s="1">
        <f t="shared" si="1"/>
        <v>25</v>
      </c>
      <c r="B99" s="1">
        <v>252610062</v>
      </c>
      <c r="C99" s="108" t="s">
        <v>508</v>
      </c>
      <c r="D99" s="33"/>
      <c r="E99" s="93"/>
      <c r="F99" s="109" t="s">
        <v>1</v>
      </c>
      <c r="G99" s="36"/>
      <c r="H99" s="36"/>
      <c r="I99" s="36"/>
      <c r="J99" s="36"/>
      <c r="K99" s="36"/>
      <c r="L99" s="36"/>
      <c r="M99" s="36"/>
      <c r="N99" s="68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 spans="1:28" ht="18" customHeight="1">
      <c r="A100" s="1">
        <f t="shared" si="1"/>
        <v>26</v>
      </c>
      <c r="B100" s="1">
        <v>252610437</v>
      </c>
      <c r="C100" s="108" t="s">
        <v>514</v>
      </c>
      <c r="D100" s="33"/>
      <c r="E100" s="93"/>
      <c r="F100" s="109" t="s">
        <v>1</v>
      </c>
      <c r="G100" s="36"/>
      <c r="H100" s="36"/>
      <c r="I100" s="36"/>
      <c r="J100" s="36"/>
      <c r="K100" s="36"/>
      <c r="L100" s="36"/>
      <c r="M100" s="36"/>
      <c r="N100" s="68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 spans="1:28" ht="18" customHeight="1">
      <c r="A101" s="1">
        <f t="shared" si="1"/>
        <v>27</v>
      </c>
      <c r="B101" s="1">
        <v>252610300</v>
      </c>
      <c r="C101" s="108" t="s">
        <v>518</v>
      </c>
      <c r="D101" s="33"/>
      <c r="E101" s="93"/>
      <c r="F101" s="109" t="s">
        <v>1</v>
      </c>
      <c r="G101" s="36"/>
      <c r="H101" s="36"/>
      <c r="I101" s="36"/>
      <c r="J101" s="36"/>
      <c r="K101" s="36"/>
      <c r="L101" s="36"/>
      <c r="M101" s="36"/>
      <c r="N101" s="68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 spans="1:28" ht="18" customHeight="1">
      <c r="A102" s="1">
        <f t="shared" si="1"/>
        <v>28</v>
      </c>
      <c r="B102" s="1">
        <v>252610301</v>
      </c>
      <c r="C102" s="108" t="s">
        <v>520</v>
      </c>
      <c r="D102" s="33"/>
      <c r="E102" s="93"/>
      <c r="F102" s="109" t="s">
        <v>1</v>
      </c>
      <c r="G102" s="36"/>
      <c r="H102" s="36"/>
      <c r="I102" s="36"/>
      <c r="J102" s="36"/>
      <c r="K102" s="36"/>
      <c r="L102" s="36"/>
      <c r="M102" s="36"/>
      <c r="N102" s="68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 spans="1:28" ht="18" customHeight="1">
      <c r="A103" s="1">
        <f t="shared" si="1"/>
        <v>29</v>
      </c>
      <c r="B103" s="1">
        <v>252610205</v>
      </c>
      <c r="C103" s="108" t="s">
        <v>522</v>
      </c>
      <c r="D103" s="33"/>
      <c r="E103" s="93"/>
      <c r="F103" s="109" t="s">
        <v>3</v>
      </c>
      <c r="G103" s="36"/>
      <c r="H103" s="36"/>
      <c r="I103" s="36"/>
      <c r="J103" s="36"/>
      <c r="K103" s="36"/>
      <c r="L103" s="36"/>
      <c r="M103" s="36"/>
      <c r="N103" s="68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 spans="1:28" ht="18" customHeight="1">
      <c r="A104" s="1">
        <f t="shared" si="1"/>
        <v>30</v>
      </c>
      <c r="B104" s="1">
        <v>252610169</v>
      </c>
      <c r="C104" s="108" t="s">
        <v>528</v>
      </c>
      <c r="D104" s="33"/>
      <c r="E104" s="93"/>
      <c r="F104" s="109" t="s">
        <v>3</v>
      </c>
      <c r="G104" s="36"/>
      <c r="H104" s="36"/>
      <c r="I104" s="36"/>
      <c r="J104" s="36"/>
      <c r="K104" s="36"/>
      <c r="L104" s="36"/>
      <c r="M104" s="36"/>
      <c r="N104" s="68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 spans="1:28" ht="18" customHeight="1">
      <c r="A105" s="1">
        <f t="shared" si="1"/>
        <v>31</v>
      </c>
      <c r="B105" s="1">
        <v>252610030</v>
      </c>
      <c r="C105" s="108" t="s">
        <v>531</v>
      </c>
      <c r="D105" s="33"/>
      <c r="E105" s="93"/>
      <c r="F105" s="109" t="s">
        <v>1</v>
      </c>
      <c r="G105" s="36"/>
      <c r="H105" s="36"/>
      <c r="I105" s="36"/>
      <c r="J105" s="36"/>
      <c r="K105" s="36"/>
      <c r="L105" s="36"/>
      <c r="M105" s="36"/>
      <c r="N105" s="68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 spans="1:28" ht="18" customHeight="1">
      <c r="A106" s="83">
        <f t="shared" si="1"/>
        <v>32</v>
      </c>
      <c r="B106" s="1">
        <v>252610357</v>
      </c>
      <c r="C106" s="108" t="s">
        <v>535</v>
      </c>
      <c r="D106" s="33"/>
      <c r="E106" s="93"/>
      <c r="F106" s="109" t="s">
        <v>1</v>
      </c>
      <c r="G106" s="85"/>
      <c r="H106" s="85"/>
      <c r="I106" s="85"/>
      <c r="J106" s="85"/>
      <c r="K106" s="85"/>
      <c r="L106" s="85"/>
      <c r="M106" s="85"/>
      <c r="N106" s="114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 spans="1:28" ht="18" customHeight="1">
      <c r="A107" s="83">
        <f t="shared" si="1"/>
        <v>33</v>
      </c>
      <c r="B107" s="83">
        <v>252610076</v>
      </c>
      <c r="C107" s="108" t="s">
        <v>537</v>
      </c>
      <c r="D107" s="33"/>
      <c r="E107" s="93"/>
      <c r="F107" s="109" t="s">
        <v>3</v>
      </c>
      <c r="G107" s="85"/>
      <c r="H107" s="85"/>
      <c r="I107" s="85"/>
      <c r="J107" s="85"/>
      <c r="K107" s="85"/>
      <c r="L107" s="85"/>
      <c r="M107" s="85"/>
      <c r="N107" s="114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 spans="1:28" ht="18" customHeight="1">
      <c r="A108" s="1">
        <f t="shared" si="1"/>
        <v>34</v>
      </c>
      <c r="B108" s="1">
        <v>252610208</v>
      </c>
      <c r="C108" s="108" t="s">
        <v>540</v>
      </c>
      <c r="D108" s="33"/>
      <c r="E108" s="93"/>
      <c r="F108" s="109" t="s">
        <v>3</v>
      </c>
      <c r="G108" s="36"/>
      <c r="H108" s="36"/>
      <c r="I108" s="36"/>
      <c r="J108" s="36"/>
      <c r="K108" s="36"/>
      <c r="L108" s="36"/>
      <c r="M108" s="36"/>
      <c r="N108" s="68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 spans="1:28" ht="18" customHeight="1">
      <c r="A109" s="1">
        <f t="shared" si="1"/>
        <v>35</v>
      </c>
      <c r="B109" s="1">
        <v>252610080</v>
      </c>
      <c r="C109" s="108" t="s">
        <v>543</v>
      </c>
      <c r="D109" s="33"/>
      <c r="E109" s="93"/>
      <c r="F109" s="109" t="s">
        <v>1</v>
      </c>
      <c r="G109" s="28"/>
      <c r="H109" s="36"/>
      <c r="I109" s="36"/>
      <c r="J109" s="36"/>
      <c r="K109" s="36"/>
      <c r="L109" s="36"/>
      <c r="M109" s="36"/>
      <c r="N109" s="3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 spans="1:28" ht="18" customHeight="1">
      <c r="A110" s="1">
        <f t="shared" si="1"/>
        <v>36</v>
      </c>
      <c r="B110" s="1">
        <v>252610034</v>
      </c>
      <c r="C110" s="108" t="s">
        <v>546</v>
      </c>
      <c r="D110" s="33"/>
      <c r="E110" s="93"/>
      <c r="F110" s="109" t="s">
        <v>1</v>
      </c>
      <c r="G110" s="28"/>
      <c r="H110" s="36"/>
      <c r="I110" s="36"/>
      <c r="J110" s="36"/>
      <c r="K110" s="36"/>
      <c r="L110" s="36"/>
      <c r="M110" s="36"/>
      <c r="N110" s="3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 spans="1:28" ht="18" customHeight="1">
      <c r="A111" s="1">
        <f t="shared" si="1"/>
        <v>37</v>
      </c>
      <c r="B111" s="1">
        <v>252610082</v>
      </c>
      <c r="C111" s="108" t="s">
        <v>549</v>
      </c>
      <c r="D111" s="33"/>
      <c r="E111" s="93"/>
      <c r="F111" s="109" t="s">
        <v>1</v>
      </c>
      <c r="G111" s="28"/>
      <c r="H111" s="36"/>
      <c r="I111" s="36"/>
      <c r="J111" s="36"/>
      <c r="K111" s="36"/>
      <c r="L111" s="36"/>
      <c r="M111" s="36"/>
      <c r="N111" s="3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 spans="1:28" ht="18" customHeight="1">
      <c r="A112" s="1">
        <f t="shared" si="1"/>
        <v>38</v>
      </c>
      <c r="B112" s="1">
        <v>252610537</v>
      </c>
      <c r="C112" s="108" t="s">
        <v>551</v>
      </c>
      <c r="D112" s="33"/>
      <c r="E112" s="93"/>
      <c r="F112" s="109" t="s">
        <v>3</v>
      </c>
      <c r="G112" s="28"/>
      <c r="H112" s="36"/>
      <c r="I112" s="36"/>
      <c r="J112" s="36"/>
      <c r="K112" s="36"/>
      <c r="L112" s="36"/>
      <c r="M112" s="36"/>
      <c r="N112" s="3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 spans="1:28" ht="18" customHeight="1">
      <c r="A113" s="1">
        <f t="shared" si="1"/>
        <v>39</v>
      </c>
      <c r="B113" s="1">
        <v>252610444</v>
      </c>
      <c r="C113" s="108" t="s">
        <v>554</v>
      </c>
      <c r="D113" s="33"/>
      <c r="E113" s="93"/>
      <c r="F113" s="109" t="s">
        <v>1</v>
      </c>
      <c r="G113" s="28"/>
      <c r="H113" s="36"/>
      <c r="I113" s="36"/>
      <c r="J113" s="36"/>
      <c r="K113" s="36"/>
      <c r="L113" s="36"/>
      <c r="M113" s="36"/>
      <c r="N113" s="3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 spans="1:28" ht="18" customHeight="1">
      <c r="A114" s="1">
        <f t="shared" si="1"/>
        <v>40</v>
      </c>
      <c r="B114" s="1">
        <v>252610490</v>
      </c>
      <c r="C114" s="108" t="s">
        <v>557</v>
      </c>
      <c r="D114" s="33"/>
      <c r="E114" s="93"/>
      <c r="F114" s="109" t="s">
        <v>3</v>
      </c>
      <c r="G114" s="28"/>
      <c r="H114" s="36"/>
      <c r="I114" s="36"/>
      <c r="J114" s="36"/>
      <c r="K114" s="36"/>
      <c r="L114" s="36"/>
      <c r="M114" s="36"/>
      <c r="N114" s="3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 spans="1:28" ht="18" customHeight="1">
      <c r="A115" s="1">
        <f t="shared" si="1"/>
        <v>41</v>
      </c>
      <c r="B115" s="1">
        <v>252610221</v>
      </c>
      <c r="C115" s="108" t="s">
        <v>560</v>
      </c>
      <c r="D115" s="33"/>
      <c r="E115" s="93"/>
      <c r="F115" s="109" t="s">
        <v>3</v>
      </c>
      <c r="G115" s="28"/>
      <c r="H115" s="36"/>
      <c r="I115" s="36"/>
      <c r="J115" s="36"/>
      <c r="K115" s="36"/>
      <c r="L115" s="36"/>
      <c r="M115" s="36"/>
      <c r="N115" s="3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 spans="1:28" ht="18" customHeight="1">
      <c r="A116" s="1">
        <f t="shared" si="1"/>
        <v>42</v>
      </c>
      <c r="B116" s="1">
        <v>252610222</v>
      </c>
      <c r="C116" s="108" t="s">
        <v>563</v>
      </c>
      <c r="D116" s="33"/>
      <c r="E116" s="93"/>
      <c r="F116" s="109" t="s">
        <v>3</v>
      </c>
      <c r="G116" s="28"/>
      <c r="H116" s="36"/>
      <c r="I116" s="36"/>
      <c r="J116" s="36"/>
      <c r="K116" s="36"/>
      <c r="L116" s="36"/>
      <c r="M116" s="36"/>
      <c r="N116" s="3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 spans="1:28" ht="18" customHeight="1">
      <c r="A117" s="1">
        <f t="shared" si="1"/>
        <v>43</v>
      </c>
      <c r="B117" s="1">
        <v>252610043</v>
      </c>
      <c r="C117" s="108" t="s">
        <v>566</v>
      </c>
      <c r="D117" s="33"/>
      <c r="E117" s="93"/>
      <c r="F117" s="109" t="s">
        <v>3</v>
      </c>
      <c r="G117" s="28"/>
      <c r="H117" s="36"/>
      <c r="I117" s="36"/>
      <c r="J117" s="36"/>
      <c r="K117" s="36"/>
      <c r="L117" s="36"/>
      <c r="M117" s="36"/>
      <c r="N117" s="3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 spans="1:28" ht="18" customHeight="1">
      <c r="A118" s="83">
        <f t="shared" si="1"/>
        <v>44</v>
      </c>
      <c r="B118" s="83">
        <v>252610089</v>
      </c>
      <c r="C118" s="262" t="s">
        <v>568</v>
      </c>
      <c r="D118" s="263"/>
      <c r="E118" s="264"/>
      <c r="F118" s="265" t="s">
        <v>3</v>
      </c>
      <c r="G118" s="30"/>
      <c r="H118" s="135"/>
      <c r="I118" s="135"/>
      <c r="J118" s="135"/>
      <c r="K118" s="135"/>
      <c r="L118" s="135"/>
      <c r="M118" s="135"/>
      <c r="N118" s="135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 spans="1:28" ht="18" customHeight="1">
      <c r="A119" s="215">
        <f t="shared" si="1"/>
        <v>45</v>
      </c>
      <c r="B119" s="216">
        <v>252610178</v>
      </c>
      <c r="C119" s="266" t="s">
        <v>571</v>
      </c>
      <c r="D119" s="267"/>
      <c r="E119" s="268"/>
      <c r="F119" s="269" t="s">
        <v>1</v>
      </c>
      <c r="G119" s="270"/>
      <c r="H119" s="218"/>
      <c r="I119" s="218"/>
      <c r="J119" s="218"/>
      <c r="K119" s="218"/>
      <c r="L119" s="218"/>
      <c r="M119" s="218"/>
      <c r="N119" s="220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 spans="1:28" ht="15.8" customHeight="1">
      <c r="A120" s="79"/>
      <c r="B120" s="79"/>
      <c r="C120" s="20"/>
      <c r="D120" s="20"/>
      <c r="E120" s="20"/>
      <c r="F120" s="118" t="s">
        <v>1</v>
      </c>
      <c r="G120" s="80">
        <f>COUNTIF(F75:F119,"L")</f>
        <v>21</v>
      </c>
      <c r="H120" s="20"/>
      <c r="I120" s="20"/>
      <c r="J120" s="20"/>
      <c r="K120" s="20"/>
      <c r="L120" s="20"/>
      <c r="M120" s="20"/>
      <c r="N120" s="20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 spans="1:28" ht="15.8" customHeight="1">
      <c r="A121" s="79"/>
      <c r="B121" s="79"/>
      <c r="C121" s="20"/>
      <c r="D121" s="20"/>
      <c r="E121" s="20"/>
      <c r="F121" s="116" t="s">
        <v>3</v>
      </c>
      <c r="G121" s="80">
        <f>COUNTIF(F75:F119,"P")</f>
        <v>24</v>
      </c>
      <c r="H121" s="20"/>
      <c r="I121" s="20"/>
      <c r="J121" s="20"/>
      <c r="K121" s="20"/>
      <c r="L121" s="20"/>
      <c r="M121" s="20"/>
      <c r="N121" s="20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 spans="1:28" ht="15.8" customHeight="1">
      <c r="A122" s="20" t="s">
        <v>275</v>
      </c>
      <c r="B122" s="79"/>
      <c r="C122" s="20"/>
      <c r="D122" s="20"/>
      <c r="E122" s="20"/>
      <c r="F122" s="81" t="s">
        <v>251</v>
      </c>
      <c r="G122" s="81">
        <f>SUM(G120:G121)</f>
        <v>45</v>
      </c>
      <c r="H122" s="6"/>
      <c r="I122" s="82" t="s">
        <v>254</v>
      </c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 spans="1:28" ht="15.8" customHeight="1">
      <c r="A123" s="20" t="s">
        <v>280</v>
      </c>
      <c r="B123" s="79"/>
      <c r="C123" s="20"/>
      <c r="D123" s="20"/>
      <c r="E123" s="20" t="s">
        <v>281</v>
      </c>
      <c r="F123" s="94"/>
      <c r="G123" s="6"/>
      <c r="H123" s="6"/>
      <c r="I123" s="6" t="s">
        <v>256</v>
      </c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 spans="1:28" ht="15.8" customHeight="1">
      <c r="A124" s="20"/>
      <c r="B124" s="6"/>
      <c r="C124" s="20"/>
      <c r="D124" s="20"/>
      <c r="E124" s="20"/>
      <c r="F124" s="79"/>
      <c r="G124" s="20"/>
      <c r="H124" s="20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 spans="1:28" ht="15.8" customHeight="1">
      <c r="A125" s="20"/>
      <c r="B125" s="6"/>
      <c r="C125" s="20"/>
      <c r="D125" s="20"/>
      <c r="E125" s="20"/>
      <c r="F125" s="79"/>
      <c r="G125" s="20"/>
      <c r="H125" s="20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 spans="1:28" ht="15.8" customHeight="1">
      <c r="A126" s="24" t="s">
        <v>590</v>
      </c>
      <c r="B126" s="6"/>
      <c r="C126" s="6"/>
      <c r="D126" s="6"/>
      <c r="E126" s="86" t="s">
        <v>368</v>
      </c>
      <c r="F126" s="94"/>
      <c r="G126" s="6"/>
      <c r="H126" s="20"/>
      <c r="I126" s="87"/>
      <c r="J126" s="87"/>
      <c r="K126" s="87"/>
      <c r="L126" s="87"/>
      <c r="M126" s="87"/>
      <c r="N126" s="87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 spans="1:28" ht="15.8" customHeight="1">
      <c r="A127" s="41" t="s">
        <v>594</v>
      </c>
      <c r="B127" s="41"/>
      <c r="C127" s="20"/>
      <c r="D127" s="20"/>
      <c r="E127" s="20" t="s">
        <v>372</v>
      </c>
      <c r="F127" s="79"/>
      <c r="G127" s="20"/>
      <c r="H127" s="20" t="s">
        <v>266</v>
      </c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 spans="1:28" ht="15.8" customHeight="1">
      <c r="A128" s="43"/>
      <c r="B128" s="44"/>
      <c r="C128" s="44"/>
      <c r="D128" s="44"/>
      <c r="E128" s="44"/>
      <c r="F128" s="45"/>
      <c r="G128" s="46"/>
      <c r="H128" s="46"/>
      <c r="I128" s="44"/>
      <c r="J128" s="44"/>
      <c r="K128" s="44"/>
      <c r="L128" s="44"/>
      <c r="M128" s="44"/>
      <c r="N128" s="44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 spans="1:28" ht="19.55" customHeight="1">
      <c r="A129" s="16" t="s">
        <v>79</v>
      </c>
      <c r="B129" s="16"/>
      <c r="C129" s="4" t="s">
        <v>597</v>
      </c>
      <c r="D129" s="16"/>
      <c r="E129" s="22"/>
      <c r="F129" s="23"/>
      <c r="G129" s="17"/>
      <c r="H129" s="19" t="s">
        <v>82</v>
      </c>
      <c r="I129" s="17"/>
      <c r="J129" s="17"/>
      <c r="K129" s="17"/>
      <c r="L129" s="17"/>
      <c r="M129" s="20"/>
      <c r="N129" s="20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 spans="1:28" ht="9" customHeight="1">
      <c r="A130" s="20"/>
      <c r="B130" s="24"/>
      <c r="C130" s="24"/>
      <c r="D130" s="24"/>
      <c r="E130" s="25"/>
      <c r="F130" s="14"/>
      <c r="G130" s="20"/>
      <c r="H130" s="26"/>
      <c r="I130" s="27"/>
      <c r="J130" s="27"/>
      <c r="K130" s="27"/>
      <c r="L130" s="27"/>
      <c r="M130" s="27"/>
      <c r="N130" s="27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 spans="1:28" ht="15.8" customHeight="1">
      <c r="A131" s="176" t="s">
        <v>84</v>
      </c>
      <c r="B131" s="177"/>
      <c r="C131" s="178" t="s">
        <v>85</v>
      </c>
      <c r="D131" s="179"/>
      <c r="E131" s="180"/>
      <c r="F131" s="184" t="s">
        <v>86</v>
      </c>
      <c r="G131" s="176" t="s">
        <v>87</v>
      </c>
      <c r="H131" s="186"/>
      <c r="I131" s="186"/>
      <c r="J131" s="186"/>
      <c r="K131" s="186"/>
      <c r="L131" s="186"/>
      <c r="M131" s="177"/>
      <c r="N131" s="184" t="s">
        <v>88</v>
      </c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 spans="1:28" ht="15.8" customHeight="1">
      <c r="A132" s="28" t="s">
        <v>90</v>
      </c>
      <c r="B132" s="28" t="s">
        <v>91</v>
      </c>
      <c r="C132" s="199"/>
      <c r="D132" s="200"/>
      <c r="E132" s="201"/>
      <c r="F132" s="185"/>
      <c r="G132" s="28"/>
      <c r="H132" s="28"/>
      <c r="I132" s="28"/>
      <c r="J132" s="28"/>
      <c r="K132" s="28"/>
      <c r="L132" s="28"/>
      <c r="M132" s="28"/>
      <c r="N132" s="185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 spans="1:28" ht="18" customHeight="1">
      <c r="A133" s="1">
        <v>1</v>
      </c>
      <c r="B133" s="31">
        <v>252610414</v>
      </c>
      <c r="C133" s="108" t="s">
        <v>604</v>
      </c>
      <c r="D133" s="33"/>
      <c r="E133" s="93"/>
      <c r="F133" s="109" t="s">
        <v>3</v>
      </c>
      <c r="G133" s="36"/>
      <c r="H133" s="36"/>
      <c r="I133" s="36"/>
      <c r="J133" s="36"/>
      <c r="K133" s="36"/>
      <c r="L133" s="36"/>
      <c r="M133" s="36"/>
      <c r="N133" s="3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 spans="1:28" ht="18" customHeight="1">
      <c r="A134" s="1">
        <f t="shared" ref="A134:A176" si="2">A133+1</f>
        <v>2</v>
      </c>
      <c r="B134" s="1">
        <v>252610143</v>
      </c>
      <c r="C134" s="108" t="s">
        <v>608</v>
      </c>
      <c r="D134" s="33"/>
      <c r="E134" s="93"/>
      <c r="F134" s="109" t="s">
        <v>3</v>
      </c>
      <c r="G134" s="36"/>
      <c r="H134" s="36"/>
      <c r="I134" s="36"/>
      <c r="J134" s="36"/>
      <c r="K134" s="36"/>
      <c r="L134" s="36"/>
      <c r="M134" s="36"/>
      <c r="N134" s="3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 spans="1:28" ht="18" customHeight="1">
      <c r="A135" s="1">
        <f t="shared" si="2"/>
        <v>3</v>
      </c>
      <c r="B135" s="1">
        <v>252610505</v>
      </c>
      <c r="C135" s="108" t="s">
        <v>610</v>
      </c>
      <c r="D135" s="33"/>
      <c r="E135" s="93"/>
      <c r="F135" s="109" t="s">
        <v>1</v>
      </c>
      <c r="G135" s="36"/>
      <c r="H135" s="36"/>
      <c r="I135" s="36"/>
      <c r="J135" s="36"/>
      <c r="K135" s="36"/>
      <c r="L135" s="36"/>
      <c r="M135" s="36"/>
      <c r="N135" s="3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 spans="1:28" ht="18" customHeight="1">
      <c r="A136" s="1">
        <f t="shared" si="2"/>
        <v>4</v>
      </c>
      <c r="B136" s="1">
        <v>252610004</v>
      </c>
      <c r="C136" s="108" t="s">
        <v>614</v>
      </c>
      <c r="D136" s="33"/>
      <c r="E136" s="93"/>
      <c r="F136" s="109" t="s">
        <v>3</v>
      </c>
      <c r="G136" s="36"/>
      <c r="H136" s="36"/>
      <c r="I136" s="36"/>
      <c r="J136" s="36"/>
      <c r="K136" s="36"/>
      <c r="L136" s="36"/>
      <c r="M136" s="36"/>
      <c r="N136" s="3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 spans="1:28" ht="18" customHeight="1">
      <c r="A137" s="1">
        <f t="shared" si="2"/>
        <v>5</v>
      </c>
      <c r="B137" s="1">
        <v>252610326</v>
      </c>
      <c r="C137" s="108" t="s">
        <v>615</v>
      </c>
      <c r="D137" s="33"/>
      <c r="E137" s="93"/>
      <c r="F137" s="109" t="s">
        <v>1</v>
      </c>
      <c r="G137" s="36"/>
      <c r="H137" s="36"/>
      <c r="I137" s="36"/>
      <c r="J137" s="36"/>
      <c r="K137" s="36"/>
      <c r="L137" s="36"/>
      <c r="M137" s="36"/>
      <c r="N137" s="3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 spans="1:28" ht="18" customHeight="1">
      <c r="A138" s="1">
        <f t="shared" si="2"/>
        <v>6</v>
      </c>
      <c r="B138" s="1">
        <v>252610509</v>
      </c>
      <c r="C138" s="108" t="s">
        <v>616</v>
      </c>
      <c r="D138" s="33"/>
      <c r="E138" s="93"/>
      <c r="F138" s="109" t="s">
        <v>1</v>
      </c>
      <c r="G138" s="36"/>
      <c r="H138" s="36"/>
      <c r="I138" s="36"/>
      <c r="J138" s="36"/>
      <c r="K138" s="36"/>
      <c r="L138" s="36"/>
      <c r="M138" s="36"/>
      <c r="N138" s="3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 spans="1:28" ht="18" customHeight="1">
      <c r="A139" s="1">
        <f t="shared" si="2"/>
        <v>7</v>
      </c>
      <c r="B139" s="1">
        <v>252610373</v>
      </c>
      <c r="C139" s="108" t="s">
        <v>618</v>
      </c>
      <c r="D139" s="33"/>
      <c r="E139" s="93"/>
      <c r="F139" s="109" t="s">
        <v>3</v>
      </c>
      <c r="G139" s="36"/>
      <c r="H139" s="36"/>
      <c r="I139" s="36"/>
      <c r="J139" s="36"/>
      <c r="K139" s="36"/>
      <c r="L139" s="36"/>
      <c r="M139" s="36"/>
      <c r="N139" s="3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 spans="1:28" ht="18" customHeight="1">
      <c r="A140" s="1">
        <f t="shared" si="2"/>
        <v>8</v>
      </c>
      <c r="B140" s="1">
        <v>252610187</v>
      </c>
      <c r="C140" s="108" t="s">
        <v>619</v>
      </c>
      <c r="D140" s="33"/>
      <c r="E140" s="93"/>
      <c r="F140" s="109" t="s">
        <v>1</v>
      </c>
      <c r="G140" s="36"/>
      <c r="H140" s="36"/>
      <c r="I140" s="36"/>
      <c r="J140" s="36"/>
      <c r="K140" s="36"/>
      <c r="L140" s="36"/>
      <c r="M140" s="36"/>
      <c r="N140" s="3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 spans="1:28" ht="18" customHeight="1">
      <c r="A141" s="1">
        <f t="shared" si="2"/>
        <v>9</v>
      </c>
      <c r="B141" s="1">
        <v>252610105</v>
      </c>
      <c r="C141" s="108" t="s">
        <v>621</v>
      </c>
      <c r="D141" s="33"/>
      <c r="E141" s="93"/>
      <c r="F141" s="109" t="s">
        <v>1</v>
      </c>
      <c r="G141" s="36"/>
      <c r="H141" s="36"/>
      <c r="I141" s="36"/>
      <c r="J141" s="36"/>
      <c r="K141" s="36"/>
      <c r="L141" s="36"/>
      <c r="M141" s="36"/>
      <c r="N141" s="3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 spans="1:28" ht="18" customHeight="1">
      <c r="A142" s="1">
        <f t="shared" si="2"/>
        <v>10</v>
      </c>
      <c r="B142" s="1">
        <v>252610109</v>
      </c>
      <c r="C142" s="108" t="s">
        <v>623</v>
      </c>
      <c r="D142" s="33"/>
      <c r="E142" s="93"/>
      <c r="F142" s="109" t="s">
        <v>3</v>
      </c>
      <c r="G142" s="36"/>
      <c r="H142" s="36"/>
      <c r="I142" s="36"/>
      <c r="J142" s="36"/>
      <c r="K142" s="36"/>
      <c r="L142" s="36"/>
      <c r="M142" s="36"/>
      <c r="N142" s="3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 spans="1:28" ht="18" customHeight="1">
      <c r="A143" s="123">
        <f t="shared" si="2"/>
        <v>11</v>
      </c>
      <c r="B143" s="123">
        <v>252610241</v>
      </c>
      <c r="C143" s="108" t="s">
        <v>626</v>
      </c>
      <c r="D143" s="33"/>
      <c r="E143" s="93"/>
      <c r="F143" s="109" t="s">
        <v>3</v>
      </c>
      <c r="G143" s="8"/>
      <c r="H143" s="78"/>
      <c r="I143" s="78"/>
      <c r="J143" s="78"/>
      <c r="K143" s="78"/>
      <c r="L143" s="78"/>
      <c r="M143" s="78"/>
      <c r="N143" s="78"/>
      <c r="O143" s="6"/>
      <c r="P143" s="6"/>
      <c r="Q143" s="78" t="s">
        <v>627</v>
      </c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 spans="1:28" ht="18" customHeight="1">
      <c r="A144" s="1">
        <f t="shared" si="2"/>
        <v>12</v>
      </c>
      <c r="B144" s="1">
        <v>252610425</v>
      </c>
      <c r="C144" s="108" t="s">
        <v>628</v>
      </c>
      <c r="D144" s="33"/>
      <c r="E144" s="93"/>
      <c r="F144" s="109" t="s">
        <v>1</v>
      </c>
      <c r="G144" s="36"/>
      <c r="H144" s="36"/>
      <c r="I144" s="36"/>
      <c r="J144" s="36"/>
      <c r="K144" s="36"/>
      <c r="L144" s="36"/>
      <c r="M144" s="36"/>
      <c r="N144" s="3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 spans="1:28" ht="18" customHeight="1">
      <c r="A145" s="1">
        <f t="shared" si="2"/>
        <v>13</v>
      </c>
      <c r="B145" s="1">
        <v>252610338</v>
      </c>
      <c r="C145" s="108" t="s">
        <v>633</v>
      </c>
      <c r="D145" s="33"/>
      <c r="E145" s="93"/>
      <c r="F145" s="109" t="s">
        <v>1</v>
      </c>
      <c r="G145" s="36"/>
      <c r="H145" s="36"/>
      <c r="I145" s="36"/>
      <c r="J145" s="36"/>
      <c r="K145" s="36"/>
      <c r="L145" s="36"/>
      <c r="M145" s="36"/>
      <c r="N145" s="3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 spans="1:28" ht="18" customHeight="1">
      <c r="A146" s="1">
        <f t="shared" si="2"/>
        <v>14</v>
      </c>
      <c r="B146" s="1">
        <v>252610056</v>
      </c>
      <c r="C146" s="108" t="s">
        <v>637</v>
      </c>
      <c r="D146" s="33"/>
      <c r="E146" s="93"/>
      <c r="F146" s="109" t="s">
        <v>3</v>
      </c>
      <c r="G146" s="36"/>
      <c r="H146" s="36"/>
      <c r="I146" s="36"/>
      <c r="J146" s="36"/>
      <c r="K146" s="36"/>
      <c r="L146" s="36"/>
      <c r="M146" s="36"/>
      <c r="N146" s="3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 spans="1:28" ht="18" customHeight="1">
      <c r="A147" s="1">
        <f t="shared" si="2"/>
        <v>15</v>
      </c>
      <c r="B147" s="1">
        <v>252610016</v>
      </c>
      <c r="C147" s="108" t="s">
        <v>640</v>
      </c>
      <c r="D147" s="33"/>
      <c r="E147" s="93"/>
      <c r="F147" s="109" t="s">
        <v>3</v>
      </c>
      <c r="G147" s="36"/>
      <c r="H147" s="36"/>
      <c r="I147" s="36"/>
      <c r="J147" s="36"/>
      <c r="K147" s="36"/>
      <c r="L147" s="36"/>
      <c r="M147" s="36"/>
      <c r="N147" s="3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 spans="1:28" ht="18" customHeight="1">
      <c r="A148" s="1">
        <f t="shared" si="2"/>
        <v>16</v>
      </c>
      <c r="B148" s="1">
        <v>252610018</v>
      </c>
      <c r="C148" s="108" t="s">
        <v>642</v>
      </c>
      <c r="D148" s="33"/>
      <c r="E148" s="93"/>
      <c r="F148" s="109" t="s">
        <v>3</v>
      </c>
      <c r="G148" s="36"/>
      <c r="H148" s="36"/>
      <c r="I148" s="36"/>
      <c r="J148" s="36"/>
      <c r="K148" s="36"/>
      <c r="L148" s="36"/>
      <c r="M148" s="36"/>
      <c r="N148" s="3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 spans="1:28" ht="18" customHeight="1">
      <c r="A149" s="1">
        <f t="shared" si="2"/>
        <v>17</v>
      </c>
      <c r="B149" s="1">
        <v>252610113</v>
      </c>
      <c r="C149" s="108" t="s">
        <v>644</v>
      </c>
      <c r="D149" s="33"/>
      <c r="E149" s="93"/>
      <c r="F149" s="109" t="s">
        <v>3</v>
      </c>
      <c r="G149" s="36"/>
      <c r="H149" s="36"/>
      <c r="I149" s="36"/>
      <c r="J149" s="36"/>
      <c r="K149" s="36"/>
      <c r="L149" s="36"/>
      <c r="M149" s="36"/>
      <c r="N149" s="3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 spans="1:28" ht="18" customHeight="1">
      <c r="A150" s="1">
        <f t="shared" si="2"/>
        <v>18</v>
      </c>
      <c r="B150" s="1">
        <v>252610250</v>
      </c>
      <c r="C150" s="108" t="s">
        <v>645</v>
      </c>
      <c r="D150" s="33"/>
      <c r="E150" s="93"/>
      <c r="F150" s="109" t="s">
        <v>3</v>
      </c>
      <c r="G150" s="36"/>
      <c r="H150" s="36"/>
      <c r="I150" s="36"/>
      <c r="J150" s="36"/>
      <c r="K150" s="36"/>
      <c r="L150" s="36"/>
      <c r="M150" s="36"/>
      <c r="N150" s="3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 spans="1:28" ht="18" customHeight="1">
      <c r="A151" s="1">
        <f t="shared" si="2"/>
        <v>19</v>
      </c>
      <c r="B151" s="1">
        <v>252610161</v>
      </c>
      <c r="C151" s="108" t="s">
        <v>649</v>
      </c>
      <c r="D151" s="33"/>
      <c r="E151" s="93"/>
      <c r="F151" s="109" t="s">
        <v>3</v>
      </c>
      <c r="G151" s="36"/>
      <c r="H151" s="36"/>
      <c r="I151" s="36"/>
      <c r="J151" s="36"/>
      <c r="K151" s="36"/>
      <c r="L151" s="36"/>
      <c r="M151" s="36"/>
      <c r="N151" s="1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 spans="1:28" ht="18" customHeight="1">
      <c r="A152" s="1">
        <f t="shared" si="2"/>
        <v>20</v>
      </c>
      <c r="B152" s="1">
        <v>252610294</v>
      </c>
      <c r="C152" s="108" t="s">
        <v>653</v>
      </c>
      <c r="D152" s="33"/>
      <c r="E152" s="93"/>
      <c r="F152" s="109" t="s">
        <v>3</v>
      </c>
      <c r="G152" s="36"/>
      <c r="H152" s="36"/>
      <c r="I152" s="36"/>
      <c r="J152" s="36"/>
      <c r="K152" s="36"/>
      <c r="L152" s="36"/>
      <c r="M152" s="36"/>
      <c r="N152" s="3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 spans="1:28" ht="18" customHeight="1">
      <c r="A153" s="1">
        <f t="shared" si="2"/>
        <v>21</v>
      </c>
      <c r="B153" s="1">
        <v>252610385</v>
      </c>
      <c r="C153" s="108" t="s">
        <v>656</v>
      </c>
      <c r="D153" s="33"/>
      <c r="E153" s="93"/>
      <c r="F153" s="109" t="s">
        <v>3</v>
      </c>
      <c r="G153" s="36"/>
      <c r="H153" s="36"/>
      <c r="I153" s="36"/>
      <c r="J153" s="36"/>
      <c r="K153" s="36"/>
      <c r="L153" s="36"/>
      <c r="M153" s="36"/>
      <c r="N153" s="3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 spans="1:28" ht="18" customHeight="1">
      <c r="A154" s="1">
        <f t="shared" si="2"/>
        <v>22</v>
      </c>
      <c r="B154" s="1">
        <v>252610060</v>
      </c>
      <c r="C154" s="108" t="s">
        <v>659</v>
      </c>
      <c r="D154" s="33"/>
      <c r="E154" s="93"/>
      <c r="F154" s="109" t="s">
        <v>3</v>
      </c>
      <c r="G154" s="36"/>
      <c r="H154" s="36"/>
      <c r="I154" s="36"/>
      <c r="J154" s="36"/>
      <c r="K154" s="36"/>
      <c r="L154" s="36"/>
      <c r="M154" s="36"/>
      <c r="N154" s="3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 spans="1:28" ht="18" customHeight="1">
      <c r="A155" s="1">
        <f t="shared" si="2"/>
        <v>23</v>
      </c>
      <c r="B155" s="1">
        <v>252610522</v>
      </c>
      <c r="C155" s="108" t="s">
        <v>662</v>
      </c>
      <c r="D155" s="33"/>
      <c r="E155" s="93"/>
      <c r="F155" s="109" t="s">
        <v>1</v>
      </c>
      <c r="G155" s="36"/>
      <c r="H155" s="36"/>
      <c r="I155" s="36"/>
      <c r="J155" s="36"/>
      <c r="K155" s="36"/>
      <c r="L155" s="36"/>
      <c r="M155" s="36"/>
      <c r="N155" s="3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 spans="1:28" ht="18" customHeight="1">
      <c r="A156" s="1">
        <f t="shared" si="2"/>
        <v>24</v>
      </c>
      <c r="B156" s="1">
        <v>252610432</v>
      </c>
      <c r="C156" s="108" t="s">
        <v>665</v>
      </c>
      <c r="D156" s="33"/>
      <c r="E156" s="93"/>
      <c r="F156" s="109" t="s">
        <v>3</v>
      </c>
      <c r="G156" s="36"/>
      <c r="H156" s="36"/>
      <c r="I156" s="36"/>
      <c r="J156" s="36"/>
      <c r="K156" s="36"/>
      <c r="L156" s="36"/>
      <c r="M156" s="36"/>
      <c r="N156" s="3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 spans="1:28" ht="18" customHeight="1">
      <c r="A157" s="1">
        <f t="shared" si="2"/>
        <v>25</v>
      </c>
      <c r="B157" s="1">
        <v>252610198</v>
      </c>
      <c r="C157" s="108" t="s">
        <v>668</v>
      </c>
      <c r="D157" s="33"/>
      <c r="E157" s="93"/>
      <c r="F157" s="109" t="s">
        <v>3</v>
      </c>
      <c r="G157" s="36"/>
      <c r="H157" s="36"/>
      <c r="I157" s="36"/>
      <c r="J157" s="36"/>
      <c r="K157" s="36"/>
      <c r="L157" s="36"/>
      <c r="M157" s="36"/>
      <c r="N157" s="3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 spans="1:28" ht="18" customHeight="1">
      <c r="A158" s="1">
        <f t="shared" si="2"/>
        <v>26</v>
      </c>
      <c r="B158" s="1">
        <v>252610296</v>
      </c>
      <c r="C158" s="108" t="s">
        <v>671</v>
      </c>
      <c r="D158" s="33"/>
      <c r="E158" s="93"/>
      <c r="F158" s="109" t="s">
        <v>3</v>
      </c>
      <c r="G158" s="36"/>
      <c r="H158" s="36"/>
      <c r="I158" s="36"/>
      <c r="J158" s="36"/>
      <c r="K158" s="36"/>
      <c r="L158" s="36"/>
      <c r="M158" s="36"/>
      <c r="N158" s="3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 spans="1:28" ht="18" customHeight="1">
      <c r="A159" s="1">
        <f t="shared" si="2"/>
        <v>27</v>
      </c>
      <c r="B159" s="1">
        <v>252610434</v>
      </c>
      <c r="C159" s="108" t="s">
        <v>675</v>
      </c>
      <c r="D159" s="33"/>
      <c r="E159" s="93"/>
      <c r="F159" s="109" t="s">
        <v>1</v>
      </c>
      <c r="G159" s="36"/>
      <c r="H159" s="36"/>
      <c r="I159" s="36"/>
      <c r="J159" s="36"/>
      <c r="K159" s="36"/>
      <c r="L159" s="36"/>
      <c r="M159" s="36"/>
      <c r="N159" s="3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 spans="1:28" ht="18" customHeight="1">
      <c r="A160" s="1">
        <f t="shared" si="2"/>
        <v>28</v>
      </c>
      <c r="B160" s="1">
        <v>252610436</v>
      </c>
      <c r="C160" s="108" t="s">
        <v>679</v>
      </c>
      <c r="D160" s="33"/>
      <c r="E160" s="93"/>
      <c r="F160" s="109" t="s">
        <v>1</v>
      </c>
      <c r="G160" s="36"/>
      <c r="H160" s="36"/>
      <c r="I160" s="36"/>
      <c r="J160" s="36"/>
      <c r="K160" s="36"/>
      <c r="L160" s="36"/>
      <c r="M160" s="36"/>
      <c r="N160" s="3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 spans="1:28" ht="18" customHeight="1">
      <c r="A161" s="1">
        <f t="shared" si="2"/>
        <v>29</v>
      </c>
      <c r="B161" s="1">
        <v>252610115</v>
      </c>
      <c r="C161" s="108" t="s">
        <v>682</v>
      </c>
      <c r="D161" s="33"/>
      <c r="E161" s="93"/>
      <c r="F161" s="109" t="s">
        <v>1</v>
      </c>
      <c r="G161" s="36"/>
      <c r="H161" s="36"/>
      <c r="I161" s="36"/>
      <c r="J161" s="36"/>
      <c r="K161" s="36"/>
      <c r="L161" s="36"/>
      <c r="M161" s="36"/>
      <c r="N161" s="3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 spans="1:28" ht="18" customHeight="1">
      <c r="A162" s="1">
        <f t="shared" si="2"/>
        <v>30</v>
      </c>
      <c r="B162" s="1">
        <v>252610389</v>
      </c>
      <c r="C162" s="108" t="s">
        <v>685</v>
      </c>
      <c r="D162" s="33"/>
      <c r="E162" s="93"/>
      <c r="F162" s="109" t="s">
        <v>1</v>
      </c>
      <c r="G162" s="36"/>
      <c r="H162" s="36"/>
      <c r="I162" s="36"/>
      <c r="J162" s="36"/>
      <c r="K162" s="36"/>
      <c r="L162" s="36"/>
      <c r="M162" s="36"/>
      <c r="N162" s="3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 spans="1:28" ht="18" customHeight="1">
      <c r="A163" s="1">
        <f t="shared" si="2"/>
        <v>31</v>
      </c>
      <c r="B163" s="1">
        <v>252610064</v>
      </c>
      <c r="C163" s="108" t="s">
        <v>689</v>
      </c>
      <c r="D163" s="33"/>
      <c r="E163" s="93"/>
      <c r="F163" s="109" t="s">
        <v>1</v>
      </c>
      <c r="G163" s="36"/>
      <c r="H163" s="36"/>
      <c r="I163" s="36"/>
      <c r="J163" s="36"/>
      <c r="K163" s="36"/>
      <c r="L163" s="36"/>
      <c r="M163" s="36"/>
      <c r="N163" s="3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 spans="1:28" ht="18" customHeight="1">
      <c r="A164" s="1">
        <f t="shared" si="2"/>
        <v>32</v>
      </c>
      <c r="B164" s="1">
        <v>252610168</v>
      </c>
      <c r="C164" s="108" t="s">
        <v>694</v>
      </c>
      <c r="D164" s="33"/>
      <c r="E164" s="93"/>
      <c r="F164" s="109" t="s">
        <v>1</v>
      </c>
      <c r="G164" s="36"/>
      <c r="H164" s="36"/>
      <c r="I164" s="36"/>
      <c r="J164" s="36"/>
      <c r="K164" s="36"/>
      <c r="L164" s="36"/>
      <c r="M164" s="36"/>
      <c r="N164" s="3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 spans="1:28" ht="18" customHeight="1">
      <c r="A165" s="1">
        <f t="shared" si="2"/>
        <v>33</v>
      </c>
      <c r="B165" s="1">
        <v>252610394</v>
      </c>
      <c r="C165" s="108" t="s">
        <v>697</v>
      </c>
      <c r="D165" s="33"/>
      <c r="E165" s="93"/>
      <c r="F165" s="109" t="s">
        <v>1</v>
      </c>
      <c r="G165" s="36"/>
      <c r="H165" s="36"/>
      <c r="I165" s="36"/>
      <c r="J165" s="36"/>
      <c r="K165" s="36"/>
      <c r="L165" s="36"/>
      <c r="M165" s="36"/>
      <c r="N165" s="36"/>
      <c r="O165" s="6"/>
      <c r="P165" s="6"/>
      <c r="Q165" s="8"/>
      <c r="R165" s="8"/>
      <c r="S165" s="8"/>
      <c r="T165" s="8"/>
      <c r="U165" s="8"/>
      <c r="V165" s="8"/>
      <c r="W165" s="8"/>
      <c r="X165" s="6"/>
      <c r="Y165" s="6"/>
      <c r="Z165" s="6"/>
      <c r="AA165" s="6"/>
      <c r="AB165" s="6"/>
    </row>
    <row r="166" spans="1:28" ht="18" customHeight="1">
      <c r="A166" s="1">
        <f t="shared" si="2"/>
        <v>34</v>
      </c>
      <c r="B166" s="1">
        <v>252610170</v>
      </c>
      <c r="C166" s="108" t="s">
        <v>700</v>
      </c>
      <c r="D166" s="33"/>
      <c r="E166" s="93"/>
      <c r="F166" s="109" t="s">
        <v>3</v>
      </c>
      <c r="G166" s="36"/>
      <c r="H166" s="36"/>
      <c r="I166" s="36"/>
      <c r="J166" s="36"/>
      <c r="K166" s="36"/>
      <c r="L166" s="36"/>
      <c r="M166" s="36"/>
      <c r="N166" s="36"/>
      <c r="O166" s="6"/>
      <c r="P166" s="6"/>
      <c r="Q166" s="8"/>
      <c r="R166" s="8"/>
      <c r="S166" s="8"/>
      <c r="T166" s="8"/>
      <c r="U166" s="8"/>
      <c r="V166" s="8"/>
      <c r="W166" s="8"/>
      <c r="X166" s="6"/>
      <c r="Y166" s="6"/>
      <c r="Z166" s="6"/>
      <c r="AA166" s="6"/>
      <c r="AB166" s="6"/>
    </row>
    <row r="167" spans="1:28" ht="18" customHeight="1">
      <c r="A167" s="83">
        <f t="shared" si="2"/>
        <v>35</v>
      </c>
      <c r="B167" s="1">
        <v>252610173</v>
      </c>
      <c r="C167" s="108" t="s">
        <v>703</v>
      </c>
      <c r="D167" s="33"/>
      <c r="E167" s="93"/>
      <c r="F167" s="109" t="s">
        <v>3</v>
      </c>
      <c r="G167" s="85"/>
      <c r="H167" s="85"/>
      <c r="I167" s="85"/>
      <c r="J167" s="85"/>
      <c r="K167" s="85"/>
      <c r="L167" s="85"/>
      <c r="M167" s="85"/>
      <c r="N167" s="85"/>
      <c r="O167" s="6"/>
      <c r="P167" s="6"/>
      <c r="Q167" s="8"/>
      <c r="R167" s="8"/>
      <c r="S167" s="8"/>
      <c r="T167" s="8"/>
      <c r="U167" s="8"/>
      <c r="V167" s="8"/>
      <c r="W167" s="8"/>
      <c r="X167" s="6"/>
      <c r="Y167" s="6"/>
      <c r="Z167" s="6"/>
      <c r="AA167" s="6"/>
      <c r="AB167" s="6"/>
    </row>
    <row r="168" spans="1:28" ht="18" customHeight="1">
      <c r="A168" s="1">
        <f t="shared" si="2"/>
        <v>36</v>
      </c>
      <c r="B168" s="1">
        <v>252610309</v>
      </c>
      <c r="C168" s="108" t="s">
        <v>705</v>
      </c>
      <c r="D168" s="33"/>
      <c r="E168" s="93"/>
      <c r="F168" s="109" t="s">
        <v>1</v>
      </c>
      <c r="G168" s="36"/>
      <c r="H168" s="36"/>
      <c r="I168" s="36"/>
      <c r="J168" s="36"/>
      <c r="K168" s="36"/>
      <c r="L168" s="36"/>
      <c r="M168" s="36"/>
      <c r="N168" s="36"/>
      <c r="O168" s="6"/>
      <c r="P168" s="6"/>
      <c r="Q168" s="8"/>
      <c r="R168" s="8"/>
      <c r="S168" s="8"/>
      <c r="T168" s="8"/>
      <c r="U168" s="8"/>
      <c r="V168" s="8"/>
      <c r="W168" s="8"/>
      <c r="X168" s="6"/>
      <c r="Y168" s="6"/>
      <c r="Z168" s="6"/>
      <c r="AA168" s="6"/>
      <c r="AB168" s="6"/>
    </row>
    <row r="169" spans="1:28" ht="18" customHeight="1">
      <c r="A169" s="1">
        <f t="shared" si="2"/>
        <v>37</v>
      </c>
      <c r="B169" s="1">
        <v>252610078</v>
      </c>
      <c r="C169" s="108" t="s">
        <v>708</v>
      </c>
      <c r="D169" s="33"/>
      <c r="E169" s="93"/>
      <c r="F169" s="109" t="s">
        <v>3</v>
      </c>
      <c r="G169" s="36"/>
      <c r="H169" s="36"/>
      <c r="I169" s="36"/>
      <c r="J169" s="36"/>
      <c r="K169" s="36"/>
      <c r="L169" s="36"/>
      <c r="M169" s="36"/>
      <c r="N169" s="3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 spans="1:28" ht="18" customHeight="1">
      <c r="A170" s="1">
        <f t="shared" si="2"/>
        <v>38</v>
      </c>
      <c r="B170" s="1">
        <v>252610358</v>
      </c>
      <c r="C170" s="108" t="s">
        <v>711</v>
      </c>
      <c r="D170" s="33"/>
      <c r="E170" s="93"/>
      <c r="F170" s="109" t="s">
        <v>3</v>
      </c>
      <c r="G170" s="36"/>
      <c r="H170" s="36"/>
      <c r="I170" s="36"/>
      <c r="J170" s="36"/>
      <c r="K170" s="36"/>
      <c r="L170" s="36"/>
      <c r="M170" s="36"/>
      <c r="N170" s="3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 spans="1:28" ht="18" customHeight="1">
      <c r="A171" s="1">
        <f t="shared" si="2"/>
        <v>39</v>
      </c>
      <c r="B171" s="1">
        <v>252610264</v>
      </c>
      <c r="C171" s="108" t="s">
        <v>714</v>
      </c>
      <c r="D171" s="33"/>
      <c r="E171" s="93"/>
      <c r="F171" s="109" t="s">
        <v>1</v>
      </c>
      <c r="G171" s="36"/>
      <c r="H171" s="36"/>
      <c r="I171" s="36"/>
      <c r="J171" s="36"/>
      <c r="K171" s="36"/>
      <c r="L171" s="36"/>
      <c r="M171" s="36"/>
      <c r="N171" s="3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 spans="1:28" ht="18" customHeight="1">
      <c r="A172" s="1">
        <f t="shared" si="2"/>
        <v>40</v>
      </c>
      <c r="B172" s="1">
        <v>252610174</v>
      </c>
      <c r="C172" s="108" t="s">
        <v>717</v>
      </c>
      <c r="D172" s="33"/>
      <c r="E172" s="93"/>
      <c r="F172" s="109" t="s">
        <v>3</v>
      </c>
      <c r="G172" s="36"/>
      <c r="H172" s="36"/>
      <c r="I172" s="36"/>
      <c r="J172" s="36"/>
      <c r="K172" s="36"/>
      <c r="L172" s="36"/>
      <c r="M172" s="36"/>
      <c r="N172" s="3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 spans="1:28" ht="18" customHeight="1">
      <c r="A173" s="1">
        <f t="shared" si="2"/>
        <v>41</v>
      </c>
      <c r="B173" s="1">
        <v>252610310</v>
      </c>
      <c r="C173" s="108" t="s">
        <v>720</v>
      </c>
      <c r="D173" s="33"/>
      <c r="E173" s="93"/>
      <c r="F173" s="109" t="s">
        <v>1</v>
      </c>
      <c r="G173" s="36"/>
      <c r="H173" s="36"/>
      <c r="I173" s="36"/>
      <c r="J173" s="36"/>
      <c r="K173" s="36"/>
      <c r="L173" s="36"/>
      <c r="M173" s="36"/>
      <c r="N173" s="3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 spans="1:28" ht="18" customHeight="1">
      <c r="A174" s="1">
        <f t="shared" si="2"/>
        <v>42</v>
      </c>
      <c r="B174" s="1">
        <v>252610083</v>
      </c>
      <c r="C174" s="108" t="s">
        <v>724</v>
      </c>
      <c r="D174" s="33"/>
      <c r="E174" s="93"/>
      <c r="F174" s="109" t="s">
        <v>3</v>
      </c>
      <c r="G174" s="36"/>
      <c r="H174" s="36"/>
      <c r="I174" s="36"/>
      <c r="J174" s="36"/>
      <c r="K174" s="36"/>
      <c r="L174" s="36"/>
      <c r="M174" s="36"/>
      <c r="N174" s="3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 spans="1:28" ht="18" customHeight="1">
      <c r="A175" s="1">
        <f t="shared" si="2"/>
        <v>43</v>
      </c>
      <c r="B175" s="1">
        <v>252610044</v>
      </c>
      <c r="C175" s="108" t="s">
        <v>728</v>
      </c>
      <c r="D175" s="33"/>
      <c r="E175" s="93"/>
      <c r="F175" s="109" t="s">
        <v>1</v>
      </c>
      <c r="G175" s="36"/>
      <c r="H175" s="36"/>
      <c r="I175" s="36"/>
      <c r="J175" s="36"/>
      <c r="K175" s="36"/>
      <c r="L175" s="36"/>
      <c r="M175" s="36"/>
      <c r="N175" s="3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 spans="1:28" ht="18" customHeight="1">
      <c r="A176" s="1">
        <f t="shared" si="2"/>
        <v>44</v>
      </c>
      <c r="B176" s="1">
        <v>252610091</v>
      </c>
      <c r="C176" s="108" t="s">
        <v>732</v>
      </c>
      <c r="D176" s="33"/>
      <c r="E176" s="93"/>
      <c r="F176" s="109" t="s">
        <v>3</v>
      </c>
      <c r="G176" s="36"/>
      <c r="H176" s="36"/>
      <c r="I176" s="36"/>
      <c r="J176" s="36"/>
      <c r="K176" s="36"/>
      <c r="L176" s="36"/>
      <c r="M176" s="36"/>
      <c r="N176" s="3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 spans="1:28" ht="15.8" customHeight="1">
      <c r="A177" s="79"/>
      <c r="B177" s="79"/>
      <c r="C177" s="20"/>
      <c r="D177" s="20"/>
      <c r="E177" s="20"/>
      <c r="F177" s="80" t="s">
        <v>1</v>
      </c>
      <c r="G177" s="80">
        <f>COUNTIF(F133:F176,"L")</f>
        <v>19</v>
      </c>
      <c r="H177" s="20"/>
      <c r="I177" s="20"/>
      <c r="J177" s="20"/>
      <c r="K177" s="20"/>
      <c r="L177" s="20"/>
      <c r="M177" s="20"/>
      <c r="N177" s="20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 spans="1:28" ht="15.8" customHeight="1">
      <c r="A178" s="79"/>
      <c r="B178" s="79"/>
      <c r="C178" s="20"/>
      <c r="D178" s="20"/>
      <c r="E178" s="20"/>
      <c r="F178" s="30" t="s">
        <v>3</v>
      </c>
      <c r="G178" s="30">
        <f>COUNTIF(F133:F176,"P")</f>
        <v>25</v>
      </c>
      <c r="H178" s="20"/>
      <c r="I178" s="20"/>
      <c r="J178" s="20"/>
      <c r="K178" s="20"/>
      <c r="L178" s="20"/>
      <c r="M178" s="20"/>
      <c r="N178" s="20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 spans="1:28" ht="15.8" customHeight="1">
      <c r="A179" s="79"/>
      <c r="B179" s="79"/>
      <c r="C179" s="20"/>
      <c r="D179" s="20"/>
      <c r="E179" s="20"/>
      <c r="F179" s="81" t="s">
        <v>251</v>
      </c>
      <c r="G179" s="81">
        <f>SUM(G177:G178)</f>
        <v>44</v>
      </c>
      <c r="H179" s="20"/>
      <c r="I179" s="20"/>
      <c r="J179" s="20"/>
      <c r="K179" s="20"/>
      <c r="L179" s="20"/>
      <c r="M179" s="20"/>
      <c r="N179" s="20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 spans="1:28" ht="15.8" customHeight="1">
      <c r="A180" s="20" t="s">
        <v>275</v>
      </c>
      <c r="B180" s="6"/>
      <c r="C180" s="20"/>
      <c r="D180" s="20"/>
      <c r="E180" s="20"/>
      <c r="F180" s="94"/>
      <c r="G180" s="6"/>
      <c r="H180" s="6"/>
      <c r="I180" s="82" t="s">
        <v>254</v>
      </c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 spans="1:28" ht="15.8" customHeight="1">
      <c r="A181" s="20" t="s">
        <v>280</v>
      </c>
      <c r="B181" s="6"/>
      <c r="C181" s="20"/>
      <c r="D181" s="20"/>
      <c r="E181" s="20" t="s">
        <v>281</v>
      </c>
      <c r="F181" s="94"/>
      <c r="G181" s="6"/>
      <c r="H181" s="6"/>
      <c r="I181" s="6" t="s">
        <v>256</v>
      </c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 spans="1:28" ht="15.8" customHeight="1">
      <c r="A182" s="20"/>
      <c r="B182" s="6"/>
      <c r="C182" s="20"/>
      <c r="D182" s="20"/>
      <c r="E182" s="20"/>
      <c r="F182" s="79"/>
      <c r="G182" s="20"/>
      <c r="H182" s="20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 spans="1:28" ht="15.8" customHeight="1">
      <c r="A183" s="20"/>
      <c r="B183" s="6"/>
      <c r="C183" s="20"/>
      <c r="D183" s="20"/>
      <c r="E183" s="20"/>
      <c r="F183" s="79"/>
      <c r="G183" s="20"/>
      <c r="H183" s="20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 spans="1:28" ht="15.8" customHeight="1">
      <c r="A184" s="16" t="s">
        <v>747</v>
      </c>
      <c r="B184" s="6"/>
      <c r="C184" s="6"/>
      <c r="D184" s="6"/>
      <c r="E184" s="86" t="s">
        <v>368</v>
      </c>
      <c r="F184" s="94"/>
      <c r="G184" s="6"/>
      <c r="H184" s="20"/>
      <c r="I184" s="87"/>
      <c r="J184" s="87"/>
      <c r="K184" s="87"/>
      <c r="L184" s="87"/>
      <c r="M184" s="87"/>
      <c r="N184" s="87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 spans="1:28" ht="15.8" customHeight="1">
      <c r="A185" s="41" t="s">
        <v>749</v>
      </c>
      <c r="B185" s="41"/>
      <c r="C185" s="20"/>
      <c r="D185" s="20"/>
      <c r="E185" s="20" t="s">
        <v>372</v>
      </c>
      <c r="F185" s="79"/>
      <c r="G185" s="20"/>
      <c r="H185" s="20" t="s">
        <v>266</v>
      </c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 spans="1:28" ht="15.8" customHeight="1">
      <c r="A186" s="6"/>
      <c r="B186" s="6"/>
      <c r="C186" s="6"/>
      <c r="D186" s="6"/>
      <c r="E186" s="6"/>
      <c r="F186" s="94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 spans="1:28" ht="19.55" customHeight="1">
      <c r="A187" s="16" t="s">
        <v>79</v>
      </c>
      <c r="B187" s="16"/>
      <c r="C187" s="4" t="s">
        <v>750</v>
      </c>
      <c r="D187" s="16"/>
      <c r="E187" s="22"/>
      <c r="F187" s="23"/>
      <c r="G187" s="17"/>
      <c r="H187" s="19" t="s">
        <v>82</v>
      </c>
      <c r="I187" s="17"/>
      <c r="J187" s="17"/>
      <c r="K187" s="17"/>
      <c r="L187" s="17"/>
      <c r="M187" s="20"/>
      <c r="N187" s="20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 spans="1:28" ht="9" customHeight="1">
      <c r="A188" s="20"/>
      <c r="B188" s="24"/>
      <c r="C188" s="24"/>
      <c r="D188" s="24"/>
      <c r="E188" s="25"/>
      <c r="F188" s="14"/>
      <c r="G188" s="20"/>
      <c r="H188" s="26"/>
      <c r="I188" s="27"/>
      <c r="J188" s="27"/>
      <c r="K188" s="27"/>
      <c r="L188" s="27"/>
      <c r="M188" s="27"/>
      <c r="N188" s="27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 spans="1:28" ht="15.8" customHeight="1">
      <c r="A189" s="176" t="s">
        <v>84</v>
      </c>
      <c r="B189" s="177"/>
      <c r="C189" s="178" t="s">
        <v>85</v>
      </c>
      <c r="D189" s="179"/>
      <c r="E189" s="180"/>
      <c r="F189" s="184" t="s">
        <v>86</v>
      </c>
      <c r="G189" s="176" t="s">
        <v>87</v>
      </c>
      <c r="H189" s="186"/>
      <c r="I189" s="186"/>
      <c r="J189" s="186"/>
      <c r="K189" s="186"/>
      <c r="L189" s="186"/>
      <c r="M189" s="177"/>
      <c r="N189" s="184" t="s">
        <v>88</v>
      </c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 spans="1:28" ht="15.8" customHeight="1">
      <c r="A190" s="28" t="s">
        <v>90</v>
      </c>
      <c r="B190" s="28" t="s">
        <v>91</v>
      </c>
      <c r="C190" s="199"/>
      <c r="D190" s="200"/>
      <c r="E190" s="201"/>
      <c r="F190" s="185"/>
      <c r="G190" s="28"/>
      <c r="H190" s="28"/>
      <c r="I190" s="28"/>
      <c r="J190" s="28"/>
      <c r="K190" s="28"/>
      <c r="L190" s="28"/>
      <c r="M190" s="28"/>
      <c r="N190" s="185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 spans="1:28" ht="18" customHeight="1">
      <c r="A191" s="1">
        <v>1</v>
      </c>
      <c r="B191" s="31">
        <v>252610141</v>
      </c>
      <c r="C191" s="108" t="s">
        <v>755</v>
      </c>
      <c r="D191" s="33"/>
      <c r="E191" s="93"/>
      <c r="F191" s="109" t="s">
        <v>1</v>
      </c>
      <c r="G191" s="36"/>
      <c r="H191" s="36"/>
      <c r="I191" s="36"/>
      <c r="J191" s="36"/>
      <c r="K191" s="36"/>
      <c r="L191" s="36"/>
      <c r="M191" s="36"/>
      <c r="N191" s="3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 spans="1:28" ht="18" customHeight="1">
      <c r="A192" s="1">
        <f t="shared" ref="A192:A234" si="3">A191+1</f>
        <v>2</v>
      </c>
      <c r="B192" s="1">
        <v>252610228</v>
      </c>
      <c r="C192" s="108" t="s">
        <v>757</v>
      </c>
      <c r="D192" s="33"/>
      <c r="E192" s="93"/>
      <c r="F192" s="109" t="s">
        <v>1</v>
      </c>
      <c r="G192" s="36"/>
      <c r="H192" s="36"/>
      <c r="I192" s="36"/>
      <c r="J192" s="36"/>
      <c r="K192" s="36"/>
      <c r="L192" s="36"/>
      <c r="M192" s="36"/>
      <c r="N192" s="3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 spans="1:28" ht="18" customHeight="1">
      <c r="A193" s="1">
        <f t="shared" si="3"/>
        <v>3</v>
      </c>
      <c r="B193" s="1">
        <v>252610229</v>
      </c>
      <c r="C193" s="108" t="s">
        <v>761</v>
      </c>
      <c r="D193" s="33"/>
      <c r="E193" s="93"/>
      <c r="F193" s="109" t="s">
        <v>1</v>
      </c>
      <c r="G193" s="36"/>
      <c r="H193" s="36"/>
      <c r="I193" s="36"/>
      <c r="J193" s="36"/>
      <c r="K193" s="36"/>
      <c r="L193" s="36"/>
      <c r="M193" s="36"/>
      <c r="N193" s="3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 spans="1:28" ht="18" customHeight="1">
      <c r="A194" s="1">
        <f t="shared" si="3"/>
        <v>4</v>
      </c>
      <c r="B194" s="1">
        <v>252610453</v>
      </c>
      <c r="C194" s="108" t="s">
        <v>764</v>
      </c>
      <c r="D194" s="33"/>
      <c r="E194" s="93"/>
      <c r="F194" s="109" t="s">
        <v>3</v>
      </c>
      <c r="G194" s="36"/>
      <c r="H194" s="36"/>
      <c r="I194" s="36"/>
      <c r="J194" s="36"/>
      <c r="K194" s="36"/>
      <c r="L194" s="36"/>
      <c r="M194" s="36"/>
      <c r="N194" s="3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 spans="1:28" ht="18" customHeight="1">
      <c r="A195" s="1">
        <f t="shared" si="3"/>
        <v>5</v>
      </c>
      <c r="B195" s="1">
        <v>252610097</v>
      </c>
      <c r="C195" s="108" t="s">
        <v>767</v>
      </c>
      <c r="D195" s="33"/>
      <c r="E195" s="93"/>
      <c r="F195" s="109" t="s">
        <v>1</v>
      </c>
      <c r="G195" s="36"/>
      <c r="H195" s="36"/>
      <c r="I195" s="36"/>
      <c r="J195" s="36"/>
      <c r="K195" s="36"/>
      <c r="L195" s="36"/>
      <c r="M195" s="36"/>
      <c r="N195" s="3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 spans="1:28" ht="18" customHeight="1">
      <c r="A196" s="1">
        <f t="shared" si="3"/>
        <v>6</v>
      </c>
      <c r="B196" s="1">
        <v>252610416</v>
      </c>
      <c r="C196" s="108" t="s">
        <v>769</v>
      </c>
      <c r="D196" s="33"/>
      <c r="E196" s="93"/>
      <c r="F196" s="109" t="s">
        <v>1</v>
      </c>
      <c r="G196" s="36"/>
      <c r="H196" s="36"/>
      <c r="I196" s="36"/>
      <c r="J196" s="36"/>
      <c r="K196" s="36"/>
      <c r="L196" s="36"/>
      <c r="M196" s="36"/>
      <c r="N196" s="3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 spans="1:28" ht="18" customHeight="1">
      <c r="A197" s="1">
        <f t="shared" si="3"/>
        <v>7</v>
      </c>
      <c r="B197" s="1">
        <v>252610277</v>
      </c>
      <c r="C197" s="108" t="s">
        <v>771</v>
      </c>
      <c r="D197" s="33"/>
      <c r="E197" s="93"/>
      <c r="F197" s="109" t="s">
        <v>3</v>
      </c>
      <c r="G197" s="36"/>
      <c r="H197" s="36"/>
      <c r="I197" s="36"/>
      <c r="J197" s="36"/>
      <c r="K197" s="36"/>
      <c r="L197" s="36"/>
      <c r="M197" s="36"/>
      <c r="N197" s="3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 spans="1:28" ht="18" customHeight="1">
      <c r="A198" s="1">
        <f t="shared" si="3"/>
        <v>8</v>
      </c>
      <c r="B198" s="1">
        <v>252610508</v>
      </c>
      <c r="C198" s="108" t="s">
        <v>773</v>
      </c>
      <c r="D198" s="33"/>
      <c r="E198" s="93"/>
      <c r="F198" s="109" t="s">
        <v>1</v>
      </c>
      <c r="G198" s="36"/>
      <c r="H198" s="36"/>
      <c r="I198" s="36"/>
      <c r="J198" s="36"/>
      <c r="K198" s="36"/>
      <c r="L198" s="36"/>
      <c r="M198" s="36"/>
      <c r="N198" s="3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 spans="1:28" ht="18" customHeight="1">
      <c r="A199" s="1">
        <f t="shared" si="3"/>
        <v>9</v>
      </c>
      <c r="B199" s="1">
        <v>252610463</v>
      </c>
      <c r="C199" s="108" t="s">
        <v>774</v>
      </c>
      <c r="D199" s="33"/>
      <c r="E199" s="93"/>
      <c r="F199" s="109" t="s">
        <v>3</v>
      </c>
      <c r="G199" s="36"/>
      <c r="H199" s="36"/>
      <c r="I199" s="36"/>
      <c r="J199" s="36"/>
      <c r="K199" s="36"/>
      <c r="L199" s="36"/>
      <c r="M199" s="36"/>
      <c r="N199" s="3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 spans="1:28" ht="18" customHeight="1">
      <c r="A200" s="1">
        <f t="shared" si="3"/>
        <v>10</v>
      </c>
      <c r="B200" s="1">
        <v>252610156</v>
      </c>
      <c r="C200" s="108" t="s">
        <v>776</v>
      </c>
      <c r="D200" s="33"/>
      <c r="E200" s="93"/>
      <c r="F200" s="109" t="s">
        <v>1</v>
      </c>
      <c r="G200" s="36"/>
      <c r="H200" s="36"/>
      <c r="I200" s="36"/>
      <c r="J200" s="36"/>
      <c r="K200" s="36"/>
      <c r="L200" s="36"/>
      <c r="M200" s="36"/>
      <c r="N200" s="3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 spans="1:28" ht="18" customHeight="1">
      <c r="A201" s="1">
        <f t="shared" si="3"/>
        <v>11</v>
      </c>
      <c r="B201" s="1">
        <v>252610335</v>
      </c>
      <c r="C201" s="108" t="s">
        <v>778</v>
      </c>
      <c r="D201" s="33"/>
      <c r="E201" s="93"/>
      <c r="F201" s="109" t="s">
        <v>1</v>
      </c>
      <c r="G201" s="36"/>
      <c r="H201" s="36"/>
      <c r="I201" s="36"/>
      <c r="J201" s="36"/>
      <c r="K201" s="36"/>
      <c r="L201" s="36"/>
      <c r="M201" s="36"/>
      <c r="N201" s="3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 spans="1:28" ht="18" customHeight="1">
      <c r="A202" s="1">
        <f t="shared" si="3"/>
        <v>12</v>
      </c>
      <c r="B202" s="1">
        <v>252610515</v>
      </c>
      <c r="C202" s="108" t="s">
        <v>781</v>
      </c>
      <c r="D202" s="33"/>
      <c r="E202" s="93"/>
      <c r="F202" s="109" t="s">
        <v>1</v>
      </c>
      <c r="G202" s="36"/>
      <c r="H202" s="36"/>
      <c r="I202" s="36"/>
      <c r="J202" s="36"/>
      <c r="K202" s="36"/>
      <c r="L202" s="36"/>
      <c r="M202" s="36"/>
      <c r="N202" s="3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 spans="1:28" ht="18" customHeight="1">
      <c r="A203" s="1">
        <f t="shared" si="3"/>
        <v>13</v>
      </c>
      <c r="B203" s="1">
        <v>252610192</v>
      </c>
      <c r="C203" s="108" t="s">
        <v>783</v>
      </c>
      <c r="D203" s="33"/>
      <c r="E203" s="93"/>
      <c r="F203" s="109" t="s">
        <v>3</v>
      </c>
      <c r="G203" s="36"/>
      <c r="H203" s="36"/>
      <c r="I203" s="36"/>
      <c r="J203" s="36"/>
      <c r="K203" s="36"/>
      <c r="L203" s="36"/>
      <c r="M203" s="36"/>
      <c r="N203" s="3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 spans="1:28" ht="18" customHeight="1">
      <c r="A204" s="1">
        <f t="shared" si="3"/>
        <v>14</v>
      </c>
      <c r="B204" s="1">
        <v>252610286</v>
      </c>
      <c r="C204" s="108" t="s">
        <v>786</v>
      </c>
      <c r="D204" s="33"/>
      <c r="E204" s="93"/>
      <c r="F204" s="109" t="s">
        <v>1</v>
      </c>
      <c r="G204" s="36"/>
      <c r="H204" s="36"/>
      <c r="I204" s="36"/>
      <c r="J204" s="36"/>
      <c r="K204" s="36"/>
      <c r="L204" s="36"/>
      <c r="M204" s="36"/>
      <c r="N204" s="3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 spans="1:28" ht="18" customHeight="1">
      <c r="A205" s="1">
        <f t="shared" si="3"/>
        <v>15</v>
      </c>
      <c r="B205" s="1">
        <v>252610340</v>
      </c>
      <c r="C205" s="108" t="s">
        <v>789</v>
      </c>
      <c r="D205" s="33"/>
      <c r="E205" s="93"/>
      <c r="F205" s="109" t="s">
        <v>1</v>
      </c>
      <c r="G205" s="36"/>
      <c r="H205" s="36"/>
      <c r="I205" s="36"/>
      <c r="J205" s="36"/>
      <c r="K205" s="36"/>
      <c r="L205" s="36"/>
      <c r="M205" s="36"/>
      <c r="N205" s="3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 spans="1:28" ht="18" customHeight="1">
      <c r="A206" s="1">
        <f t="shared" si="3"/>
        <v>16</v>
      </c>
      <c r="B206" s="1">
        <v>252610382</v>
      </c>
      <c r="C206" s="108" t="s">
        <v>792</v>
      </c>
      <c r="D206" s="33"/>
      <c r="E206" s="93"/>
      <c r="F206" s="109" t="s">
        <v>3</v>
      </c>
      <c r="G206" s="36"/>
      <c r="H206" s="36"/>
      <c r="I206" s="36"/>
      <c r="J206" s="36"/>
      <c r="K206" s="36"/>
      <c r="L206" s="36"/>
      <c r="M206" s="36"/>
      <c r="N206" s="3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 spans="1:28" ht="18" customHeight="1">
      <c r="A207" s="1">
        <f t="shared" si="3"/>
        <v>17</v>
      </c>
      <c r="B207" s="1">
        <v>252610162</v>
      </c>
      <c r="C207" s="108" t="s">
        <v>795</v>
      </c>
      <c r="D207" s="33"/>
      <c r="E207" s="93"/>
      <c r="F207" s="109" t="s">
        <v>3</v>
      </c>
      <c r="G207" s="36"/>
      <c r="H207" s="36"/>
      <c r="I207" s="36"/>
      <c r="J207" s="36"/>
      <c r="K207" s="36"/>
      <c r="L207" s="36"/>
      <c r="M207" s="36"/>
      <c r="N207" s="3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 spans="1:28" ht="18" customHeight="1">
      <c r="A208" s="1">
        <f t="shared" si="3"/>
        <v>18</v>
      </c>
      <c r="B208" s="1">
        <v>252610431</v>
      </c>
      <c r="C208" s="108" t="s">
        <v>798</v>
      </c>
      <c r="D208" s="33"/>
      <c r="E208" s="93"/>
      <c r="F208" s="109" t="s">
        <v>3</v>
      </c>
      <c r="G208" s="36"/>
      <c r="H208" s="36"/>
      <c r="I208" s="36"/>
      <c r="J208" s="36"/>
      <c r="K208" s="36"/>
      <c r="L208" s="36"/>
      <c r="M208" s="36"/>
      <c r="N208" s="3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 spans="1:28" ht="18" customHeight="1">
      <c r="A209" s="1">
        <f t="shared" si="3"/>
        <v>19</v>
      </c>
      <c r="B209" s="1">
        <v>252610199</v>
      </c>
      <c r="C209" s="108" t="s">
        <v>803</v>
      </c>
      <c r="D209" s="33"/>
      <c r="E209" s="93"/>
      <c r="F209" s="109" t="s">
        <v>1</v>
      </c>
      <c r="G209" s="36"/>
      <c r="H209" s="36"/>
      <c r="I209" s="36"/>
      <c r="J209" s="36"/>
      <c r="K209" s="36"/>
      <c r="L209" s="36"/>
      <c r="M209" s="36"/>
      <c r="N209" s="1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 spans="1:28" ht="18" customHeight="1">
      <c r="A210" s="1">
        <f t="shared" si="3"/>
        <v>20</v>
      </c>
      <c r="B210" s="1">
        <v>252610165</v>
      </c>
      <c r="C210" s="108" t="s">
        <v>808</v>
      </c>
      <c r="D210" s="33"/>
      <c r="E210" s="93"/>
      <c r="F210" s="109" t="s">
        <v>1</v>
      </c>
      <c r="G210" s="36"/>
      <c r="H210" s="36"/>
      <c r="I210" s="36"/>
      <c r="J210" s="36"/>
      <c r="K210" s="36"/>
      <c r="L210" s="36"/>
      <c r="M210" s="36"/>
      <c r="N210" s="3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 spans="1:28" ht="18" customHeight="1">
      <c r="A211" s="1">
        <f t="shared" si="3"/>
        <v>21</v>
      </c>
      <c r="B211" s="1">
        <v>252610526</v>
      </c>
      <c r="C211" s="108" t="s">
        <v>812</v>
      </c>
      <c r="D211" s="33"/>
      <c r="E211" s="93"/>
      <c r="F211" s="109" t="s">
        <v>1</v>
      </c>
      <c r="G211" s="36"/>
      <c r="H211" s="36"/>
      <c r="I211" s="36"/>
      <c r="J211" s="36"/>
      <c r="K211" s="36"/>
      <c r="L211" s="36"/>
      <c r="M211" s="36"/>
      <c r="N211" s="3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 spans="1:28" ht="18" customHeight="1">
      <c r="A212" s="1">
        <f t="shared" si="3"/>
        <v>22</v>
      </c>
      <c r="B212" s="1">
        <v>252610479</v>
      </c>
      <c r="C212" s="108" t="s">
        <v>816</v>
      </c>
      <c r="D212" s="33"/>
      <c r="E212" s="93"/>
      <c r="F212" s="109" t="s">
        <v>1</v>
      </c>
      <c r="G212" s="36"/>
      <c r="H212" s="36"/>
      <c r="I212" s="36"/>
      <c r="J212" s="36"/>
      <c r="K212" s="36"/>
      <c r="L212" s="36"/>
      <c r="M212" s="36"/>
      <c r="N212" s="3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 spans="1:28" ht="18" customHeight="1">
      <c r="A213" s="1">
        <f t="shared" si="3"/>
        <v>23</v>
      </c>
      <c r="B213" s="1">
        <v>252610299</v>
      </c>
      <c r="C213" s="108" t="s">
        <v>818</v>
      </c>
      <c r="D213" s="33"/>
      <c r="E213" s="93"/>
      <c r="F213" s="109" t="s">
        <v>1</v>
      </c>
      <c r="G213" s="36"/>
      <c r="H213" s="36"/>
      <c r="I213" s="36"/>
      <c r="J213" s="36"/>
      <c r="K213" s="36"/>
      <c r="L213" s="36"/>
      <c r="M213" s="36"/>
      <c r="N213" s="3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 spans="1:28" ht="18" customHeight="1">
      <c r="A214" s="1">
        <f t="shared" si="3"/>
        <v>24</v>
      </c>
      <c r="B214" s="1">
        <v>252610350</v>
      </c>
      <c r="C214" s="108" t="s">
        <v>821</v>
      </c>
      <c r="D214" s="33"/>
      <c r="E214" s="93"/>
      <c r="F214" s="109" t="s">
        <v>1</v>
      </c>
      <c r="G214" s="36"/>
      <c r="H214" s="36"/>
      <c r="I214" s="36"/>
      <c r="J214" s="36"/>
      <c r="K214" s="36"/>
      <c r="L214" s="36"/>
      <c r="M214" s="36"/>
      <c r="N214" s="3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 spans="1:28" ht="18" customHeight="1">
      <c r="A215" s="1">
        <f t="shared" si="3"/>
        <v>25</v>
      </c>
      <c r="B215" s="1">
        <v>252610439</v>
      </c>
      <c r="C215" s="108" t="s">
        <v>825</v>
      </c>
      <c r="D215" s="33"/>
      <c r="E215" s="93"/>
      <c r="F215" s="109" t="s">
        <v>1</v>
      </c>
      <c r="G215" s="36"/>
      <c r="H215" s="36"/>
      <c r="I215" s="36"/>
      <c r="J215" s="36"/>
      <c r="K215" s="36"/>
      <c r="L215" s="36"/>
      <c r="M215" s="36"/>
      <c r="N215" s="3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 spans="1:28" ht="18" customHeight="1">
      <c r="A216" s="1">
        <f t="shared" si="3"/>
        <v>26</v>
      </c>
      <c r="B216" s="1">
        <v>252610352</v>
      </c>
      <c r="C216" s="108" t="s">
        <v>828</v>
      </c>
      <c r="D216" s="33"/>
      <c r="E216" s="93"/>
      <c r="F216" s="109" t="s">
        <v>3</v>
      </c>
      <c r="G216" s="36"/>
      <c r="H216" s="36"/>
      <c r="I216" s="36"/>
      <c r="J216" s="36"/>
      <c r="K216" s="36"/>
      <c r="L216" s="36"/>
      <c r="M216" s="36"/>
      <c r="N216" s="3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 spans="1:28" ht="18" customHeight="1">
      <c r="A217" s="1">
        <f t="shared" si="3"/>
        <v>27</v>
      </c>
      <c r="B217" s="1">
        <v>252610123</v>
      </c>
      <c r="C217" s="108" t="s">
        <v>831</v>
      </c>
      <c r="D217" s="33"/>
      <c r="E217" s="93"/>
      <c r="F217" s="109" t="s">
        <v>3</v>
      </c>
      <c r="G217" s="36"/>
      <c r="H217" s="36"/>
      <c r="I217" s="36"/>
      <c r="J217" s="36"/>
      <c r="K217" s="36"/>
      <c r="L217" s="36"/>
      <c r="M217" s="36"/>
      <c r="N217" s="3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 spans="1:28" ht="18" customHeight="1">
      <c r="A218" s="1">
        <f t="shared" si="3"/>
        <v>28</v>
      </c>
      <c r="B218" s="1">
        <v>252610305</v>
      </c>
      <c r="C218" s="108" t="s">
        <v>834</v>
      </c>
      <c r="D218" s="33"/>
      <c r="E218" s="93"/>
      <c r="F218" s="109" t="s">
        <v>3</v>
      </c>
      <c r="G218" s="36"/>
      <c r="H218" s="36"/>
      <c r="I218" s="36"/>
      <c r="J218" s="36"/>
      <c r="K218" s="36"/>
      <c r="L218" s="36"/>
      <c r="M218" s="36"/>
      <c r="N218" s="3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 spans="1:28" ht="18" customHeight="1">
      <c r="A219" s="1">
        <f t="shared" si="3"/>
        <v>29</v>
      </c>
      <c r="B219" s="1">
        <v>252610532</v>
      </c>
      <c r="C219" s="108" t="s">
        <v>837</v>
      </c>
      <c r="D219" s="33"/>
      <c r="E219" s="93"/>
      <c r="F219" s="109" t="s">
        <v>3</v>
      </c>
      <c r="G219" s="36"/>
      <c r="H219" s="36"/>
      <c r="I219" s="36"/>
      <c r="J219" s="36"/>
      <c r="K219" s="36"/>
      <c r="L219" s="36"/>
      <c r="M219" s="36"/>
      <c r="N219" s="3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 spans="1:28" ht="18" customHeight="1">
      <c r="A220" s="1">
        <f t="shared" si="3"/>
        <v>30</v>
      </c>
      <c r="B220" s="1">
        <v>252610126</v>
      </c>
      <c r="C220" s="108" t="s">
        <v>839</v>
      </c>
      <c r="D220" s="33"/>
      <c r="E220" s="93"/>
      <c r="F220" s="109" t="s">
        <v>3</v>
      </c>
      <c r="G220" s="36"/>
      <c r="H220" s="36"/>
      <c r="I220" s="36"/>
      <c r="J220" s="36"/>
      <c r="K220" s="36"/>
      <c r="L220" s="36"/>
      <c r="M220" s="36"/>
      <c r="N220" s="36"/>
      <c r="O220" s="6"/>
      <c r="P220" s="6"/>
      <c r="Q220" s="8"/>
      <c r="R220" s="8"/>
      <c r="S220" s="8"/>
      <c r="T220" s="8"/>
      <c r="U220" s="8"/>
      <c r="V220" s="8"/>
      <c r="W220" s="8"/>
      <c r="X220" s="6"/>
      <c r="Y220" s="6"/>
      <c r="Z220" s="6"/>
      <c r="AA220" s="6"/>
      <c r="AB220" s="6"/>
    </row>
    <row r="221" spans="1:28" ht="18" customHeight="1">
      <c r="A221" s="1">
        <f t="shared" si="3"/>
        <v>31</v>
      </c>
      <c r="B221" s="1">
        <v>252610356</v>
      </c>
      <c r="C221" s="108" t="s">
        <v>840</v>
      </c>
      <c r="D221" s="33"/>
      <c r="E221" s="93"/>
      <c r="F221" s="109" t="s">
        <v>1</v>
      </c>
      <c r="G221" s="36"/>
      <c r="H221" s="36"/>
      <c r="I221" s="36"/>
      <c r="J221" s="36"/>
      <c r="K221" s="36"/>
      <c r="L221" s="36"/>
      <c r="M221" s="36"/>
      <c r="N221" s="3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 spans="1:28" ht="18" customHeight="1">
      <c r="A222" s="83">
        <f t="shared" si="3"/>
        <v>32</v>
      </c>
      <c r="B222" s="83">
        <v>252610075</v>
      </c>
      <c r="C222" s="108" t="s">
        <v>842</v>
      </c>
      <c r="D222" s="33"/>
      <c r="E222" s="93"/>
      <c r="F222" s="109" t="s">
        <v>3</v>
      </c>
      <c r="G222" s="85"/>
      <c r="H222" s="85"/>
      <c r="I222" s="85"/>
      <c r="J222" s="85"/>
      <c r="K222" s="85"/>
      <c r="L222" s="85"/>
      <c r="M222" s="85"/>
      <c r="N222" s="85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 spans="1:28" ht="18" customHeight="1">
      <c r="A223" s="1">
        <f t="shared" si="3"/>
        <v>33</v>
      </c>
      <c r="B223" s="1">
        <v>252610212</v>
      </c>
      <c r="C223" s="108" t="s">
        <v>844</v>
      </c>
      <c r="D223" s="33"/>
      <c r="E223" s="93"/>
      <c r="F223" s="109" t="s">
        <v>3</v>
      </c>
      <c r="G223" s="36"/>
      <c r="H223" s="36"/>
      <c r="I223" s="36"/>
      <c r="J223" s="36"/>
      <c r="K223" s="36"/>
      <c r="L223" s="36"/>
      <c r="M223" s="36"/>
      <c r="N223" s="36"/>
      <c r="O223" s="6"/>
      <c r="P223" s="6"/>
      <c r="Q223" s="8"/>
      <c r="R223" s="8"/>
      <c r="S223" s="8"/>
      <c r="T223" s="8"/>
      <c r="U223" s="8"/>
      <c r="V223" s="8"/>
      <c r="W223" s="8"/>
      <c r="X223" s="6"/>
      <c r="Y223" s="6"/>
      <c r="Z223" s="6"/>
      <c r="AA223" s="6"/>
      <c r="AB223" s="6"/>
    </row>
    <row r="224" spans="1:28" ht="18" customHeight="1">
      <c r="A224" s="1">
        <f t="shared" si="3"/>
        <v>34</v>
      </c>
      <c r="B224" s="1">
        <v>252610215</v>
      </c>
      <c r="C224" s="108" t="s">
        <v>846</v>
      </c>
      <c r="D224" s="33"/>
      <c r="E224" s="93"/>
      <c r="F224" s="109" t="s">
        <v>3</v>
      </c>
      <c r="G224" s="36"/>
      <c r="H224" s="36"/>
      <c r="I224" s="36"/>
      <c r="J224" s="36"/>
      <c r="K224" s="36"/>
      <c r="L224" s="36"/>
      <c r="M224" s="36"/>
      <c r="N224" s="3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 spans="1:28" ht="18" customHeight="1">
      <c r="A225" s="1">
        <f t="shared" si="3"/>
        <v>35</v>
      </c>
      <c r="B225" s="1">
        <v>252610363</v>
      </c>
      <c r="C225" s="108" t="s">
        <v>848</v>
      </c>
      <c r="D225" s="33"/>
      <c r="E225" s="93"/>
      <c r="F225" s="109" t="s">
        <v>3</v>
      </c>
      <c r="G225" s="36"/>
      <c r="H225" s="36"/>
      <c r="I225" s="36"/>
      <c r="J225" s="36"/>
      <c r="K225" s="36"/>
      <c r="L225" s="36"/>
      <c r="M225" s="36"/>
      <c r="N225" s="3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 spans="1:28" ht="18" customHeight="1">
      <c r="A226" s="1">
        <f t="shared" si="3"/>
        <v>36</v>
      </c>
      <c r="B226" s="1">
        <v>252610539</v>
      </c>
      <c r="C226" s="108" t="s">
        <v>850</v>
      </c>
      <c r="D226" s="33"/>
      <c r="E226" s="93"/>
      <c r="F226" s="109" t="s">
        <v>3</v>
      </c>
      <c r="G226" s="36"/>
      <c r="H226" s="36"/>
      <c r="I226" s="36"/>
      <c r="J226" s="36"/>
      <c r="K226" s="36"/>
      <c r="L226" s="36"/>
      <c r="M226" s="36"/>
      <c r="N226" s="3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 spans="1:28" ht="18" customHeight="1">
      <c r="A227" s="1">
        <f t="shared" si="3"/>
        <v>37</v>
      </c>
      <c r="B227" s="1">
        <v>252610491</v>
      </c>
      <c r="C227" s="108" t="s">
        <v>852</v>
      </c>
      <c r="D227" s="33"/>
      <c r="E227" s="93"/>
      <c r="F227" s="109" t="s">
        <v>3</v>
      </c>
      <c r="G227" s="36"/>
      <c r="H227" s="36"/>
      <c r="I227" s="36"/>
      <c r="J227" s="36"/>
      <c r="K227" s="36"/>
      <c r="L227" s="36"/>
      <c r="M227" s="36"/>
      <c r="N227" s="3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 spans="1:28" ht="18" customHeight="1">
      <c r="A228" s="1">
        <f t="shared" si="3"/>
        <v>38</v>
      </c>
      <c r="B228" s="1">
        <v>252610409</v>
      </c>
      <c r="C228" s="108" t="s">
        <v>854</v>
      </c>
      <c r="D228" s="33"/>
      <c r="E228" s="93"/>
      <c r="F228" s="109" t="s">
        <v>3</v>
      </c>
      <c r="G228" s="36"/>
      <c r="H228" s="36"/>
      <c r="I228" s="36"/>
      <c r="J228" s="36"/>
      <c r="K228" s="36"/>
      <c r="L228" s="36"/>
      <c r="M228" s="36"/>
      <c r="N228" s="3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 spans="1:28" ht="18" customHeight="1">
      <c r="A229" s="1">
        <f t="shared" si="3"/>
        <v>39</v>
      </c>
      <c r="B229" s="83">
        <v>252610314</v>
      </c>
      <c r="C229" s="108" t="s">
        <v>856</v>
      </c>
      <c r="D229" s="33"/>
      <c r="E229" s="93"/>
      <c r="F229" s="127" t="s">
        <v>3</v>
      </c>
      <c r="G229" s="85"/>
      <c r="H229" s="85"/>
      <c r="I229" s="85"/>
      <c r="J229" s="85"/>
      <c r="K229" s="85"/>
      <c r="L229" s="85"/>
      <c r="M229" s="85"/>
      <c r="N229" s="85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 spans="1:28" ht="18" customHeight="1">
      <c r="A230" s="1">
        <f t="shared" si="3"/>
        <v>40</v>
      </c>
      <c r="B230" s="1">
        <v>252610365</v>
      </c>
      <c r="C230" s="108" t="s">
        <v>859</v>
      </c>
      <c r="D230" s="33"/>
      <c r="E230" s="93"/>
      <c r="F230" s="127" t="s">
        <v>1</v>
      </c>
      <c r="G230" s="36"/>
      <c r="H230" s="36"/>
      <c r="I230" s="36"/>
      <c r="J230" s="36"/>
      <c r="K230" s="36"/>
      <c r="L230" s="36"/>
      <c r="M230" s="36"/>
      <c r="N230" s="3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 spans="1:28" ht="18" customHeight="1">
      <c r="A231" s="1">
        <f t="shared" si="3"/>
        <v>41</v>
      </c>
      <c r="B231" s="1">
        <v>252610495</v>
      </c>
      <c r="C231" s="108" t="s">
        <v>862</v>
      </c>
      <c r="D231" s="33"/>
      <c r="E231" s="93"/>
      <c r="F231" s="127" t="s">
        <v>1</v>
      </c>
      <c r="G231" s="36"/>
      <c r="H231" s="36"/>
      <c r="I231" s="36"/>
      <c r="J231" s="36"/>
      <c r="K231" s="36"/>
      <c r="L231" s="36"/>
      <c r="M231" s="36"/>
      <c r="N231" s="3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 spans="1:28" ht="18" customHeight="1">
      <c r="A232" s="1">
        <f t="shared" si="3"/>
        <v>42</v>
      </c>
      <c r="B232" s="1">
        <v>252610496</v>
      </c>
      <c r="C232" s="108" t="s">
        <v>866</v>
      </c>
      <c r="D232" s="33"/>
      <c r="E232" s="93"/>
      <c r="F232" s="127" t="s">
        <v>1</v>
      </c>
      <c r="G232" s="36"/>
      <c r="H232" s="36"/>
      <c r="I232" s="36"/>
      <c r="J232" s="36"/>
      <c r="K232" s="36"/>
      <c r="L232" s="36"/>
      <c r="M232" s="36"/>
      <c r="N232" s="3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 spans="1:28" ht="18" customHeight="1">
      <c r="A233" s="1">
        <f t="shared" si="3"/>
        <v>43</v>
      </c>
      <c r="B233" s="1">
        <v>252610449</v>
      </c>
      <c r="C233" s="108" t="s">
        <v>868</v>
      </c>
      <c r="D233" s="33"/>
      <c r="E233" s="93"/>
      <c r="F233" s="127" t="s">
        <v>1</v>
      </c>
      <c r="G233" s="36"/>
      <c r="H233" s="36"/>
      <c r="I233" s="36"/>
      <c r="J233" s="36"/>
      <c r="K233" s="36"/>
      <c r="L233" s="36"/>
      <c r="M233" s="36"/>
      <c r="N233" s="3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 spans="1:28" ht="18" customHeight="1">
      <c r="A234" s="1">
        <f t="shared" si="3"/>
        <v>44</v>
      </c>
      <c r="B234" s="1">
        <v>252610450</v>
      </c>
      <c r="C234" s="108" t="s">
        <v>871</v>
      </c>
      <c r="D234" s="33"/>
      <c r="E234" s="93"/>
      <c r="F234" s="127" t="s">
        <v>3</v>
      </c>
      <c r="G234" s="36"/>
      <c r="H234" s="36"/>
      <c r="I234" s="36"/>
      <c r="J234" s="36"/>
      <c r="K234" s="36"/>
      <c r="L234" s="36"/>
      <c r="M234" s="36"/>
      <c r="N234" s="3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 spans="1:28" ht="15.8" customHeight="1">
      <c r="A235" s="79"/>
      <c r="B235" s="79"/>
      <c r="C235" s="20"/>
      <c r="D235" s="20"/>
      <c r="E235" s="20"/>
      <c r="F235" s="80" t="s">
        <v>1</v>
      </c>
      <c r="G235" s="80"/>
      <c r="H235" s="20"/>
      <c r="I235" s="20"/>
      <c r="J235" s="20"/>
      <c r="K235" s="20"/>
      <c r="L235" s="20"/>
      <c r="M235" s="20"/>
      <c r="N235" s="20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 spans="1:28" ht="15.8" customHeight="1">
      <c r="A236" s="79"/>
      <c r="B236" s="79"/>
      <c r="C236" s="20"/>
      <c r="D236" s="20"/>
      <c r="E236" s="20"/>
      <c r="F236" s="30" t="s">
        <v>3</v>
      </c>
      <c r="G236" s="30"/>
      <c r="H236" s="20"/>
      <c r="I236" s="20"/>
      <c r="J236" s="20"/>
      <c r="K236" s="20"/>
      <c r="L236" s="20"/>
      <c r="M236" s="20"/>
      <c r="N236" s="20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 spans="1:28" ht="15.8" customHeight="1">
      <c r="A237" s="79"/>
      <c r="B237" s="79"/>
      <c r="C237" s="20"/>
      <c r="D237" s="20"/>
      <c r="E237" s="20"/>
      <c r="F237" s="81" t="s">
        <v>251</v>
      </c>
      <c r="G237" s="81"/>
      <c r="H237" s="20"/>
      <c r="I237" s="20"/>
      <c r="J237" s="20"/>
      <c r="K237" s="20"/>
      <c r="L237" s="20"/>
      <c r="M237" s="20"/>
      <c r="N237" s="20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 spans="1:28" ht="15.8" customHeight="1">
      <c r="A238" s="20" t="s">
        <v>275</v>
      </c>
      <c r="B238" s="6"/>
      <c r="C238" s="20"/>
      <c r="D238" s="20"/>
      <c r="E238" s="20"/>
      <c r="F238" s="94"/>
      <c r="G238" s="6"/>
      <c r="H238" s="6"/>
      <c r="I238" s="82" t="s">
        <v>254</v>
      </c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 spans="1:28" ht="15.8" customHeight="1">
      <c r="A239" s="20" t="s">
        <v>280</v>
      </c>
      <c r="B239" s="6"/>
      <c r="C239" s="20"/>
      <c r="D239" s="20"/>
      <c r="E239" s="20" t="s">
        <v>281</v>
      </c>
      <c r="F239" s="94"/>
      <c r="G239" s="6"/>
      <c r="H239" s="6"/>
      <c r="I239" s="6" t="s">
        <v>256</v>
      </c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 spans="1:28" ht="15.8" customHeight="1">
      <c r="A240" s="20"/>
      <c r="B240" s="6"/>
      <c r="C240" s="20"/>
      <c r="D240" s="20"/>
      <c r="E240" s="20"/>
      <c r="F240" s="79"/>
      <c r="G240" s="20"/>
      <c r="H240" s="20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 spans="1:28" ht="15.8" customHeight="1">
      <c r="A241" s="20"/>
      <c r="B241" s="6"/>
      <c r="C241" s="20"/>
      <c r="D241" s="20"/>
      <c r="E241" s="20"/>
      <c r="F241" s="79"/>
      <c r="G241" s="20"/>
      <c r="H241" s="20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</row>
    <row r="242" spans="1:28" ht="15.8" customHeight="1">
      <c r="A242" s="24" t="s">
        <v>890</v>
      </c>
      <c r="B242" s="6"/>
      <c r="C242" s="6"/>
      <c r="D242" s="6"/>
      <c r="E242" s="24" t="s">
        <v>380</v>
      </c>
      <c r="F242" s="94"/>
      <c r="G242" s="6"/>
      <c r="H242" s="20"/>
      <c r="I242" s="87"/>
      <c r="J242" s="87"/>
      <c r="K242" s="87"/>
      <c r="L242" s="87"/>
      <c r="M242" s="87"/>
      <c r="N242" s="87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 spans="1:28" ht="15.8" customHeight="1">
      <c r="A243" s="41" t="s">
        <v>894</v>
      </c>
      <c r="B243" s="41"/>
      <c r="C243" s="20"/>
      <c r="D243" s="20"/>
      <c r="E243" s="82" t="s">
        <v>383</v>
      </c>
      <c r="F243" s="79"/>
      <c r="G243" s="20"/>
      <c r="H243" s="20" t="s">
        <v>266</v>
      </c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 spans="1:28" ht="15.8" customHeight="1">
      <c r="A244" s="6"/>
      <c r="B244" s="6"/>
      <c r="C244" s="6"/>
      <c r="D244" s="6"/>
      <c r="E244" s="6"/>
      <c r="F244" s="94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 spans="1:28" ht="19.55" customHeight="1">
      <c r="A245" s="16" t="s">
        <v>79</v>
      </c>
      <c r="B245" s="16"/>
      <c r="C245" s="4" t="s">
        <v>899</v>
      </c>
      <c r="D245" s="16"/>
      <c r="E245" s="22"/>
      <c r="F245" s="23"/>
      <c r="G245" s="17"/>
      <c r="H245" s="19" t="s">
        <v>82</v>
      </c>
      <c r="I245" s="17"/>
      <c r="J245" s="17"/>
      <c r="K245" s="17"/>
      <c r="L245" s="17"/>
      <c r="M245" s="20"/>
      <c r="N245" s="20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 spans="1:28" ht="9" customHeight="1">
      <c r="A246" s="20"/>
      <c r="B246" s="24"/>
      <c r="C246" s="24"/>
      <c r="D246" s="24"/>
      <c r="E246" s="25"/>
      <c r="F246" s="14"/>
      <c r="G246" s="20"/>
      <c r="H246" s="26"/>
      <c r="I246" s="27"/>
      <c r="J246" s="27"/>
      <c r="K246" s="27"/>
      <c r="L246" s="27"/>
      <c r="M246" s="27"/>
      <c r="N246" s="27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 spans="1:28" ht="15.8" customHeight="1">
      <c r="A247" s="176" t="s">
        <v>84</v>
      </c>
      <c r="B247" s="177"/>
      <c r="C247" s="178" t="s">
        <v>85</v>
      </c>
      <c r="D247" s="179"/>
      <c r="E247" s="180"/>
      <c r="F247" s="184" t="s">
        <v>86</v>
      </c>
      <c r="G247" s="176" t="s">
        <v>87</v>
      </c>
      <c r="H247" s="186"/>
      <c r="I247" s="186"/>
      <c r="J247" s="186"/>
      <c r="K247" s="186"/>
      <c r="L247" s="186"/>
      <c r="M247" s="177"/>
      <c r="N247" s="184" t="s">
        <v>88</v>
      </c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 spans="1:28" ht="15.8" customHeight="1">
      <c r="A248" s="28" t="s">
        <v>90</v>
      </c>
      <c r="B248" s="28" t="s">
        <v>91</v>
      </c>
      <c r="C248" s="199"/>
      <c r="D248" s="200"/>
      <c r="E248" s="201"/>
      <c r="F248" s="185"/>
      <c r="G248" s="28"/>
      <c r="H248" s="28"/>
      <c r="I248" s="28"/>
      <c r="J248" s="28"/>
      <c r="K248" s="28"/>
      <c r="L248" s="28"/>
      <c r="M248" s="28"/>
      <c r="N248" s="185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 spans="1:28" ht="18" customHeight="1">
      <c r="A249" s="1">
        <v>1</v>
      </c>
      <c r="B249" s="31">
        <v>252610451</v>
      </c>
      <c r="C249" s="108" t="s">
        <v>903</v>
      </c>
      <c r="D249" s="33"/>
      <c r="E249" s="93"/>
      <c r="F249" s="109" t="s">
        <v>3</v>
      </c>
      <c r="G249" s="36"/>
      <c r="H249" s="36"/>
      <c r="I249" s="36"/>
      <c r="J249" s="36"/>
      <c r="K249" s="36"/>
      <c r="L249" s="36"/>
      <c r="M249" s="36"/>
      <c r="N249" s="3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 spans="1:28" ht="18" customHeight="1">
      <c r="A250" s="1">
        <f t="shared" ref="A250:A295" si="4">A249+1</f>
        <v>2</v>
      </c>
      <c r="B250" s="1">
        <v>252610498</v>
      </c>
      <c r="C250" s="108" t="s">
        <v>906</v>
      </c>
      <c r="D250" s="33"/>
      <c r="E250" s="93"/>
      <c r="F250" s="109" t="s">
        <v>1</v>
      </c>
      <c r="G250" s="36"/>
      <c r="H250" s="36"/>
      <c r="I250" s="36"/>
      <c r="J250" s="36"/>
      <c r="K250" s="36"/>
      <c r="L250" s="36"/>
      <c r="M250" s="36"/>
      <c r="N250" s="3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 spans="1:28" ht="18" customHeight="1">
      <c r="A251" s="1">
        <f t="shared" si="4"/>
        <v>3</v>
      </c>
      <c r="B251" s="1">
        <v>252610367</v>
      </c>
      <c r="C251" s="108" t="s">
        <v>909</v>
      </c>
      <c r="D251" s="33"/>
      <c r="E251" s="93"/>
      <c r="F251" s="109" t="s">
        <v>1</v>
      </c>
      <c r="G251" s="36"/>
      <c r="H251" s="36"/>
      <c r="I251" s="36"/>
      <c r="J251" s="36"/>
      <c r="K251" s="36"/>
      <c r="L251" s="36"/>
      <c r="M251" s="36"/>
      <c r="N251" s="3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 spans="1:28" ht="18" customHeight="1">
      <c r="A252" s="1">
        <f t="shared" si="4"/>
        <v>4</v>
      </c>
      <c r="B252" s="1">
        <v>252610412</v>
      </c>
      <c r="C252" s="108" t="s">
        <v>913</v>
      </c>
      <c r="D252" s="33"/>
      <c r="E252" s="93"/>
      <c r="F252" s="109" t="s">
        <v>1</v>
      </c>
      <c r="G252" s="36"/>
      <c r="H252" s="36"/>
      <c r="I252" s="36"/>
      <c r="J252" s="36"/>
      <c r="K252" s="36"/>
      <c r="L252" s="36"/>
      <c r="M252" s="36"/>
      <c r="N252" s="3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 spans="1:28" ht="18" customHeight="1">
      <c r="A253" s="1">
        <f t="shared" si="4"/>
        <v>5</v>
      </c>
      <c r="B253" s="1">
        <v>252610144</v>
      </c>
      <c r="C253" s="108" t="s">
        <v>916</v>
      </c>
      <c r="D253" s="33"/>
      <c r="E253" s="93"/>
      <c r="F253" s="109" t="s">
        <v>3</v>
      </c>
      <c r="G253" s="36"/>
      <c r="H253" s="36"/>
      <c r="I253" s="36"/>
      <c r="J253" s="36"/>
      <c r="K253" s="36"/>
      <c r="L253" s="36"/>
      <c r="M253" s="36"/>
      <c r="N253" s="3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 spans="1:28" ht="18" customHeight="1">
      <c r="A254" s="1">
        <f t="shared" si="4"/>
        <v>6</v>
      </c>
      <c r="B254" s="1">
        <v>252610099</v>
      </c>
      <c r="C254" s="108" t="s">
        <v>919</v>
      </c>
      <c r="D254" s="33"/>
      <c r="E254" s="93"/>
      <c r="F254" s="109" t="s">
        <v>3</v>
      </c>
      <c r="G254" s="36"/>
      <c r="H254" s="36"/>
      <c r="I254" s="36"/>
      <c r="J254" s="36"/>
      <c r="K254" s="36"/>
      <c r="L254" s="36"/>
      <c r="M254" s="36"/>
      <c r="N254" s="3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 spans="1:28" ht="18" customHeight="1">
      <c r="A255" s="1">
        <f t="shared" si="4"/>
        <v>7</v>
      </c>
      <c r="B255" s="1">
        <v>252610457</v>
      </c>
      <c r="C255" s="108" t="s">
        <v>922</v>
      </c>
      <c r="D255" s="33"/>
      <c r="E255" s="93"/>
      <c r="F255" s="109" t="s">
        <v>3</v>
      </c>
      <c r="G255" s="36"/>
      <c r="H255" s="36"/>
      <c r="I255" s="36"/>
      <c r="J255" s="36"/>
      <c r="K255" s="36"/>
      <c r="L255" s="36"/>
      <c r="M255" s="36"/>
      <c r="N255" s="3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 spans="1:28" ht="18" customHeight="1">
      <c r="A256" s="1">
        <f t="shared" si="4"/>
        <v>8</v>
      </c>
      <c r="B256" s="1">
        <v>252610327</v>
      </c>
      <c r="C256" s="108" t="s">
        <v>925</v>
      </c>
      <c r="D256" s="33"/>
      <c r="E256" s="93"/>
      <c r="F256" s="109" t="s">
        <v>3</v>
      </c>
      <c r="G256" s="36"/>
      <c r="H256" s="36"/>
      <c r="I256" s="36"/>
      <c r="J256" s="36"/>
      <c r="K256" s="36"/>
      <c r="L256" s="36"/>
      <c r="M256" s="36"/>
      <c r="N256" s="3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 spans="1:28" ht="18" customHeight="1">
      <c r="A257" s="1">
        <f t="shared" si="4"/>
        <v>9</v>
      </c>
      <c r="B257" s="1">
        <v>252610511</v>
      </c>
      <c r="C257" s="108" t="s">
        <v>928</v>
      </c>
      <c r="D257" s="33"/>
      <c r="E257" s="93"/>
      <c r="F257" s="109" t="s">
        <v>1</v>
      </c>
      <c r="G257" s="36"/>
      <c r="H257" s="36"/>
      <c r="I257" s="36"/>
      <c r="J257" s="36"/>
      <c r="K257" s="36"/>
      <c r="L257" s="36"/>
      <c r="M257" s="36"/>
      <c r="N257" s="3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 spans="1:28" ht="18" customHeight="1">
      <c r="A258" s="1">
        <f t="shared" si="4"/>
        <v>10</v>
      </c>
      <c r="B258" s="1">
        <v>252610376</v>
      </c>
      <c r="C258" s="108" t="s">
        <v>930</v>
      </c>
      <c r="D258" s="33"/>
      <c r="E258" s="93"/>
      <c r="F258" s="109" t="s">
        <v>1</v>
      </c>
      <c r="G258" s="36"/>
      <c r="H258" s="36"/>
      <c r="I258" s="36"/>
      <c r="J258" s="36"/>
      <c r="K258" s="36"/>
      <c r="L258" s="36"/>
      <c r="M258" s="36"/>
      <c r="N258" s="3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 spans="1:28" ht="18" customHeight="1">
      <c r="A259" s="1">
        <f t="shared" si="4"/>
        <v>11</v>
      </c>
      <c r="B259" s="1">
        <v>252610283</v>
      </c>
      <c r="C259" s="108" t="s">
        <v>933</v>
      </c>
      <c r="D259" s="33"/>
      <c r="E259" s="93"/>
      <c r="F259" s="109" t="s">
        <v>3</v>
      </c>
      <c r="G259" s="36"/>
      <c r="H259" s="36"/>
      <c r="I259" s="36"/>
      <c r="J259" s="36"/>
      <c r="K259" s="36"/>
      <c r="L259" s="36"/>
      <c r="M259" s="36"/>
      <c r="N259" s="3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 spans="1:28" ht="18" customHeight="1">
      <c r="A260" s="1">
        <f t="shared" si="4"/>
        <v>12</v>
      </c>
      <c r="B260" s="1">
        <v>252610423</v>
      </c>
      <c r="C260" s="108" t="s">
        <v>936</v>
      </c>
      <c r="D260" s="33"/>
      <c r="E260" s="93"/>
      <c r="F260" s="109" t="s">
        <v>1</v>
      </c>
      <c r="G260" s="36"/>
      <c r="H260" s="36"/>
      <c r="I260" s="36"/>
      <c r="J260" s="36"/>
      <c r="K260" s="36"/>
      <c r="L260" s="36"/>
      <c r="M260" s="36"/>
      <c r="N260" s="3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 spans="1:28" ht="18" customHeight="1">
      <c r="A261" s="1">
        <f t="shared" si="4"/>
        <v>13</v>
      </c>
      <c r="B261" s="1">
        <v>252610193</v>
      </c>
      <c r="C261" s="108" t="s">
        <v>939</v>
      </c>
      <c r="D261" s="33"/>
      <c r="E261" s="93"/>
      <c r="F261" s="109" t="s">
        <v>3</v>
      </c>
      <c r="G261" s="36"/>
      <c r="H261" s="36"/>
      <c r="I261" s="36"/>
      <c r="J261" s="36"/>
      <c r="K261" s="36"/>
      <c r="L261" s="36"/>
      <c r="M261" s="36"/>
      <c r="N261" s="3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 spans="1:28" ht="18" customHeight="1">
      <c r="A262" s="1">
        <f t="shared" si="4"/>
        <v>14</v>
      </c>
      <c r="B262" s="1">
        <v>252610194</v>
      </c>
      <c r="C262" s="108" t="s">
        <v>942</v>
      </c>
      <c r="D262" s="33"/>
      <c r="E262" s="93"/>
      <c r="F262" s="109" t="s">
        <v>1</v>
      </c>
      <c r="G262" s="36"/>
      <c r="H262" s="36"/>
      <c r="I262" s="36"/>
      <c r="J262" s="36"/>
      <c r="K262" s="36"/>
      <c r="L262" s="36"/>
      <c r="M262" s="36"/>
      <c r="N262" s="3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 spans="1:28" ht="18" customHeight="1">
      <c r="A263" s="1">
        <f t="shared" si="4"/>
        <v>15</v>
      </c>
      <c r="B263" s="1">
        <v>252610160</v>
      </c>
      <c r="C263" s="108" t="s">
        <v>945</v>
      </c>
      <c r="D263" s="33"/>
      <c r="E263" s="93"/>
      <c r="F263" s="109" t="s">
        <v>1</v>
      </c>
      <c r="G263" s="36"/>
      <c r="H263" s="36"/>
      <c r="I263" s="36"/>
      <c r="J263" s="36"/>
      <c r="K263" s="36"/>
      <c r="L263" s="36"/>
      <c r="M263" s="36"/>
      <c r="N263" s="3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 spans="1:28" ht="18" customHeight="1">
      <c r="A264" s="1">
        <f t="shared" si="4"/>
        <v>16</v>
      </c>
      <c r="B264" s="1">
        <v>252610245</v>
      </c>
      <c r="C264" s="108" t="s">
        <v>947</v>
      </c>
      <c r="D264" s="33"/>
      <c r="E264" s="93"/>
      <c r="F264" s="109" t="s">
        <v>1</v>
      </c>
      <c r="G264" s="36"/>
      <c r="H264" s="36"/>
      <c r="I264" s="36"/>
      <c r="J264" s="36"/>
      <c r="K264" s="36"/>
      <c r="L264" s="36"/>
      <c r="M264" s="36"/>
      <c r="N264" s="3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 spans="1:28" ht="18" customHeight="1">
      <c r="A265" s="1">
        <f t="shared" si="4"/>
        <v>17</v>
      </c>
      <c r="B265" s="1">
        <v>252610339</v>
      </c>
      <c r="C265" s="108" t="s">
        <v>949</v>
      </c>
      <c r="D265" s="33"/>
      <c r="E265" s="93"/>
      <c r="F265" s="109" t="s">
        <v>3</v>
      </c>
      <c r="G265" s="36"/>
      <c r="H265" s="36"/>
      <c r="I265" s="36"/>
      <c r="J265" s="36"/>
      <c r="K265" s="36"/>
      <c r="L265" s="36"/>
      <c r="M265" s="36"/>
      <c r="N265" s="3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 spans="1:28" ht="18" customHeight="1">
      <c r="A266" s="1">
        <f t="shared" si="4"/>
        <v>18</v>
      </c>
      <c r="B266" s="1">
        <v>252610247</v>
      </c>
      <c r="C266" s="108" t="s">
        <v>951</v>
      </c>
      <c r="D266" s="33"/>
      <c r="E266" s="93"/>
      <c r="F266" s="109" t="s">
        <v>1</v>
      </c>
      <c r="G266" s="36"/>
      <c r="H266" s="36"/>
      <c r="I266" s="36"/>
      <c r="J266" s="36"/>
      <c r="K266" s="36"/>
      <c r="L266" s="36"/>
      <c r="M266" s="36"/>
      <c r="N266" s="3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 spans="1:28" ht="18" customHeight="1">
      <c r="A267" s="1">
        <f t="shared" si="4"/>
        <v>19</v>
      </c>
      <c r="B267" s="1">
        <v>252610341</v>
      </c>
      <c r="C267" s="108" t="s">
        <v>953</v>
      </c>
      <c r="D267" s="33"/>
      <c r="E267" s="93"/>
      <c r="F267" s="109" t="s">
        <v>3</v>
      </c>
      <c r="G267" s="36"/>
      <c r="H267" s="36"/>
      <c r="I267" s="36"/>
      <c r="J267" s="36"/>
      <c r="K267" s="36"/>
      <c r="L267" s="36"/>
      <c r="M267" s="36"/>
      <c r="N267" s="1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 spans="1:28" ht="18" customHeight="1">
      <c r="A268" s="1">
        <f t="shared" si="4"/>
        <v>20</v>
      </c>
      <c r="B268" s="1">
        <v>252610292</v>
      </c>
      <c r="C268" s="108" t="s">
        <v>955</v>
      </c>
      <c r="D268" s="33"/>
      <c r="E268" s="93"/>
      <c r="F268" s="109" t="s">
        <v>3</v>
      </c>
      <c r="G268" s="36"/>
      <c r="H268" s="36"/>
      <c r="I268" s="36"/>
      <c r="J268" s="36"/>
      <c r="K268" s="36"/>
      <c r="L268" s="36"/>
      <c r="M268" s="36"/>
      <c r="N268" s="3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 spans="1:28" ht="18" customHeight="1">
      <c r="A269" s="1">
        <f t="shared" si="4"/>
        <v>21</v>
      </c>
      <c r="B269" s="1"/>
      <c r="C269" s="112" t="s">
        <v>957</v>
      </c>
      <c r="D269" s="33"/>
      <c r="E269" s="93"/>
      <c r="F269" s="109" t="s">
        <v>3</v>
      </c>
      <c r="G269" s="36"/>
      <c r="H269" s="36"/>
      <c r="I269" s="36"/>
      <c r="J269" s="36"/>
      <c r="K269" s="36"/>
      <c r="L269" s="36"/>
      <c r="M269" s="36"/>
      <c r="N269" s="3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 spans="1:28" ht="18" customHeight="1">
      <c r="A270" s="1">
        <f t="shared" si="4"/>
        <v>22</v>
      </c>
      <c r="B270" s="1">
        <v>252610164</v>
      </c>
      <c r="C270" s="108" t="s">
        <v>959</v>
      </c>
      <c r="D270" s="33"/>
      <c r="E270" s="93"/>
      <c r="F270" s="109" t="s">
        <v>1</v>
      </c>
      <c r="G270" s="36"/>
      <c r="H270" s="36"/>
      <c r="I270" s="36"/>
      <c r="J270" s="36"/>
      <c r="K270" s="36"/>
      <c r="L270" s="36"/>
      <c r="M270" s="36"/>
      <c r="N270" s="3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 spans="1:28" ht="18" customHeight="1">
      <c r="A271" s="1">
        <f t="shared" si="4"/>
        <v>23</v>
      </c>
      <c r="B271" s="1">
        <v>252610475</v>
      </c>
      <c r="C271" s="108" t="s">
        <v>962</v>
      </c>
      <c r="D271" s="33"/>
      <c r="E271" s="93"/>
      <c r="F271" s="109" t="s">
        <v>1</v>
      </c>
      <c r="G271" s="36"/>
      <c r="H271" s="36"/>
      <c r="I271" s="36"/>
      <c r="J271" s="36"/>
      <c r="K271" s="36"/>
      <c r="L271" s="36"/>
      <c r="M271" s="36"/>
      <c r="N271" s="3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</row>
    <row r="272" spans="1:28" ht="18" customHeight="1">
      <c r="A272" s="1">
        <f t="shared" si="4"/>
        <v>24</v>
      </c>
      <c r="B272" s="1">
        <v>252610386</v>
      </c>
      <c r="C272" s="108" t="s">
        <v>964</v>
      </c>
      <c r="D272" s="33"/>
      <c r="E272" s="93"/>
      <c r="F272" s="109" t="s">
        <v>3</v>
      </c>
      <c r="G272" s="36"/>
      <c r="H272" s="36"/>
      <c r="I272" s="36"/>
      <c r="J272" s="36"/>
      <c r="K272" s="36"/>
      <c r="L272" s="36"/>
      <c r="M272" s="36"/>
      <c r="N272" s="3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 spans="1:28" ht="18" customHeight="1">
      <c r="A273" s="1">
        <f t="shared" si="4"/>
        <v>25</v>
      </c>
      <c r="B273" s="1">
        <v>252610527</v>
      </c>
      <c r="C273" s="108" t="s">
        <v>966</v>
      </c>
      <c r="D273" s="33"/>
      <c r="E273" s="93"/>
      <c r="F273" s="109" t="s">
        <v>1</v>
      </c>
      <c r="G273" s="36"/>
      <c r="H273" s="36"/>
      <c r="I273" s="36"/>
      <c r="J273" s="36"/>
      <c r="K273" s="36"/>
      <c r="L273" s="36"/>
      <c r="M273" s="36"/>
      <c r="N273" s="3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 spans="1:28" ht="18" customHeight="1">
      <c r="A274" s="1">
        <f t="shared" si="4"/>
        <v>26</v>
      </c>
      <c r="B274" s="1">
        <v>252610528</v>
      </c>
      <c r="C274" s="108" t="s">
        <v>969</v>
      </c>
      <c r="D274" s="33"/>
      <c r="E274" s="93"/>
      <c r="F274" s="109" t="s">
        <v>1</v>
      </c>
      <c r="G274" s="36"/>
      <c r="H274" s="36"/>
      <c r="I274" s="36"/>
      <c r="J274" s="36"/>
      <c r="K274" s="36"/>
      <c r="L274" s="36"/>
      <c r="M274" s="36"/>
      <c r="N274" s="3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 spans="1:28" ht="18" customHeight="1">
      <c r="A275" s="1">
        <f t="shared" si="4"/>
        <v>27</v>
      </c>
      <c r="B275" s="1">
        <v>252610202</v>
      </c>
      <c r="C275" s="108" t="s">
        <v>971</v>
      </c>
      <c r="D275" s="33"/>
      <c r="E275" s="93"/>
      <c r="F275" s="109" t="s">
        <v>1</v>
      </c>
      <c r="G275" s="36"/>
      <c r="H275" s="36"/>
      <c r="I275" s="36"/>
      <c r="J275" s="36"/>
      <c r="K275" s="36"/>
      <c r="L275" s="36"/>
      <c r="M275" s="36"/>
      <c r="N275" s="3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 spans="1:28" ht="18" customHeight="1">
      <c r="A276" s="1">
        <f t="shared" si="4"/>
        <v>28</v>
      </c>
      <c r="B276" s="1">
        <v>252610349</v>
      </c>
      <c r="C276" s="108" t="s">
        <v>972</v>
      </c>
      <c r="D276" s="33"/>
      <c r="E276" s="93"/>
      <c r="F276" s="109" t="s">
        <v>1</v>
      </c>
      <c r="G276" s="36"/>
      <c r="H276" s="36"/>
      <c r="I276" s="36"/>
      <c r="J276" s="36"/>
      <c r="K276" s="36"/>
      <c r="L276" s="36"/>
      <c r="M276" s="36"/>
      <c r="N276" s="3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 spans="1:28" ht="18" customHeight="1">
      <c r="A277" s="1">
        <f t="shared" si="4"/>
        <v>29</v>
      </c>
      <c r="B277" s="1">
        <v>252610438</v>
      </c>
      <c r="C277" s="108" t="s">
        <v>974</v>
      </c>
      <c r="D277" s="33"/>
      <c r="E277" s="93"/>
      <c r="F277" s="109" t="s">
        <v>1</v>
      </c>
      <c r="G277" s="36"/>
      <c r="H277" s="36"/>
      <c r="I277" s="36"/>
      <c r="J277" s="36"/>
      <c r="K277" s="36"/>
      <c r="L277" s="36"/>
      <c r="M277" s="36"/>
      <c r="N277" s="3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 spans="1:28" ht="18" customHeight="1">
      <c r="A278" s="1">
        <f t="shared" si="4"/>
        <v>30</v>
      </c>
      <c r="B278" s="1">
        <v>252610302</v>
      </c>
      <c r="C278" s="108" t="s">
        <v>977</v>
      </c>
      <c r="D278" s="33"/>
      <c r="E278" s="93"/>
      <c r="F278" s="109" t="s">
        <v>1</v>
      </c>
      <c r="G278" s="36"/>
      <c r="H278" s="36"/>
      <c r="I278" s="36"/>
      <c r="J278" s="36"/>
      <c r="K278" s="36"/>
      <c r="L278" s="36"/>
      <c r="M278" s="36"/>
      <c r="N278" s="3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 spans="1:28" ht="18" customHeight="1">
      <c r="A279" s="123">
        <f t="shared" si="4"/>
        <v>31</v>
      </c>
      <c r="B279" s="123">
        <v>252610354</v>
      </c>
      <c r="C279" s="108" t="s">
        <v>979</v>
      </c>
      <c r="D279" s="33"/>
      <c r="E279" s="93"/>
      <c r="F279" s="109" t="s">
        <v>3</v>
      </c>
      <c r="G279" s="78"/>
      <c r="H279" s="78"/>
      <c r="I279" s="78"/>
      <c r="J279" s="78"/>
      <c r="K279" s="78"/>
      <c r="L279" s="78"/>
      <c r="M279" s="78"/>
      <c r="N279" s="78"/>
      <c r="O279" s="21"/>
      <c r="P279" s="123" t="s">
        <v>982</v>
      </c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</row>
    <row r="280" spans="1:28" ht="18" customHeight="1">
      <c r="A280" s="1">
        <f t="shared" si="4"/>
        <v>32</v>
      </c>
      <c r="B280" s="1">
        <v>252610482</v>
      </c>
      <c r="C280" s="108" t="s">
        <v>984</v>
      </c>
      <c r="D280" s="33"/>
      <c r="E280" s="93"/>
      <c r="F280" s="109" t="s">
        <v>3</v>
      </c>
      <c r="G280" s="36"/>
      <c r="H280" s="36"/>
      <c r="I280" s="36"/>
      <c r="J280" s="36"/>
      <c r="K280" s="36"/>
      <c r="L280" s="36"/>
      <c r="M280" s="36"/>
      <c r="N280" s="3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 spans="1:28" ht="18" customHeight="1">
      <c r="A281" s="1">
        <f t="shared" si="4"/>
        <v>33</v>
      </c>
      <c r="B281" s="1">
        <v>252610441</v>
      </c>
      <c r="C281" s="108" t="s">
        <v>987</v>
      </c>
      <c r="D281" s="33"/>
      <c r="E281" s="93"/>
      <c r="F281" s="109" t="s">
        <v>3</v>
      </c>
      <c r="G281" s="36"/>
      <c r="H281" s="36"/>
      <c r="I281" s="36"/>
      <c r="J281" s="36"/>
      <c r="K281" s="36"/>
      <c r="L281" s="36"/>
      <c r="M281" s="36"/>
      <c r="N281" s="3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 spans="1:28" ht="18" customHeight="1">
      <c r="A282" s="1">
        <f t="shared" si="4"/>
        <v>34</v>
      </c>
      <c r="B282" s="1">
        <v>252610483</v>
      </c>
      <c r="C282" s="108" t="s">
        <v>990</v>
      </c>
      <c r="D282" s="33"/>
      <c r="E282" s="93"/>
      <c r="F282" s="109" t="s">
        <v>3</v>
      </c>
      <c r="G282" s="36"/>
      <c r="H282" s="36"/>
      <c r="I282" s="36"/>
      <c r="J282" s="36"/>
      <c r="K282" s="36"/>
      <c r="L282" s="36"/>
      <c r="M282" s="36"/>
      <c r="N282" s="3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 spans="1:28" ht="18" customHeight="1">
      <c r="A283" s="1">
        <f t="shared" si="4"/>
        <v>35</v>
      </c>
      <c r="B283" s="1">
        <v>252610124</v>
      </c>
      <c r="C283" s="108" t="s">
        <v>993</v>
      </c>
      <c r="D283" s="33"/>
      <c r="E283" s="93"/>
      <c r="F283" s="109" t="s">
        <v>3</v>
      </c>
      <c r="G283" s="36"/>
      <c r="H283" s="36"/>
      <c r="I283" s="36"/>
      <c r="J283" s="36"/>
      <c r="K283" s="36"/>
      <c r="L283" s="36"/>
      <c r="M283" s="36"/>
      <c r="N283" s="3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 spans="1:28" ht="18" customHeight="1">
      <c r="A284" s="83">
        <f t="shared" si="4"/>
        <v>36</v>
      </c>
      <c r="B284" s="1">
        <v>252610306</v>
      </c>
      <c r="C284" s="108" t="s">
        <v>996</v>
      </c>
      <c r="D284" s="33"/>
      <c r="E284" s="93"/>
      <c r="F284" s="109" t="s">
        <v>3</v>
      </c>
      <c r="G284" s="85"/>
      <c r="H284" s="85"/>
      <c r="I284" s="85"/>
      <c r="J284" s="85"/>
      <c r="K284" s="85"/>
      <c r="L284" s="85"/>
      <c r="M284" s="85"/>
      <c r="N284" s="85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 spans="1:28" ht="18" customHeight="1">
      <c r="A285" s="1">
        <f t="shared" si="4"/>
        <v>37</v>
      </c>
      <c r="B285" s="1">
        <v>252610443</v>
      </c>
      <c r="C285" s="108" t="s">
        <v>999</v>
      </c>
      <c r="D285" s="33"/>
      <c r="E285" s="93"/>
      <c r="F285" s="109" t="s">
        <v>3</v>
      </c>
      <c r="G285" s="36"/>
      <c r="H285" s="36"/>
      <c r="I285" s="36"/>
      <c r="J285" s="36"/>
      <c r="K285" s="36"/>
      <c r="L285" s="36"/>
      <c r="M285" s="36"/>
      <c r="N285" s="3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 spans="1:28" ht="18" customHeight="1">
      <c r="A286" s="1">
        <f t="shared" si="4"/>
        <v>38</v>
      </c>
      <c r="B286" s="1">
        <v>252610129</v>
      </c>
      <c r="C286" s="108" t="s">
        <v>1002</v>
      </c>
      <c r="D286" s="33"/>
      <c r="E286" s="93"/>
      <c r="F286" s="109" t="s">
        <v>1</v>
      </c>
      <c r="G286" s="36"/>
      <c r="H286" s="36"/>
      <c r="I286" s="36"/>
      <c r="J286" s="36"/>
      <c r="K286" s="36"/>
      <c r="L286" s="36"/>
      <c r="M286" s="36"/>
      <c r="N286" s="3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 spans="1:28" ht="18" customHeight="1">
      <c r="A287" s="1">
        <f t="shared" si="4"/>
        <v>39</v>
      </c>
      <c r="B287" s="1">
        <v>252610079</v>
      </c>
      <c r="C287" s="108" t="s">
        <v>1005</v>
      </c>
      <c r="D287" s="33"/>
      <c r="E287" s="93"/>
      <c r="F287" s="109" t="s">
        <v>3</v>
      </c>
      <c r="G287" s="36"/>
      <c r="H287" s="36"/>
      <c r="I287" s="36"/>
      <c r="J287" s="36"/>
      <c r="K287" s="36"/>
      <c r="L287" s="36"/>
      <c r="M287" s="36"/>
      <c r="N287" s="3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 spans="1:28" ht="18" customHeight="1">
      <c r="A288" s="83">
        <f t="shared" si="4"/>
        <v>40</v>
      </c>
      <c r="B288" s="1">
        <v>252610213</v>
      </c>
      <c r="C288" s="108" t="s">
        <v>1008</v>
      </c>
      <c r="D288" s="33"/>
      <c r="E288" s="93"/>
      <c r="F288" s="109" t="s">
        <v>1</v>
      </c>
      <c r="G288" s="36"/>
      <c r="H288" s="36"/>
      <c r="I288" s="36"/>
      <c r="J288" s="36"/>
      <c r="K288" s="36"/>
      <c r="L288" s="36"/>
      <c r="M288" s="36"/>
      <c r="N288" s="3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 spans="1:28" ht="18" customHeight="1">
      <c r="A289" s="1">
        <f t="shared" si="4"/>
        <v>41</v>
      </c>
      <c r="B289" s="1">
        <v>252610487</v>
      </c>
      <c r="C289" s="108" t="s">
        <v>1011</v>
      </c>
      <c r="D289" s="33"/>
      <c r="E289" s="93"/>
      <c r="F289" s="109" t="s">
        <v>1</v>
      </c>
      <c r="G289" s="36"/>
      <c r="H289" s="36"/>
      <c r="I289" s="36"/>
      <c r="J289" s="36"/>
      <c r="K289" s="36"/>
      <c r="L289" s="36"/>
      <c r="M289" s="36"/>
      <c r="N289" s="3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</row>
    <row r="290" spans="1:28" ht="18" customHeight="1">
      <c r="A290" s="1">
        <f t="shared" si="4"/>
        <v>42</v>
      </c>
      <c r="B290" s="1">
        <v>252610538</v>
      </c>
      <c r="C290" s="108" t="s">
        <v>1014</v>
      </c>
      <c r="D290" s="33"/>
      <c r="E290" s="93"/>
      <c r="F290" s="109" t="s">
        <v>1</v>
      </c>
      <c r="G290" s="36"/>
      <c r="H290" s="36"/>
      <c r="I290" s="36"/>
      <c r="J290" s="36"/>
      <c r="K290" s="36"/>
      <c r="L290" s="36"/>
      <c r="M290" s="36"/>
      <c r="N290" s="3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 spans="1:28" ht="18" customHeight="1">
      <c r="A291" s="1">
        <f t="shared" si="4"/>
        <v>43</v>
      </c>
      <c r="B291" s="1">
        <v>252610361</v>
      </c>
      <c r="C291" s="108" t="s">
        <v>1017</v>
      </c>
      <c r="D291" s="33"/>
      <c r="E291" s="93"/>
      <c r="F291" s="109" t="s">
        <v>1</v>
      </c>
      <c r="G291" s="36"/>
      <c r="H291" s="36"/>
      <c r="I291" s="36"/>
      <c r="J291" s="36"/>
      <c r="K291" s="36"/>
      <c r="L291" s="36"/>
      <c r="M291" s="36"/>
      <c r="N291" s="3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</row>
    <row r="292" spans="1:28" ht="18" customHeight="1">
      <c r="A292" s="83">
        <f t="shared" si="4"/>
        <v>44</v>
      </c>
      <c r="B292" s="1">
        <v>252610364</v>
      </c>
      <c r="C292" s="108" t="s">
        <v>1020</v>
      </c>
      <c r="D292" s="33"/>
      <c r="E292" s="93"/>
      <c r="F292" s="109" t="s">
        <v>3</v>
      </c>
      <c r="G292" s="36"/>
      <c r="H292" s="36"/>
      <c r="I292" s="36"/>
      <c r="J292" s="36"/>
      <c r="K292" s="36"/>
      <c r="L292" s="36"/>
      <c r="M292" s="36"/>
      <c r="N292" s="3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 spans="1:28" ht="18" customHeight="1">
      <c r="A293" s="1">
        <f t="shared" si="4"/>
        <v>45</v>
      </c>
      <c r="B293" s="1">
        <v>252610270</v>
      </c>
      <c r="C293" s="108" t="s">
        <v>1022</v>
      </c>
      <c r="D293" s="33"/>
      <c r="E293" s="93"/>
      <c r="F293" s="109" t="s">
        <v>1</v>
      </c>
      <c r="G293" s="36"/>
      <c r="H293" s="36"/>
      <c r="I293" s="36"/>
      <c r="J293" s="36"/>
      <c r="K293" s="36"/>
      <c r="L293" s="36"/>
      <c r="M293" s="36"/>
      <c r="N293" s="3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</row>
    <row r="294" spans="1:28" ht="18" customHeight="1">
      <c r="A294" s="1">
        <f t="shared" si="4"/>
        <v>46</v>
      </c>
      <c r="B294" s="1"/>
      <c r="C294" s="108"/>
      <c r="D294" s="33"/>
      <c r="E294" s="93"/>
      <c r="F294" s="102"/>
      <c r="G294" s="36"/>
      <c r="H294" s="36"/>
      <c r="I294" s="36"/>
      <c r="J294" s="36"/>
      <c r="K294" s="36"/>
      <c r="L294" s="36"/>
      <c r="M294" s="36"/>
      <c r="N294" s="3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 spans="1:28" ht="18" customHeight="1">
      <c r="A295" s="1">
        <f t="shared" si="4"/>
        <v>47</v>
      </c>
      <c r="B295" s="1"/>
      <c r="C295" s="108"/>
      <c r="D295" s="33"/>
      <c r="E295" s="93"/>
      <c r="F295" s="102"/>
      <c r="G295" s="36"/>
      <c r="H295" s="36"/>
      <c r="I295" s="36"/>
      <c r="J295" s="36"/>
      <c r="K295" s="36"/>
      <c r="L295" s="36"/>
      <c r="M295" s="36"/>
      <c r="N295" s="3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</row>
    <row r="296" spans="1:28" ht="15.8" customHeight="1">
      <c r="A296" s="79"/>
      <c r="B296" s="79"/>
      <c r="C296" s="20"/>
      <c r="D296" s="20"/>
      <c r="E296" s="20"/>
      <c r="F296" s="80" t="s">
        <v>1</v>
      </c>
      <c r="G296" s="80">
        <f>COUNTIF(F249:F295,"L")</f>
        <v>24</v>
      </c>
      <c r="H296" s="20"/>
      <c r="I296" s="20"/>
      <c r="J296" s="20"/>
      <c r="K296" s="20"/>
      <c r="L296" s="20"/>
      <c r="M296" s="20"/>
      <c r="N296" s="20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 spans="1:28" ht="15.8" customHeight="1">
      <c r="A297" s="79"/>
      <c r="B297" s="79"/>
      <c r="C297" s="20"/>
      <c r="D297" s="20"/>
      <c r="E297" s="20"/>
      <c r="F297" s="30" t="s">
        <v>3</v>
      </c>
      <c r="G297" s="30">
        <f>COUNTIF(F249:F295,"P")</f>
        <v>21</v>
      </c>
      <c r="H297" s="20"/>
      <c r="I297" s="20"/>
      <c r="J297" s="20"/>
      <c r="K297" s="20"/>
      <c r="L297" s="20"/>
      <c r="M297" s="20"/>
      <c r="N297" s="20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r="298" spans="1:28" ht="15.8" customHeight="1">
      <c r="A298" s="79"/>
      <c r="B298" s="79"/>
      <c r="C298" s="20"/>
      <c r="D298" s="20"/>
      <c r="E298" s="20"/>
      <c r="F298" s="81" t="s">
        <v>251</v>
      </c>
      <c r="G298" s="81">
        <f>SUM(G296:G297)</f>
        <v>45</v>
      </c>
      <c r="H298" s="20"/>
      <c r="I298" s="20"/>
      <c r="J298" s="20"/>
      <c r="K298" s="20"/>
      <c r="L298" s="20"/>
      <c r="M298" s="20"/>
      <c r="N298" s="20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 spans="1:28" ht="15.8" customHeight="1">
      <c r="A299" s="20" t="s">
        <v>275</v>
      </c>
      <c r="B299" s="6"/>
      <c r="C299" s="20"/>
      <c r="D299" s="20"/>
      <c r="E299" s="20"/>
      <c r="F299" s="94"/>
      <c r="G299" s="6"/>
      <c r="H299" s="6"/>
      <c r="I299" s="82" t="s">
        <v>254</v>
      </c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 spans="1:28" ht="15.8" customHeight="1">
      <c r="A300" s="20" t="s">
        <v>280</v>
      </c>
      <c r="B300" s="6"/>
      <c r="C300" s="20"/>
      <c r="D300" s="20"/>
      <c r="E300" s="20" t="s">
        <v>281</v>
      </c>
      <c r="F300" s="94"/>
      <c r="G300" s="6"/>
      <c r="H300" s="6"/>
      <c r="I300" s="6" t="s">
        <v>256</v>
      </c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 spans="1:28" ht="15.8" customHeight="1">
      <c r="A301" s="20"/>
      <c r="B301" s="6"/>
      <c r="C301" s="20"/>
      <c r="D301" s="20"/>
      <c r="E301" s="20"/>
      <c r="F301" s="79"/>
      <c r="G301" s="20"/>
      <c r="H301" s="20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</row>
    <row r="302" spans="1:28" ht="15.8" customHeight="1">
      <c r="A302" s="20"/>
      <c r="B302" s="6"/>
      <c r="C302" s="20"/>
      <c r="D302" s="20"/>
      <c r="E302" s="20"/>
      <c r="F302" s="79"/>
      <c r="G302" s="20"/>
      <c r="H302" s="20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 spans="1:28" ht="15.8" customHeight="1">
      <c r="A303" s="131" t="s">
        <v>1043</v>
      </c>
      <c r="B303" s="6"/>
      <c r="C303" s="6"/>
      <c r="D303" s="6"/>
      <c r="E303" s="24" t="s">
        <v>380</v>
      </c>
      <c r="F303" s="94"/>
      <c r="G303" s="6"/>
      <c r="H303" s="20"/>
      <c r="I303" s="87"/>
      <c r="J303" s="87"/>
      <c r="K303" s="87"/>
      <c r="L303" s="87"/>
      <c r="M303" s="87"/>
      <c r="N303" s="87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r="304" spans="1:28" ht="15.8" customHeight="1">
      <c r="A304" s="41" t="s">
        <v>1046</v>
      </c>
      <c r="B304" s="41"/>
      <c r="C304" s="20"/>
      <c r="D304" s="20"/>
      <c r="E304" s="82" t="s">
        <v>383</v>
      </c>
      <c r="F304" s="79"/>
      <c r="G304" s="20"/>
      <c r="H304" s="20" t="s">
        <v>266</v>
      </c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 spans="1:28" ht="15.8" customHeight="1">
      <c r="A305" s="43"/>
      <c r="B305" s="44"/>
      <c r="C305" s="44"/>
      <c r="D305" s="44"/>
      <c r="E305" s="44"/>
      <c r="F305" s="45"/>
      <c r="G305" s="46"/>
      <c r="H305" s="46"/>
      <c r="I305" s="44"/>
      <c r="J305" s="44"/>
      <c r="K305" s="44"/>
      <c r="L305" s="44"/>
      <c r="M305" s="44"/>
      <c r="N305" s="44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r="306" spans="1:28" ht="19.55" customHeight="1">
      <c r="A306" s="16" t="s">
        <v>79</v>
      </c>
      <c r="B306" s="16"/>
      <c r="C306" s="4" t="s">
        <v>1048</v>
      </c>
      <c r="D306" s="16"/>
      <c r="E306" s="22"/>
      <c r="F306" s="23"/>
      <c r="G306" s="17"/>
      <c r="H306" s="19" t="s">
        <v>82</v>
      </c>
      <c r="I306" s="17"/>
      <c r="J306" s="17"/>
      <c r="K306" s="17"/>
      <c r="L306" s="17"/>
      <c r="M306" s="20"/>
      <c r="N306" s="20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 spans="1:28" ht="9" customHeight="1">
      <c r="A307" s="20"/>
      <c r="B307" s="24"/>
      <c r="C307" s="24"/>
      <c r="D307" s="24"/>
      <c r="E307" s="25"/>
      <c r="F307" s="14"/>
      <c r="G307" s="20"/>
      <c r="H307" s="26"/>
      <c r="I307" s="27"/>
      <c r="J307" s="27"/>
      <c r="K307" s="27"/>
      <c r="L307" s="27"/>
      <c r="M307" s="27"/>
      <c r="N307" s="27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</row>
    <row r="308" spans="1:28" ht="15.8" customHeight="1">
      <c r="A308" s="176" t="s">
        <v>84</v>
      </c>
      <c r="B308" s="177"/>
      <c r="C308" s="178" t="s">
        <v>85</v>
      </c>
      <c r="D308" s="179"/>
      <c r="E308" s="180"/>
      <c r="F308" s="184" t="s">
        <v>86</v>
      </c>
      <c r="G308" s="176" t="s">
        <v>87</v>
      </c>
      <c r="H308" s="186"/>
      <c r="I308" s="186"/>
      <c r="J308" s="186"/>
      <c r="K308" s="186"/>
      <c r="L308" s="186"/>
      <c r="M308" s="177"/>
      <c r="N308" s="184" t="s">
        <v>88</v>
      </c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 spans="1:28" ht="15.8" customHeight="1">
      <c r="A309" s="28" t="s">
        <v>90</v>
      </c>
      <c r="B309" s="28" t="s">
        <v>91</v>
      </c>
      <c r="C309" s="199"/>
      <c r="D309" s="200"/>
      <c r="E309" s="201"/>
      <c r="F309" s="185"/>
      <c r="G309" s="28"/>
      <c r="H309" s="28"/>
      <c r="I309" s="28"/>
      <c r="J309" s="28"/>
      <c r="K309" s="28"/>
      <c r="L309" s="28"/>
      <c r="M309" s="28"/>
      <c r="N309" s="185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</row>
    <row r="310" spans="1:28" ht="18" customHeight="1">
      <c r="A310" s="1">
        <v>1</v>
      </c>
      <c r="B310" s="31">
        <v>252610140</v>
      </c>
      <c r="C310" s="108" t="s">
        <v>1056</v>
      </c>
      <c r="D310" s="33"/>
      <c r="E310" s="93"/>
      <c r="F310" s="109" t="s">
        <v>1</v>
      </c>
      <c r="G310" s="36"/>
      <c r="H310" s="36"/>
      <c r="I310" s="36"/>
      <c r="J310" s="36"/>
      <c r="K310" s="36"/>
      <c r="L310" s="36"/>
      <c r="M310" s="36"/>
      <c r="N310" s="3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</row>
    <row r="311" spans="1:28" ht="18" customHeight="1">
      <c r="A311" s="1">
        <f t="shared" ref="A311:A353" si="5">A310+1</f>
        <v>2</v>
      </c>
      <c r="B311" s="1">
        <v>252610454</v>
      </c>
      <c r="C311" s="108" t="s">
        <v>1057</v>
      </c>
      <c r="D311" s="33"/>
      <c r="E311" s="93"/>
      <c r="F311" s="109" t="s">
        <v>1</v>
      </c>
      <c r="G311" s="36"/>
      <c r="H311" s="36"/>
      <c r="I311" s="36"/>
      <c r="J311" s="36"/>
      <c r="K311" s="36"/>
      <c r="L311" s="36"/>
      <c r="M311" s="36"/>
      <c r="N311" s="3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</row>
    <row r="312" spans="1:28" ht="18" customHeight="1">
      <c r="A312" s="1">
        <f t="shared" si="5"/>
        <v>3</v>
      </c>
      <c r="B312" s="1">
        <v>252610455</v>
      </c>
      <c r="C312" s="108" t="s">
        <v>1059</v>
      </c>
      <c r="D312" s="33"/>
      <c r="E312" s="93"/>
      <c r="F312" s="109" t="s">
        <v>3</v>
      </c>
      <c r="G312" s="36"/>
      <c r="H312" s="36"/>
      <c r="I312" s="36"/>
      <c r="J312" s="36"/>
      <c r="K312" s="36"/>
      <c r="L312" s="36"/>
      <c r="M312" s="36"/>
      <c r="N312" s="3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</row>
    <row r="313" spans="1:28" ht="18" customHeight="1">
      <c r="A313" s="1">
        <f t="shared" si="5"/>
        <v>4</v>
      </c>
      <c r="B313" s="1">
        <v>252610459</v>
      </c>
      <c r="C313" s="108" t="s">
        <v>1060</v>
      </c>
      <c r="D313" s="33"/>
      <c r="E313" s="93"/>
      <c r="F313" s="109" t="s">
        <v>1</v>
      </c>
      <c r="G313" s="36"/>
      <c r="H313" s="36"/>
      <c r="I313" s="36"/>
      <c r="J313" s="36"/>
      <c r="K313" s="36"/>
      <c r="L313" s="36"/>
      <c r="M313" s="36"/>
      <c r="N313" s="3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</row>
    <row r="314" spans="1:28" ht="18" customHeight="1">
      <c r="A314" s="1">
        <f t="shared" si="5"/>
        <v>5</v>
      </c>
      <c r="B314" s="1">
        <v>252610324</v>
      </c>
      <c r="C314" s="108" t="s">
        <v>1061</v>
      </c>
      <c r="D314" s="33"/>
      <c r="E314" s="93"/>
      <c r="F314" s="109" t="s">
        <v>3</v>
      </c>
      <c r="G314" s="36"/>
      <c r="H314" s="36"/>
      <c r="I314" s="36"/>
      <c r="J314" s="36"/>
      <c r="K314" s="36"/>
      <c r="L314" s="36"/>
      <c r="M314" s="36"/>
      <c r="N314" s="3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 spans="1:28" ht="18" customHeight="1">
      <c r="A315" s="1">
        <f t="shared" si="5"/>
        <v>6</v>
      </c>
      <c r="B315" s="1">
        <v>252610185</v>
      </c>
      <c r="C315" s="108" t="s">
        <v>1062</v>
      </c>
      <c r="D315" s="33"/>
      <c r="E315" s="93"/>
      <c r="F315" s="109" t="s">
        <v>3</v>
      </c>
      <c r="G315" s="36"/>
      <c r="H315" s="36"/>
      <c r="I315" s="36"/>
      <c r="J315" s="36"/>
      <c r="K315" s="36"/>
      <c r="L315" s="36"/>
      <c r="M315" s="36"/>
      <c r="N315" s="3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</row>
    <row r="316" spans="1:28" ht="18" customHeight="1">
      <c r="A316" s="1">
        <f t="shared" si="5"/>
        <v>7</v>
      </c>
      <c r="B316" s="1">
        <v>252610510</v>
      </c>
      <c r="C316" s="108" t="s">
        <v>1064</v>
      </c>
      <c r="D316" s="33"/>
      <c r="E316" s="93"/>
      <c r="F316" s="109" t="s">
        <v>3</v>
      </c>
      <c r="G316" s="36"/>
      <c r="H316" s="36"/>
      <c r="I316" s="36"/>
      <c r="J316" s="36"/>
      <c r="K316" s="36"/>
      <c r="L316" s="36"/>
      <c r="M316" s="36"/>
      <c r="N316" s="3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 spans="1:28" ht="18" customHeight="1">
      <c r="A317" s="1">
        <f t="shared" si="5"/>
        <v>8</v>
      </c>
      <c r="B317" s="1">
        <v>252610333</v>
      </c>
      <c r="C317" s="108" t="s">
        <v>1065</v>
      </c>
      <c r="D317" s="33"/>
      <c r="E317" s="93"/>
      <c r="F317" s="109" t="s">
        <v>1</v>
      </c>
      <c r="G317" s="36"/>
      <c r="H317" s="36"/>
      <c r="I317" s="36"/>
      <c r="J317" s="36"/>
      <c r="K317" s="36"/>
      <c r="L317" s="36"/>
      <c r="M317" s="36"/>
      <c r="N317" s="3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</row>
    <row r="318" spans="1:28" ht="18" customHeight="1">
      <c r="A318" s="123">
        <f t="shared" si="5"/>
        <v>9</v>
      </c>
      <c r="B318" s="123">
        <v>252610512</v>
      </c>
      <c r="C318" s="108" t="s">
        <v>1068</v>
      </c>
      <c r="D318" s="33"/>
      <c r="E318" s="93"/>
      <c r="F318" s="109" t="s">
        <v>3</v>
      </c>
      <c r="G318" s="78"/>
      <c r="H318" s="78"/>
      <c r="I318" s="78"/>
      <c r="J318" s="78"/>
      <c r="K318" s="78"/>
      <c r="L318" s="78"/>
      <c r="M318" s="78"/>
      <c r="N318" s="78"/>
      <c r="O318" s="21"/>
      <c r="P318" s="21" t="s">
        <v>982</v>
      </c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</row>
    <row r="319" spans="1:28" ht="18" customHeight="1">
      <c r="A319" s="1">
        <f t="shared" si="5"/>
        <v>10</v>
      </c>
      <c r="B319" s="1">
        <v>252610466</v>
      </c>
      <c r="C319" s="108" t="s">
        <v>1071</v>
      </c>
      <c r="D319" s="33"/>
      <c r="E319" s="93"/>
      <c r="F319" s="109" t="s">
        <v>1</v>
      </c>
      <c r="G319" s="36"/>
      <c r="H319" s="36"/>
      <c r="I319" s="36"/>
      <c r="J319" s="36"/>
      <c r="K319" s="36"/>
      <c r="L319" s="36"/>
      <c r="M319" s="36"/>
      <c r="N319" s="3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</row>
    <row r="320" spans="1:28" ht="18" customHeight="1">
      <c r="A320" s="1">
        <f t="shared" si="5"/>
        <v>11</v>
      </c>
      <c r="B320" s="1">
        <v>252610015</v>
      </c>
      <c r="C320" s="108" t="s">
        <v>1073</v>
      </c>
      <c r="D320" s="33"/>
      <c r="E320" s="93"/>
      <c r="F320" s="109" t="s">
        <v>1</v>
      </c>
      <c r="G320" s="36"/>
      <c r="H320" s="36"/>
      <c r="I320" s="36"/>
      <c r="J320" s="36"/>
      <c r="K320" s="36"/>
      <c r="L320" s="36"/>
      <c r="M320" s="36"/>
      <c r="N320" s="3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</row>
    <row r="321" spans="1:28" ht="18" customHeight="1">
      <c r="A321" s="1">
        <f t="shared" si="5"/>
        <v>12</v>
      </c>
      <c r="B321" s="1">
        <v>252610342</v>
      </c>
      <c r="C321" s="108" t="s">
        <v>1075</v>
      </c>
      <c r="D321" s="33"/>
      <c r="E321" s="93"/>
      <c r="F321" s="109" t="s">
        <v>3</v>
      </c>
      <c r="G321" s="36"/>
      <c r="H321" s="36"/>
      <c r="I321" s="36"/>
      <c r="J321" s="36"/>
      <c r="K321" s="36"/>
      <c r="L321" s="36"/>
      <c r="M321" s="36"/>
      <c r="N321" s="3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</row>
    <row r="322" spans="1:28" ht="18" customHeight="1">
      <c r="A322" s="1">
        <f t="shared" si="5"/>
        <v>13</v>
      </c>
      <c r="B322" s="1">
        <v>252610467</v>
      </c>
      <c r="C322" s="108" t="s">
        <v>1077</v>
      </c>
      <c r="D322" s="33"/>
      <c r="E322" s="93"/>
      <c r="F322" s="109" t="s">
        <v>1</v>
      </c>
      <c r="G322" s="36"/>
      <c r="H322" s="36"/>
      <c r="I322" s="36"/>
      <c r="J322" s="36"/>
      <c r="K322" s="36"/>
      <c r="L322" s="36"/>
      <c r="M322" s="36"/>
      <c r="N322" s="3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</row>
    <row r="323" spans="1:28" ht="18" customHeight="1">
      <c r="A323" s="1">
        <f t="shared" si="5"/>
        <v>14</v>
      </c>
      <c r="B323" s="1">
        <v>252610291</v>
      </c>
      <c r="C323" s="108" t="s">
        <v>1079</v>
      </c>
      <c r="D323" s="33"/>
      <c r="E323" s="93"/>
      <c r="F323" s="109" t="s">
        <v>1</v>
      </c>
      <c r="G323" s="36"/>
      <c r="H323" s="36"/>
      <c r="I323" s="36"/>
      <c r="J323" s="36"/>
      <c r="K323" s="36"/>
      <c r="L323" s="36"/>
      <c r="M323" s="36"/>
      <c r="N323" s="3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</row>
    <row r="324" spans="1:28" ht="18" customHeight="1">
      <c r="A324" s="1">
        <f t="shared" si="5"/>
        <v>15</v>
      </c>
      <c r="B324" s="1">
        <v>252610019</v>
      </c>
      <c r="C324" s="108" t="s">
        <v>1081</v>
      </c>
      <c r="D324" s="33"/>
      <c r="E324" s="93"/>
      <c r="F324" s="109" t="s">
        <v>3</v>
      </c>
      <c r="G324" s="36"/>
      <c r="H324" s="36"/>
      <c r="I324" s="36"/>
      <c r="J324" s="36"/>
      <c r="K324" s="36"/>
      <c r="L324" s="36"/>
      <c r="M324" s="36"/>
      <c r="N324" s="3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 spans="1:28" ht="18" customHeight="1">
      <c r="A325" s="1">
        <f t="shared" si="5"/>
        <v>16</v>
      </c>
      <c r="B325" s="1">
        <v>252610473</v>
      </c>
      <c r="C325" s="108" t="s">
        <v>1083</v>
      </c>
      <c r="D325" s="33"/>
      <c r="E325" s="93"/>
      <c r="F325" s="109" t="s">
        <v>3</v>
      </c>
      <c r="G325" s="36"/>
      <c r="H325" s="36"/>
      <c r="I325" s="36"/>
      <c r="J325" s="36"/>
      <c r="K325" s="36"/>
      <c r="L325" s="36"/>
      <c r="M325" s="36"/>
      <c r="N325" s="3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</row>
    <row r="326" spans="1:28" ht="18" customHeight="1">
      <c r="A326" s="1">
        <f t="shared" si="5"/>
        <v>17</v>
      </c>
      <c r="B326" s="1">
        <v>252610345</v>
      </c>
      <c r="C326" s="108" t="s">
        <v>1086</v>
      </c>
      <c r="D326" s="33"/>
      <c r="E326" s="93"/>
      <c r="F326" s="109" t="s">
        <v>3</v>
      </c>
      <c r="G326" s="36"/>
      <c r="H326" s="36"/>
      <c r="I326" s="36"/>
      <c r="J326" s="36"/>
      <c r="K326" s="36"/>
      <c r="L326" s="36"/>
      <c r="M326" s="36"/>
      <c r="N326" s="3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 spans="1:28" ht="18" customHeight="1">
      <c r="A327" s="1">
        <f t="shared" si="5"/>
        <v>18</v>
      </c>
      <c r="B327" s="1">
        <v>252610346</v>
      </c>
      <c r="C327" s="108" t="s">
        <v>1088</v>
      </c>
      <c r="D327" s="33"/>
      <c r="E327" s="93"/>
      <c r="F327" s="109" t="s">
        <v>3</v>
      </c>
      <c r="G327" s="36"/>
      <c r="H327" s="36"/>
      <c r="I327" s="36"/>
      <c r="J327" s="36"/>
      <c r="K327" s="36"/>
      <c r="L327" s="36"/>
      <c r="M327" s="36"/>
      <c r="N327" s="3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</row>
    <row r="328" spans="1:28" ht="18" customHeight="1">
      <c r="A328" s="1">
        <f t="shared" si="5"/>
        <v>19</v>
      </c>
      <c r="B328" s="1">
        <v>252610166</v>
      </c>
      <c r="C328" s="108" t="s">
        <v>1090</v>
      </c>
      <c r="D328" s="33"/>
      <c r="E328" s="93"/>
      <c r="F328" s="109" t="s">
        <v>1</v>
      </c>
      <c r="G328" s="36"/>
      <c r="H328" s="36"/>
      <c r="I328" s="36"/>
      <c r="J328" s="36"/>
      <c r="K328" s="36"/>
      <c r="L328" s="36"/>
      <c r="M328" s="36"/>
      <c r="N328" s="1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 spans="1:28" ht="18" customHeight="1">
      <c r="A329" s="1">
        <f t="shared" si="5"/>
        <v>20</v>
      </c>
      <c r="B329" s="1">
        <v>252610167</v>
      </c>
      <c r="C329" s="108" t="s">
        <v>1093</v>
      </c>
      <c r="D329" s="33"/>
      <c r="E329" s="93"/>
      <c r="F329" s="109" t="s">
        <v>1</v>
      </c>
      <c r="G329" s="36"/>
      <c r="H329" s="36"/>
      <c r="I329" s="36"/>
      <c r="J329" s="36"/>
      <c r="K329" s="36"/>
      <c r="L329" s="36"/>
      <c r="M329" s="36"/>
      <c r="N329" s="3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</row>
    <row r="330" spans="1:28" ht="18" customHeight="1">
      <c r="A330" s="1">
        <f t="shared" si="5"/>
        <v>21</v>
      </c>
      <c r="B330" s="1">
        <v>252610478</v>
      </c>
      <c r="C330" s="108" t="s">
        <v>1096</v>
      </c>
      <c r="D330" s="33"/>
      <c r="E330" s="93"/>
      <c r="F330" s="109" t="s">
        <v>1</v>
      </c>
      <c r="G330" s="36"/>
      <c r="H330" s="36"/>
      <c r="I330" s="36"/>
      <c r="J330" s="36"/>
      <c r="K330" s="36"/>
      <c r="L330" s="36"/>
      <c r="M330" s="36"/>
      <c r="N330" s="3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</row>
    <row r="331" spans="1:28" ht="18" customHeight="1">
      <c r="A331" s="1">
        <f t="shared" si="5"/>
        <v>22</v>
      </c>
      <c r="B331" s="1">
        <v>252610387</v>
      </c>
      <c r="C331" s="108" t="s">
        <v>1099</v>
      </c>
      <c r="D331" s="33"/>
      <c r="E331" s="93"/>
      <c r="F331" s="109" t="s">
        <v>1</v>
      </c>
      <c r="G331" s="36"/>
      <c r="H331" s="36"/>
      <c r="I331" s="36"/>
      <c r="J331" s="36"/>
      <c r="K331" s="36"/>
      <c r="L331" s="36"/>
      <c r="M331" s="36"/>
      <c r="N331" s="3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</row>
    <row r="332" spans="1:28" ht="18" customHeight="1">
      <c r="A332" s="1">
        <f t="shared" si="5"/>
        <v>23</v>
      </c>
      <c r="B332" s="1">
        <v>252610116</v>
      </c>
      <c r="C332" s="108" t="s">
        <v>1103</v>
      </c>
      <c r="D332" s="33"/>
      <c r="E332" s="93"/>
      <c r="F332" s="109" t="s">
        <v>1</v>
      </c>
      <c r="G332" s="36"/>
      <c r="H332" s="36"/>
      <c r="I332" s="36"/>
      <c r="J332" s="36"/>
      <c r="K332" s="36"/>
      <c r="L332" s="36"/>
      <c r="M332" s="36"/>
      <c r="N332" s="3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</row>
    <row r="333" spans="1:28" ht="18" customHeight="1">
      <c r="A333" s="1">
        <f t="shared" si="5"/>
        <v>24</v>
      </c>
      <c r="B333" s="1">
        <v>252610117</v>
      </c>
      <c r="C333" s="108" t="s">
        <v>1106</v>
      </c>
      <c r="D333" s="33"/>
      <c r="E333" s="93"/>
      <c r="F333" s="109" t="s">
        <v>1</v>
      </c>
      <c r="G333" s="36"/>
      <c r="H333" s="36"/>
      <c r="I333" s="36"/>
      <c r="J333" s="36"/>
      <c r="K333" s="36"/>
      <c r="L333" s="36"/>
      <c r="M333" s="36"/>
      <c r="N333" s="3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</row>
    <row r="334" spans="1:28" ht="18" customHeight="1">
      <c r="A334" s="1">
        <f t="shared" si="5"/>
        <v>25</v>
      </c>
      <c r="B334" s="1">
        <v>252610065</v>
      </c>
      <c r="C334" s="108" t="s">
        <v>1109</v>
      </c>
      <c r="D334" s="33"/>
      <c r="E334" s="93"/>
      <c r="F334" s="109" t="s">
        <v>1</v>
      </c>
      <c r="G334" s="36"/>
      <c r="H334" s="36"/>
      <c r="I334" s="36"/>
      <c r="J334" s="36"/>
      <c r="K334" s="36"/>
      <c r="L334" s="36"/>
      <c r="M334" s="36"/>
      <c r="N334" s="3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</row>
    <row r="335" spans="1:28" ht="18" customHeight="1">
      <c r="A335" s="1">
        <f t="shared" si="5"/>
        <v>26</v>
      </c>
      <c r="B335" s="1">
        <v>252610204</v>
      </c>
      <c r="C335" s="108" t="s">
        <v>1112</v>
      </c>
      <c r="D335" s="33"/>
      <c r="E335" s="93"/>
      <c r="F335" s="109" t="s">
        <v>3</v>
      </c>
      <c r="G335" s="36"/>
      <c r="H335" s="36"/>
      <c r="I335" s="36"/>
      <c r="J335" s="36"/>
      <c r="K335" s="36"/>
      <c r="L335" s="36"/>
      <c r="M335" s="36"/>
      <c r="N335" s="3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</row>
    <row r="336" spans="1:28" ht="18" customHeight="1">
      <c r="A336" s="1">
        <f t="shared" si="5"/>
        <v>27</v>
      </c>
      <c r="B336" s="1">
        <v>252610071</v>
      </c>
      <c r="C336" s="108" t="s">
        <v>1115</v>
      </c>
      <c r="D336" s="33"/>
      <c r="E336" s="93"/>
      <c r="F336" s="109" t="s">
        <v>3</v>
      </c>
      <c r="G336" s="36"/>
      <c r="H336" s="36"/>
      <c r="I336" s="36"/>
      <c r="J336" s="36"/>
      <c r="K336" s="36"/>
      <c r="L336" s="36"/>
      <c r="M336" s="36"/>
      <c r="N336" s="3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</row>
    <row r="337" spans="1:28" ht="18" customHeight="1">
      <c r="A337" s="1">
        <f t="shared" si="5"/>
        <v>28</v>
      </c>
      <c r="B337" s="1">
        <v>252610026</v>
      </c>
      <c r="C337" s="108" t="s">
        <v>1118</v>
      </c>
      <c r="D337" s="33"/>
      <c r="E337" s="93"/>
      <c r="F337" s="109" t="s">
        <v>3</v>
      </c>
      <c r="G337" s="36"/>
      <c r="H337" s="36"/>
      <c r="I337" s="36"/>
      <c r="J337" s="36"/>
      <c r="K337" s="36"/>
      <c r="L337" s="36"/>
      <c r="M337" s="36"/>
      <c r="N337" s="3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</row>
    <row r="338" spans="1:28" ht="18" customHeight="1">
      <c r="A338" s="1">
        <f t="shared" si="5"/>
        <v>29</v>
      </c>
      <c r="B338" s="1">
        <v>252610303</v>
      </c>
      <c r="C338" s="108" t="s">
        <v>1123</v>
      </c>
      <c r="D338" s="33"/>
      <c r="E338" s="93"/>
      <c r="F338" s="109" t="s">
        <v>3</v>
      </c>
      <c r="G338" s="36"/>
      <c r="H338" s="36"/>
      <c r="I338" s="36"/>
      <c r="J338" s="36"/>
      <c r="K338" s="36"/>
      <c r="L338" s="36"/>
      <c r="M338" s="36"/>
      <c r="N338" s="3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</row>
    <row r="339" spans="1:28" ht="18" customHeight="1">
      <c r="A339" s="1">
        <f t="shared" si="5"/>
        <v>30</v>
      </c>
      <c r="B339" s="1">
        <v>252610533</v>
      </c>
      <c r="C339" s="108" t="s">
        <v>1126</v>
      </c>
      <c r="D339" s="33"/>
      <c r="E339" s="93"/>
      <c r="F339" s="109" t="s">
        <v>3</v>
      </c>
      <c r="G339" s="36"/>
      <c r="H339" s="36"/>
      <c r="I339" s="36"/>
      <c r="J339" s="36"/>
      <c r="K339" s="36"/>
      <c r="L339" s="36"/>
      <c r="M339" s="36"/>
      <c r="N339" s="3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</row>
    <row r="340" spans="1:28" ht="18" customHeight="1">
      <c r="A340" s="1">
        <f t="shared" si="5"/>
        <v>31</v>
      </c>
      <c r="B340" s="1">
        <v>252610397</v>
      </c>
      <c r="C340" s="108" t="s">
        <v>1129</v>
      </c>
      <c r="D340" s="33"/>
      <c r="E340" s="93"/>
      <c r="F340" s="109" t="s">
        <v>1</v>
      </c>
      <c r="G340" s="36"/>
      <c r="H340" s="36"/>
      <c r="I340" s="36"/>
      <c r="J340" s="36"/>
      <c r="K340" s="36"/>
      <c r="L340" s="36"/>
      <c r="M340" s="36"/>
      <c r="N340" s="3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</row>
    <row r="341" spans="1:28" ht="18" customHeight="1">
      <c r="A341" s="1">
        <f t="shared" si="5"/>
        <v>32</v>
      </c>
      <c r="B341" s="1">
        <v>252610077</v>
      </c>
      <c r="C341" s="108" t="s">
        <v>1132</v>
      </c>
      <c r="D341" s="33"/>
      <c r="E341" s="93"/>
      <c r="F341" s="109" t="s">
        <v>1</v>
      </c>
      <c r="G341" s="36"/>
      <c r="H341" s="36"/>
      <c r="I341" s="36"/>
      <c r="J341" s="36"/>
      <c r="K341" s="36"/>
      <c r="L341" s="36"/>
      <c r="M341" s="36"/>
      <c r="N341" s="3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</row>
    <row r="342" spans="1:28" ht="18" customHeight="1">
      <c r="A342" s="1">
        <f t="shared" si="5"/>
        <v>33</v>
      </c>
      <c r="B342" s="1">
        <v>252610484</v>
      </c>
      <c r="C342" s="108" t="s">
        <v>1134</v>
      </c>
      <c r="D342" s="33"/>
      <c r="E342" s="93"/>
      <c r="F342" s="109" t="s">
        <v>1</v>
      </c>
      <c r="G342" s="36"/>
      <c r="H342" s="36"/>
      <c r="I342" s="36"/>
      <c r="J342" s="36"/>
      <c r="K342" s="36"/>
      <c r="L342" s="36"/>
      <c r="M342" s="36"/>
      <c r="N342" s="3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</row>
    <row r="343" spans="1:28" ht="18" customHeight="1">
      <c r="A343" s="1">
        <f t="shared" si="5"/>
        <v>34</v>
      </c>
      <c r="B343" s="1">
        <v>252610033</v>
      </c>
      <c r="C343" s="108" t="s">
        <v>1137</v>
      </c>
      <c r="D343" s="33"/>
      <c r="E343" s="93"/>
      <c r="F343" s="109" t="s">
        <v>3</v>
      </c>
      <c r="G343" s="36"/>
      <c r="H343" s="36"/>
      <c r="I343" s="36"/>
      <c r="J343" s="36"/>
      <c r="K343" s="36"/>
      <c r="L343" s="36"/>
      <c r="M343" s="36"/>
      <c r="N343" s="3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</row>
    <row r="344" spans="1:28" ht="18" customHeight="1">
      <c r="A344" s="83">
        <f t="shared" si="5"/>
        <v>35</v>
      </c>
      <c r="B344" s="83">
        <v>252610486</v>
      </c>
      <c r="C344" s="108" t="s">
        <v>1140</v>
      </c>
      <c r="D344" s="33"/>
      <c r="E344" s="93"/>
      <c r="F344" s="109" t="s">
        <v>1</v>
      </c>
      <c r="G344" s="85"/>
      <c r="H344" s="85"/>
      <c r="I344" s="85"/>
      <c r="J344" s="85"/>
      <c r="K344" s="85"/>
      <c r="L344" s="85"/>
      <c r="M344" s="85"/>
      <c r="N344" s="85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</row>
    <row r="345" spans="1:28" ht="18" customHeight="1">
      <c r="A345" s="1">
        <f t="shared" si="5"/>
        <v>36</v>
      </c>
      <c r="B345" s="1">
        <v>252610313</v>
      </c>
      <c r="C345" s="108" t="s">
        <v>1143</v>
      </c>
      <c r="D345" s="33"/>
      <c r="E345" s="93"/>
      <c r="F345" s="109" t="s">
        <v>3</v>
      </c>
      <c r="G345" s="36"/>
      <c r="H345" s="36"/>
      <c r="I345" s="36"/>
      <c r="J345" s="36"/>
      <c r="K345" s="36"/>
      <c r="L345" s="36"/>
      <c r="M345" s="36"/>
      <c r="N345" s="3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</row>
    <row r="346" spans="1:28" ht="18" customHeight="1">
      <c r="A346" s="1">
        <f t="shared" si="5"/>
        <v>37</v>
      </c>
      <c r="B346" s="1">
        <v>252610137</v>
      </c>
      <c r="C346" s="108" t="s">
        <v>1146</v>
      </c>
      <c r="D346" s="33"/>
      <c r="E346" s="93"/>
      <c r="F346" s="109" t="s">
        <v>3</v>
      </c>
      <c r="G346" s="36"/>
      <c r="H346" s="36"/>
      <c r="I346" s="36"/>
      <c r="J346" s="36"/>
      <c r="K346" s="36"/>
      <c r="L346" s="36"/>
      <c r="M346" s="36"/>
      <c r="N346" s="3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</row>
    <row r="347" spans="1:28" ht="18" customHeight="1">
      <c r="A347" s="1">
        <f t="shared" si="5"/>
        <v>38</v>
      </c>
      <c r="B347" s="1">
        <v>252610039</v>
      </c>
      <c r="C347" s="108" t="s">
        <v>1149</v>
      </c>
      <c r="D347" s="33"/>
      <c r="E347" s="93"/>
      <c r="F347" s="109" t="s">
        <v>1</v>
      </c>
      <c r="G347" s="36"/>
      <c r="H347" s="36"/>
      <c r="I347" s="36"/>
      <c r="J347" s="36"/>
      <c r="K347" s="36"/>
      <c r="L347" s="36"/>
      <c r="M347" s="36"/>
      <c r="N347" s="3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</row>
    <row r="348" spans="1:28" ht="18" customHeight="1">
      <c r="A348" s="1">
        <f t="shared" si="5"/>
        <v>39</v>
      </c>
      <c r="B348" s="1">
        <v>252610040</v>
      </c>
      <c r="C348" s="108" t="s">
        <v>1152</v>
      </c>
      <c r="D348" s="33"/>
      <c r="E348" s="93"/>
      <c r="F348" s="109" t="s">
        <v>3</v>
      </c>
      <c r="G348" s="36"/>
      <c r="H348" s="36"/>
      <c r="I348" s="36"/>
      <c r="J348" s="36"/>
      <c r="K348" s="36"/>
      <c r="L348" s="36"/>
      <c r="M348" s="36"/>
      <c r="N348" s="3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</row>
    <row r="349" spans="1:28" ht="18" customHeight="1">
      <c r="A349" s="1">
        <f t="shared" si="5"/>
        <v>40</v>
      </c>
      <c r="B349" s="1">
        <v>252610086</v>
      </c>
      <c r="C349" s="108" t="s">
        <v>1155</v>
      </c>
      <c r="D349" s="33"/>
      <c r="E349" s="93"/>
      <c r="F349" s="109" t="s">
        <v>3</v>
      </c>
      <c r="G349" s="36"/>
      <c r="H349" s="36"/>
      <c r="I349" s="36"/>
      <c r="J349" s="36"/>
      <c r="K349" s="36"/>
      <c r="L349" s="36"/>
      <c r="M349" s="36"/>
      <c r="N349" s="3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</row>
    <row r="350" spans="1:28" ht="18" customHeight="1">
      <c r="A350" s="1">
        <f t="shared" si="5"/>
        <v>41</v>
      </c>
      <c r="B350" s="1">
        <v>252610087</v>
      </c>
      <c r="C350" s="108" t="s">
        <v>1159</v>
      </c>
      <c r="D350" s="33"/>
      <c r="E350" s="93"/>
      <c r="F350" s="109" t="s">
        <v>3</v>
      </c>
      <c r="G350" s="36"/>
      <c r="H350" s="36"/>
      <c r="I350" s="36"/>
      <c r="J350" s="36"/>
      <c r="K350" s="36"/>
      <c r="L350" s="36"/>
      <c r="M350" s="36"/>
      <c r="N350" s="3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</row>
    <row r="351" spans="1:28" ht="18" customHeight="1">
      <c r="A351" s="1">
        <f t="shared" si="5"/>
        <v>42</v>
      </c>
      <c r="B351" s="1">
        <v>252610317</v>
      </c>
      <c r="C351" s="108" t="s">
        <v>1162</v>
      </c>
      <c r="D351" s="33"/>
      <c r="E351" s="93"/>
      <c r="F351" s="109" t="s">
        <v>1</v>
      </c>
      <c r="G351" s="36"/>
      <c r="H351" s="36"/>
      <c r="I351" s="36"/>
      <c r="J351" s="36"/>
      <c r="K351" s="36"/>
      <c r="L351" s="36"/>
      <c r="M351" s="36"/>
      <c r="N351" s="3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</row>
    <row r="352" spans="1:28" ht="18" customHeight="1">
      <c r="A352" s="1">
        <f t="shared" si="5"/>
        <v>43</v>
      </c>
      <c r="B352" s="1">
        <v>252610090</v>
      </c>
      <c r="C352" s="108" t="s">
        <v>1164</v>
      </c>
      <c r="D352" s="33"/>
      <c r="E352" s="93"/>
      <c r="F352" s="109" t="s">
        <v>3</v>
      </c>
      <c r="G352" s="36"/>
      <c r="H352" s="36"/>
      <c r="I352" s="36"/>
      <c r="J352" s="36"/>
      <c r="K352" s="36"/>
      <c r="L352" s="36"/>
      <c r="M352" s="36"/>
      <c r="N352" s="3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</row>
    <row r="353" spans="1:28" ht="18" customHeight="1">
      <c r="A353" s="1">
        <f t="shared" si="5"/>
        <v>44</v>
      </c>
      <c r="B353" s="1">
        <v>252610045</v>
      </c>
      <c r="C353" s="108" t="s">
        <v>1167</v>
      </c>
      <c r="D353" s="33"/>
      <c r="E353" s="93"/>
      <c r="F353" s="109" t="s">
        <v>1</v>
      </c>
      <c r="G353" s="36"/>
      <c r="H353" s="36"/>
      <c r="I353" s="36"/>
      <c r="J353" s="36"/>
      <c r="K353" s="36"/>
      <c r="L353" s="36"/>
      <c r="M353" s="36"/>
      <c r="N353" s="3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</row>
    <row r="354" spans="1:28" ht="18" customHeight="1">
      <c r="A354" s="1"/>
      <c r="B354" s="1"/>
      <c r="C354" s="108"/>
      <c r="D354" s="33"/>
      <c r="E354" s="93"/>
      <c r="F354" s="102"/>
      <c r="G354" s="36"/>
      <c r="H354" s="36"/>
      <c r="I354" s="36"/>
      <c r="J354" s="36"/>
      <c r="K354" s="36"/>
      <c r="L354" s="36"/>
      <c r="M354" s="36"/>
      <c r="N354" s="3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</row>
    <row r="355" spans="1:28" ht="15.8" customHeight="1">
      <c r="A355" s="79"/>
      <c r="B355" s="79"/>
      <c r="C355" s="20"/>
      <c r="D355" s="20"/>
      <c r="E355" s="20"/>
      <c r="F355" s="80" t="s">
        <v>1</v>
      </c>
      <c r="G355" s="80">
        <f>COUNTIF(F310:F354,"L")</f>
        <v>22</v>
      </c>
      <c r="H355" s="20"/>
      <c r="I355" s="20"/>
      <c r="J355" s="20"/>
      <c r="K355" s="20"/>
      <c r="L355" s="20"/>
      <c r="M355" s="20"/>
      <c r="N355" s="20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</row>
    <row r="356" spans="1:28" ht="15.8" customHeight="1">
      <c r="A356" s="79"/>
      <c r="B356" s="79"/>
      <c r="C356" s="20"/>
      <c r="D356" s="20"/>
      <c r="E356" s="20"/>
      <c r="F356" s="30" t="s">
        <v>3</v>
      </c>
      <c r="G356" s="30">
        <f>COUNTIF(F310:F354,"P")</f>
        <v>22</v>
      </c>
      <c r="H356" s="20"/>
      <c r="I356" s="20"/>
      <c r="J356" s="20"/>
      <c r="K356" s="20"/>
      <c r="L356" s="20"/>
      <c r="M356" s="20"/>
      <c r="N356" s="20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</row>
    <row r="357" spans="1:28" ht="15.8" customHeight="1">
      <c r="A357" s="79"/>
      <c r="B357" s="79"/>
      <c r="C357" s="20"/>
      <c r="D357" s="20"/>
      <c r="E357" s="20"/>
      <c r="F357" s="81" t="s">
        <v>251</v>
      </c>
      <c r="G357" s="81">
        <f>SUM(G355:G356)</f>
        <v>44</v>
      </c>
      <c r="H357" s="20"/>
      <c r="I357" s="20"/>
      <c r="J357" s="20"/>
      <c r="K357" s="20"/>
      <c r="L357" s="20"/>
      <c r="M357" s="20"/>
      <c r="N357" s="20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</row>
    <row r="358" spans="1:28" ht="15.8" customHeight="1">
      <c r="A358" s="20" t="s">
        <v>275</v>
      </c>
      <c r="B358" s="6"/>
      <c r="C358" s="20"/>
      <c r="D358" s="20"/>
      <c r="E358" s="20"/>
      <c r="F358" s="94"/>
      <c r="G358" s="6"/>
      <c r="H358" s="6"/>
      <c r="I358" s="82" t="s">
        <v>254</v>
      </c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</row>
    <row r="359" spans="1:28" ht="15.8" customHeight="1">
      <c r="A359" s="20" t="s">
        <v>280</v>
      </c>
      <c r="B359" s="6"/>
      <c r="C359" s="20"/>
      <c r="D359" s="20"/>
      <c r="E359" s="20" t="s">
        <v>281</v>
      </c>
      <c r="F359" s="94"/>
      <c r="G359" s="6"/>
      <c r="H359" s="6"/>
      <c r="I359" s="6" t="s">
        <v>256</v>
      </c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</row>
    <row r="360" spans="1:28" ht="15.8" customHeight="1">
      <c r="A360" s="20"/>
      <c r="B360" s="6"/>
      <c r="C360" s="20"/>
      <c r="D360" s="20"/>
      <c r="E360" s="20"/>
      <c r="F360" s="79"/>
      <c r="G360" s="20"/>
      <c r="H360" s="20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</row>
    <row r="361" spans="1:28" ht="15.8" customHeight="1">
      <c r="A361" s="20"/>
      <c r="B361" s="6"/>
      <c r="C361" s="20"/>
      <c r="D361" s="20"/>
      <c r="E361" s="20"/>
      <c r="F361" s="79"/>
      <c r="G361" s="20"/>
      <c r="H361" s="20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</row>
    <row r="362" spans="1:28" ht="15.8" customHeight="1">
      <c r="A362" s="136" t="s">
        <v>1185</v>
      </c>
      <c r="B362" s="6"/>
      <c r="C362" s="6"/>
      <c r="D362" s="6"/>
      <c r="E362" s="24" t="s">
        <v>380</v>
      </c>
      <c r="F362" s="94"/>
      <c r="G362" s="6"/>
      <c r="H362" s="20"/>
      <c r="I362" s="87"/>
      <c r="J362" s="87"/>
      <c r="K362" s="87"/>
      <c r="L362" s="87"/>
      <c r="M362" s="87"/>
      <c r="N362" s="87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</row>
    <row r="363" spans="1:28" ht="15.8" customHeight="1">
      <c r="A363" s="41" t="s">
        <v>1187</v>
      </c>
      <c r="B363" s="41"/>
      <c r="C363" s="20"/>
      <c r="D363" s="20"/>
      <c r="E363" s="82" t="s">
        <v>383</v>
      </c>
      <c r="F363" s="79"/>
      <c r="G363" s="20"/>
      <c r="H363" s="20" t="s">
        <v>266</v>
      </c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</row>
    <row r="364" spans="1:28" ht="15.8" customHeight="1">
      <c r="A364" s="6"/>
      <c r="B364" s="6"/>
      <c r="C364" s="6"/>
      <c r="D364" s="6"/>
      <c r="E364" s="6"/>
      <c r="F364" s="94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</row>
    <row r="365" spans="1:28" ht="19.55" customHeight="1">
      <c r="A365" s="16" t="s">
        <v>79</v>
      </c>
      <c r="B365" s="16"/>
      <c r="C365" s="4" t="s">
        <v>1190</v>
      </c>
      <c r="D365" s="16"/>
      <c r="E365" s="22"/>
      <c r="F365" s="23"/>
      <c r="G365" s="17"/>
      <c r="H365" s="19" t="s">
        <v>82</v>
      </c>
      <c r="I365" s="17"/>
      <c r="J365" s="17"/>
      <c r="K365" s="17"/>
      <c r="L365" s="17"/>
      <c r="M365" s="20"/>
      <c r="N365" s="20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</row>
    <row r="366" spans="1:28" ht="9" customHeight="1">
      <c r="A366" s="20"/>
      <c r="B366" s="24"/>
      <c r="C366" s="24"/>
      <c r="D366" s="24"/>
      <c r="E366" s="25"/>
      <c r="F366" s="14"/>
      <c r="G366" s="20"/>
      <c r="H366" s="26"/>
      <c r="I366" s="27"/>
      <c r="J366" s="27"/>
      <c r="K366" s="27"/>
      <c r="L366" s="27"/>
      <c r="M366" s="27"/>
      <c r="N366" s="27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</row>
    <row r="367" spans="1:28" ht="15.8" customHeight="1">
      <c r="A367" s="176" t="s">
        <v>84</v>
      </c>
      <c r="B367" s="177"/>
      <c r="C367" s="178" t="s">
        <v>85</v>
      </c>
      <c r="D367" s="179"/>
      <c r="E367" s="180"/>
      <c r="F367" s="184" t="s">
        <v>86</v>
      </c>
      <c r="G367" s="176" t="s">
        <v>87</v>
      </c>
      <c r="H367" s="186"/>
      <c r="I367" s="186"/>
      <c r="J367" s="186"/>
      <c r="K367" s="186"/>
      <c r="L367" s="186"/>
      <c r="M367" s="177"/>
      <c r="N367" s="184" t="s">
        <v>88</v>
      </c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</row>
    <row r="368" spans="1:28" ht="15.8" customHeight="1">
      <c r="A368" s="28" t="s">
        <v>90</v>
      </c>
      <c r="B368" s="28" t="s">
        <v>91</v>
      </c>
      <c r="C368" s="199"/>
      <c r="D368" s="200"/>
      <c r="E368" s="201"/>
      <c r="F368" s="185"/>
      <c r="G368" s="28"/>
      <c r="H368" s="28"/>
      <c r="I368" s="28"/>
      <c r="J368" s="28"/>
      <c r="K368" s="28"/>
      <c r="L368" s="28"/>
      <c r="M368" s="28"/>
      <c r="N368" s="185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</row>
    <row r="369" spans="1:28" ht="18" customHeight="1">
      <c r="A369" s="1">
        <v>1</v>
      </c>
      <c r="B369" s="31">
        <v>252610500</v>
      </c>
      <c r="C369" s="108" t="s">
        <v>1194</v>
      </c>
      <c r="D369" s="33"/>
      <c r="E369" s="93"/>
      <c r="F369" s="109" t="s">
        <v>1</v>
      </c>
      <c r="G369" s="36"/>
      <c r="H369" s="36"/>
      <c r="I369" s="36"/>
      <c r="J369" s="36"/>
      <c r="K369" s="36"/>
      <c r="L369" s="36"/>
      <c r="M369" s="36"/>
      <c r="N369" s="3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</row>
    <row r="370" spans="1:28" ht="18" customHeight="1">
      <c r="A370" s="1">
        <f t="shared" ref="A370:A415" si="6">A369+1</f>
        <v>2</v>
      </c>
      <c r="B370" s="1">
        <v>252610227</v>
      </c>
      <c r="C370" s="108" t="s">
        <v>1196</v>
      </c>
      <c r="D370" s="33"/>
      <c r="E370" s="93"/>
      <c r="F370" s="109" t="s">
        <v>1</v>
      </c>
      <c r="G370" s="36"/>
      <c r="H370" s="36"/>
      <c r="I370" s="36"/>
      <c r="J370" s="36"/>
      <c r="K370" s="36"/>
      <c r="L370" s="36"/>
      <c r="M370" s="36"/>
      <c r="N370" s="3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r="371" spans="1:28" ht="18" customHeight="1">
      <c r="A371" s="1">
        <f t="shared" si="6"/>
        <v>3</v>
      </c>
      <c r="B371" s="1">
        <v>252610001</v>
      </c>
      <c r="C371" s="108" t="s">
        <v>1197</v>
      </c>
      <c r="D371" s="33"/>
      <c r="E371" s="93"/>
      <c r="F371" s="109" t="s">
        <v>3</v>
      </c>
      <c r="G371" s="36"/>
      <c r="H371" s="36"/>
      <c r="I371" s="36"/>
      <c r="J371" s="36"/>
      <c r="K371" s="36"/>
      <c r="L371" s="36"/>
      <c r="M371" s="36"/>
      <c r="N371" s="3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</row>
    <row r="372" spans="1:28" ht="18" customHeight="1">
      <c r="A372" s="1">
        <f t="shared" si="6"/>
        <v>4</v>
      </c>
      <c r="B372" s="1">
        <v>252610321</v>
      </c>
      <c r="C372" s="108" t="s">
        <v>1198</v>
      </c>
      <c r="D372" s="33"/>
      <c r="E372" s="93"/>
      <c r="F372" s="109" t="s">
        <v>3</v>
      </c>
      <c r="G372" s="36"/>
      <c r="H372" s="36"/>
      <c r="I372" s="36"/>
      <c r="J372" s="36"/>
      <c r="K372" s="36"/>
      <c r="L372" s="36"/>
      <c r="M372" s="36"/>
      <c r="N372" s="3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</row>
    <row r="373" spans="1:28" ht="18" customHeight="1">
      <c r="A373" s="1">
        <f t="shared" si="6"/>
        <v>5</v>
      </c>
      <c r="B373" s="1">
        <v>252610179</v>
      </c>
      <c r="C373" s="108" t="s">
        <v>1199</v>
      </c>
      <c r="D373" s="33"/>
      <c r="E373" s="93"/>
      <c r="F373" s="109" t="s">
        <v>3</v>
      </c>
      <c r="G373" s="36"/>
      <c r="H373" s="36"/>
      <c r="I373" s="36"/>
      <c r="J373" s="36"/>
      <c r="K373" s="36"/>
      <c r="L373" s="36"/>
      <c r="M373" s="36"/>
      <c r="N373" s="3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</row>
    <row r="374" spans="1:28" ht="18" customHeight="1">
      <c r="A374" s="1">
        <f t="shared" si="6"/>
        <v>6</v>
      </c>
      <c r="B374" s="1">
        <v>252610368</v>
      </c>
      <c r="C374" s="108" t="s">
        <v>1202</v>
      </c>
      <c r="D374" s="33"/>
      <c r="E374" s="93"/>
      <c r="F374" s="109" t="s">
        <v>3</v>
      </c>
      <c r="G374" s="36"/>
      <c r="H374" s="36"/>
      <c r="I374" s="36"/>
      <c r="J374" s="36"/>
      <c r="K374" s="36"/>
      <c r="L374" s="36"/>
      <c r="M374" s="36"/>
      <c r="N374" s="3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</row>
    <row r="375" spans="1:28" ht="18" customHeight="1">
      <c r="A375" s="1">
        <f t="shared" si="6"/>
        <v>7</v>
      </c>
      <c r="B375" s="1">
        <v>252610007</v>
      </c>
      <c r="C375" s="108" t="s">
        <v>1205</v>
      </c>
      <c r="D375" s="33"/>
      <c r="E375" s="93"/>
      <c r="F375" s="109" t="s">
        <v>3</v>
      </c>
      <c r="G375" s="36"/>
      <c r="H375" s="36"/>
      <c r="I375" s="36"/>
      <c r="J375" s="36"/>
      <c r="K375" s="36"/>
      <c r="L375" s="36"/>
      <c r="M375" s="36"/>
      <c r="N375" s="3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</row>
    <row r="376" spans="1:28" ht="18" customHeight="1">
      <c r="A376" s="1">
        <f t="shared" si="6"/>
        <v>8</v>
      </c>
      <c r="B376" s="1">
        <v>252610147</v>
      </c>
      <c r="C376" s="108" t="s">
        <v>1209</v>
      </c>
      <c r="D376" s="33"/>
      <c r="E376" s="93"/>
      <c r="F376" s="109" t="s">
        <v>3</v>
      </c>
      <c r="G376" s="36"/>
      <c r="H376" s="36"/>
      <c r="I376" s="36"/>
      <c r="J376" s="36"/>
      <c r="K376" s="36"/>
      <c r="L376" s="36"/>
      <c r="M376" s="36"/>
      <c r="N376" s="3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</row>
    <row r="377" spans="1:28" ht="18" customHeight="1">
      <c r="A377" s="1">
        <f t="shared" si="6"/>
        <v>9</v>
      </c>
      <c r="B377" s="1">
        <v>252610278</v>
      </c>
      <c r="C377" s="108" t="s">
        <v>1211</v>
      </c>
      <c r="D377" s="33"/>
      <c r="E377" s="93"/>
      <c r="F377" s="109" t="s">
        <v>1</v>
      </c>
      <c r="G377" s="36"/>
      <c r="H377" s="36"/>
      <c r="I377" s="36"/>
      <c r="J377" s="36"/>
      <c r="K377" s="36"/>
      <c r="L377" s="36"/>
      <c r="M377" s="36"/>
      <c r="N377" s="3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</row>
    <row r="378" spans="1:28" ht="18" customHeight="1">
      <c r="A378" s="1">
        <f t="shared" si="6"/>
        <v>10</v>
      </c>
      <c r="B378" s="1">
        <v>252610332</v>
      </c>
      <c r="C378" s="108" t="s">
        <v>1215</v>
      </c>
      <c r="D378" s="33"/>
      <c r="E378" s="93"/>
      <c r="F378" s="109" t="s">
        <v>3</v>
      </c>
      <c r="G378" s="36"/>
      <c r="H378" s="36"/>
      <c r="I378" s="36"/>
      <c r="J378" s="36"/>
      <c r="K378" s="36"/>
      <c r="L378" s="36"/>
      <c r="M378" s="36"/>
      <c r="N378" s="3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</row>
    <row r="379" spans="1:28" ht="18" customHeight="1">
      <c r="A379" s="1">
        <f t="shared" si="6"/>
        <v>11</v>
      </c>
      <c r="B379" s="1">
        <v>252610186</v>
      </c>
      <c r="C379" s="108" t="s">
        <v>1217</v>
      </c>
      <c r="D379" s="33"/>
      <c r="E379" s="93"/>
      <c r="F379" s="109" t="s">
        <v>3</v>
      </c>
      <c r="G379" s="36"/>
      <c r="H379" s="36"/>
      <c r="I379" s="36"/>
      <c r="J379" s="36"/>
      <c r="K379" s="36"/>
      <c r="L379" s="36"/>
      <c r="M379" s="36"/>
      <c r="N379" s="3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</row>
    <row r="380" spans="1:28" ht="18" customHeight="1">
      <c r="A380" s="1">
        <f t="shared" si="6"/>
        <v>12</v>
      </c>
      <c r="B380" s="1">
        <v>252610052</v>
      </c>
      <c r="C380" s="108" t="s">
        <v>1219</v>
      </c>
      <c r="D380" s="33"/>
      <c r="E380" s="93"/>
      <c r="F380" s="109" t="s">
        <v>1</v>
      </c>
      <c r="G380" s="36"/>
      <c r="H380" s="36"/>
      <c r="I380" s="36"/>
      <c r="J380" s="36"/>
      <c r="K380" s="36"/>
      <c r="L380" s="36"/>
      <c r="M380" s="36"/>
      <c r="N380" s="3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</row>
    <row r="381" spans="1:28" ht="18" customHeight="1">
      <c r="A381" s="1">
        <f t="shared" si="6"/>
        <v>13</v>
      </c>
      <c r="B381" s="1">
        <v>252610418</v>
      </c>
      <c r="C381" s="108" t="s">
        <v>1222</v>
      </c>
      <c r="D381" s="33"/>
      <c r="E381" s="93"/>
      <c r="F381" s="109" t="s">
        <v>1</v>
      </c>
      <c r="G381" s="36"/>
      <c r="H381" s="36"/>
      <c r="I381" s="36"/>
      <c r="J381" s="36"/>
      <c r="K381" s="36"/>
      <c r="L381" s="36"/>
      <c r="M381" s="36"/>
      <c r="N381" s="3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</row>
    <row r="382" spans="1:28" ht="18" customHeight="1">
      <c r="A382" s="1">
        <f t="shared" si="6"/>
        <v>14</v>
      </c>
      <c r="B382" s="1">
        <v>252610104</v>
      </c>
      <c r="C382" s="108" t="s">
        <v>1223</v>
      </c>
      <c r="D382" s="33"/>
      <c r="E382" s="93"/>
      <c r="F382" s="109" t="s">
        <v>1</v>
      </c>
      <c r="G382" s="36"/>
      <c r="H382" s="36"/>
      <c r="I382" s="36"/>
      <c r="J382" s="36"/>
      <c r="K382" s="36"/>
      <c r="L382" s="36"/>
      <c r="M382" s="36"/>
      <c r="N382" s="3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</row>
    <row r="383" spans="1:28" ht="18" customHeight="1">
      <c r="A383" s="1">
        <f t="shared" si="6"/>
        <v>15</v>
      </c>
      <c r="B383" s="1">
        <v>252610422</v>
      </c>
      <c r="C383" s="108" t="s">
        <v>1227</v>
      </c>
      <c r="D383" s="33"/>
      <c r="E383" s="93"/>
      <c r="F383" s="109" t="s">
        <v>1</v>
      </c>
      <c r="G383" s="36"/>
      <c r="H383" s="36"/>
      <c r="I383" s="36"/>
      <c r="J383" s="36"/>
      <c r="K383" s="36"/>
      <c r="L383" s="36"/>
      <c r="M383" s="36"/>
      <c r="N383" s="3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</row>
    <row r="384" spans="1:28" ht="18" customHeight="1">
      <c r="A384" s="1">
        <f t="shared" si="6"/>
        <v>16</v>
      </c>
      <c r="B384" s="1">
        <v>252610513</v>
      </c>
      <c r="C384" s="108" t="s">
        <v>1229</v>
      </c>
      <c r="D384" s="33"/>
      <c r="E384" s="93"/>
      <c r="F384" s="109" t="s">
        <v>1</v>
      </c>
      <c r="G384" s="36"/>
      <c r="H384" s="36"/>
      <c r="I384" s="36"/>
      <c r="J384" s="36"/>
      <c r="K384" s="36"/>
      <c r="L384" s="36"/>
      <c r="M384" s="36"/>
      <c r="N384" s="3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</row>
    <row r="385" spans="1:28" ht="18" customHeight="1">
      <c r="A385" s="1">
        <f t="shared" si="6"/>
        <v>17</v>
      </c>
      <c r="B385" s="1">
        <v>252610190</v>
      </c>
      <c r="C385" s="108" t="s">
        <v>1232</v>
      </c>
      <c r="D385" s="33"/>
      <c r="E385" s="93"/>
      <c r="F385" s="109" t="s">
        <v>1</v>
      </c>
      <c r="G385" s="36"/>
      <c r="H385" s="36"/>
      <c r="I385" s="36"/>
      <c r="J385" s="36"/>
      <c r="K385" s="36"/>
      <c r="L385" s="36"/>
      <c r="M385" s="36"/>
      <c r="N385" s="3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</row>
    <row r="386" spans="1:28" ht="18" customHeight="1">
      <c r="A386" s="1">
        <f t="shared" si="6"/>
        <v>18</v>
      </c>
      <c r="B386" s="1">
        <v>252610424</v>
      </c>
      <c r="C386" s="108" t="s">
        <v>1235</v>
      </c>
      <c r="D386" s="33"/>
      <c r="E386" s="93"/>
      <c r="F386" s="109" t="s">
        <v>1</v>
      </c>
      <c r="G386" s="36"/>
      <c r="H386" s="36"/>
      <c r="I386" s="36"/>
      <c r="J386" s="36"/>
      <c r="K386" s="36"/>
      <c r="L386" s="36"/>
      <c r="M386" s="36"/>
      <c r="N386" s="3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</row>
    <row r="387" spans="1:28" ht="18" customHeight="1">
      <c r="A387" s="1">
        <f t="shared" si="6"/>
        <v>19</v>
      </c>
      <c r="B387" s="1">
        <v>252610013</v>
      </c>
      <c r="C387" s="108" t="s">
        <v>1238</v>
      </c>
      <c r="D387" s="33"/>
      <c r="E387" s="93"/>
      <c r="F387" s="109" t="s">
        <v>3</v>
      </c>
      <c r="G387" s="36"/>
      <c r="H387" s="36"/>
      <c r="I387" s="36"/>
      <c r="J387" s="36"/>
      <c r="K387" s="36"/>
      <c r="L387" s="36"/>
      <c r="M387" s="36"/>
      <c r="N387" s="1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</row>
    <row r="388" spans="1:28" ht="18" customHeight="1">
      <c r="A388" s="1">
        <f t="shared" si="6"/>
        <v>20</v>
      </c>
      <c r="B388" s="1">
        <v>252610244</v>
      </c>
      <c r="C388" s="108" t="s">
        <v>1241</v>
      </c>
      <c r="D388" s="33"/>
      <c r="E388" s="93"/>
      <c r="F388" s="109" t="s">
        <v>1</v>
      </c>
      <c r="G388" s="36"/>
      <c r="H388" s="36"/>
      <c r="I388" s="36"/>
      <c r="J388" s="36"/>
      <c r="K388" s="36"/>
      <c r="L388" s="36"/>
      <c r="M388" s="36"/>
      <c r="N388" s="3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</row>
    <row r="389" spans="1:28" ht="18" customHeight="1">
      <c r="A389" s="1">
        <f t="shared" si="6"/>
        <v>21</v>
      </c>
      <c r="B389" s="1">
        <v>252610057</v>
      </c>
      <c r="C389" s="108" t="s">
        <v>1243</v>
      </c>
      <c r="D389" s="33"/>
      <c r="E389" s="93"/>
      <c r="F389" s="109" t="s">
        <v>1</v>
      </c>
      <c r="G389" s="36"/>
      <c r="H389" s="36"/>
      <c r="I389" s="36"/>
      <c r="J389" s="36"/>
      <c r="K389" s="36"/>
      <c r="L389" s="36"/>
      <c r="M389" s="36"/>
      <c r="N389" s="3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</row>
    <row r="390" spans="1:28" ht="18" customHeight="1">
      <c r="A390" s="1">
        <f t="shared" si="6"/>
        <v>22</v>
      </c>
      <c r="B390" s="1">
        <v>252610196</v>
      </c>
      <c r="C390" s="108" t="s">
        <v>1247</v>
      </c>
      <c r="D390" s="33"/>
      <c r="E390" s="93"/>
      <c r="F390" s="109" t="s">
        <v>3</v>
      </c>
      <c r="G390" s="36"/>
      <c r="H390" s="36"/>
      <c r="I390" s="36"/>
      <c r="J390" s="36"/>
      <c r="K390" s="36"/>
      <c r="L390" s="36"/>
      <c r="M390" s="36"/>
      <c r="N390" s="3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</row>
    <row r="391" spans="1:28" ht="18" customHeight="1">
      <c r="A391" s="1">
        <f t="shared" si="6"/>
        <v>23</v>
      </c>
      <c r="B391" s="1">
        <v>252610468</v>
      </c>
      <c r="C391" s="108" t="s">
        <v>1250</v>
      </c>
      <c r="D391" s="33"/>
      <c r="E391" s="93"/>
      <c r="F391" s="109" t="s">
        <v>3</v>
      </c>
      <c r="G391" s="36"/>
      <c r="H391" s="36"/>
      <c r="I391" s="36"/>
      <c r="J391" s="36"/>
      <c r="K391" s="36"/>
      <c r="L391" s="36"/>
      <c r="M391" s="36"/>
      <c r="N391" s="3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</row>
    <row r="392" spans="1:28" ht="18" customHeight="1">
      <c r="A392" s="1">
        <f t="shared" si="6"/>
        <v>24</v>
      </c>
      <c r="B392" s="1">
        <v>252610020</v>
      </c>
      <c r="C392" s="108" t="s">
        <v>1253</v>
      </c>
      <c r="D392" s="33"/>
      <c r="E392" s="93"/>
      <c r="F392" s="109" t="s">
        <v>3</v>
      </c>
      <c r="G392" s="36"/>
      <c r="H392" s="36"/>
      <c r="I392" s="36"/>
      <c r="J392" s="36"/>
      <c r="K392" s="36"/>
      <c r="L392" s="36"/>
      <c r="M392" s="36"/>
      <c r="N392" s="3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</row>
    <row r="393" spans="1:28" ht="18" customHeight="1">
      <c r="A393" s="1">
        <f t="shared" si="6"/>
        <v>25</v>
      </c>
      <c r="B393" s="1">
        <v>252610347</v>
      </c>
      <c r="C393" s="108" t="s">
        <v>1254</v>
      </c>
      <c r="D393" s="33"/>
      <c r="E393" s="93"/>
      <c r="F393" s="109" t="s">
        <v>1</v>
      </c>
      <c r="G393" s="36"/>
      <c r="H393" s="36"/>
      <c r="I393" s="36"/>
      <c r="J393" s="36"/>
      <c r="K393" s="36"/>
      <c r="L393" s="36"/>
      <c r="M393" s="36"/>
      <c r="N393" s="3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</row>
    <row r="394" spans="1:28" ht="18" customHeight="1">
      <c r="A394" s="123">
        <f t="shared" si="6"/>
        <v>26</v>
      </c>
      <c r="B394" s="123">
        <v>252610524</v>
      </c>
      <c r="C394" s="108" t="s">
        <v>1257</v>
      </c>
      <c r="D394" s="33"/>
      <c r="E394" s="93"/>
      <c r="F394" s="109" t="s">
        <v>1</v>
      </c>
      <c r="G394" s="21"/>
      <c r="H394" s="78"/>
      <c r="I394" s="78"/>
      <c r="J394" s="78"/>
      <c r="K394" s="78"/>
      <c r="L394" s="78"/>
      <c r="M394" s="78"/>
      <c r="N394" s="78"/>
      <c r="O394" s="21"/>
      <c r="P394" s="21"/>
      <c r="Q394" s="78" t="s">
        <v>982</v>
      </c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</row>
    <row r="395" spans="1:28" ht="18" customHeight="1">
      <c r="A395" s="1">
        <f t="shared" si="6"/>
        <v>27</v>
      </c>
      <c r="B395" s="1">
        <v>252610525</v>
      </c>
      <c r="C395" s="108" t="s">
        <v>1260</v>
      </c>
      <c r="D395" s="33"/>
      <c r="E395" s="93"/>
      <c r="F395" s="109" t="s">
        <v>1</v>
      </c>
      <c r="G395" s="36"/>
      <c r="H395" s="36"/>
      <c r="I395" s="36"/>
      <c r="J395" s="36"/>
      <c r="K395" s="36"/>
      <c r="L395" s="36"/>
      <c r="M395" s="36"/>
      <c r="N395" s="3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</row>
    <row r="396" spans="1:28" ht="18" customHeight="1">
      <c r="A396" s="1">
        <f t="shared" si="6"/>
        <v>28</v>
      </c>
      <c r="B396" s="1">
        <v>252610023</v>
      </c>
      <c r="C396" s="108" t="s">
        <v>1263</v>
      </c>
      <c r="D396" s="33"/>
      <c r="E396" s="93"/>
      <c r="F396" s="109" t="s">
        <v>1</v>
      </c>
      <c r="G396" s="36"/>
      <c r="H396" s="36"/>
      <c r="I396" s="36"/>
      <c r="J396" s="36"/>
      <c r="K396" s="36"/>
      <c r="L396" s="36"/>
      <c r="M396" s="36"/>
      <c r="N396" s="3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</row>
    <row r="397" spans="1:28" ht="18" customHeight="1">
      <c r="A397" s="1">
        <f t="shared" si="6"/>
        <v>29</v>
      </c>
      <c r="B397" s="1">
        <v>252610435</v>
      </c>
      <c r="C397" s="108" t="s">
        <v>1265</v>
      </c>
      <c r="D397" s="33"/>
      <c r="E397" s="93"/>
      <c r="F397" s="109" t="s">
        <v>1</v>
      </c>
      <c r="G397" s="36"/>
      <c r="H397" s="36"/>
      <c r="I397" s="36"/>
      <c r="J397" s="36"/>
      <c r="K397" s="36"/>
      <c r="L397" s="36"/>
      <c r="M397" s="36"/>
      <c r="N397" s="3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</row>
    <row r="398" spans="1:28" ht="18" customHeight="1">
      <c r="A398" s="1">
        <f t="shared" si="6"/>
        <v>30</v>
      </c>
      <c r="B398" s="1">
        <v>252610063</v>
      </c>
      <c r="C398" s="108" t="s">
        <v>1268</v>
      </c>
      <c r="D398" s="33"/>
      <c r="E398" s="93"/>
      <c r="F398" s="109" t="s">
        <v>1</v>
      </c>
      <c r="G398" s="36"/>
      <c r="H398" s="36"/>
      <c r="I398" s="36"/>
      <c r="J398" s="36"/>
      <c r="K398" s="36"/>
      <c r="L398" s="36"/>
      <c r="M398" s="36"/>
      <c r="N398" s="3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</row>
    <row r="399" spans="1:28" ht="18" customHeight="1">
      <c r="A399" s="1">
        <f t="shared" si="6"/>
        <v>31</v>
      </c>
      <c r="B399" s="1">
        <v>252610529</v>
      </c>
      <c r="C399" s="108" t="s">
        <v>1271</v>
      </c>
      <c r="D399" s="33"/>
      <c r="E399" s="93"/>
      <c r="F399" s="109" t="s">
        <v>1</v>
      </c>
      <c r="G399" s="36"/>
      <c r="H399" s="36"/>
      <c r="I399" s="36"/>
      <c r="J399" s="36"/>
      <c r="K399" s="36"/>
      <c r="L399" s="36"/>
      <c r="M399" s="36"/>
      <c r="N399" s="3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</row>
    <row r="400" spans="1:28" ht="18" customHeight="1">
      <c r="A400" s="1">
        <f t="shared" si="6"/>
        <v>32</v>
      </c>
      <c r="B400" s="1">
        <v>252610070</v>
      </c>
      <c r="C400" s="108" t="s">
        <v>1274</v>
      </c>
      <c r="D400" s="33"/>
      <c r="E400" s="93"/>
      <c r="F400" s="109" t="s">
        <v>3</v>
      </c>
      <c r="G400" s="36"/>
      <c r="H400" s="36"/>
      <c r="I400" s="36"/>
      <c r="J400" s="36"/>
      <c r="K400" s="36"/>
      <c r="L400" s="36"/>
      <c r="M400" s="36"/>
      <c r="N400" s="3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</row>
    <row r="401" spans="1:28" ht="18" customHeight="1">
      <c r="A401" s="1">
        <f t="shared" si="6"/>
        <v>33</v>
      </c>
      <c r="B401" s="1">
        <v>252610481</v>
      </c>
      <c r="C401" s="108" t="s">
        <v>1276</v>
      </c>
      <c r="D401" s="33"/>
      <c r="E401" s="93"/>
      <c r="F401" s="109" t="s">
        <v>3</v>
      </c>
      <c r="G401" s="36"/>
      <c r="H401" s="36"/>
      <c r="I401" s="36"/>
      <c r="J401" s="36"/>
      <c r="K401" s="36"/>
      <c r="L401" s="36"/>
      <c r="M401" s="36"/>
      <c r="N401" s="3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</row>
    <row r="402" spans="1:28" ht="18" customHeight="1">
      <c r="A402" s="83">
        <f t="shared" si="6"/>
        <v>34</v>
      </c>
      <c r="B402" s="83">
        <v>252610535</v>
      </c>
      <c r="C402" s="108" t="s">
        <v>1279</v>
      </c>
      <c r="D402" s="33"/>
      <c r="E402" s="93"/>
      <c r="F402" s="109" t="s">
        <v>1</v>
      </c>
      <c r="G402" s="85"/>
      <c r="H402" s="85"/>
      <c r="I402" s="85"/>
      <c r="J402" s="85"/>
      <c r="K402" s="85"/>
      <c r="L402" s="85"/>
      <c r="M402" s="85"/>
      <c r="N402" s="85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</row>
    <row r="403" spans="1:28" ht="18" customHeight="1">
      <c r="A403" s="1">
        <f t="shared" si="6"/>
        <v>35</v>
      </c>
      <c r="B403" s="1">
        <v>252610210</v>
      </c>
      <c r="C403" s="108" t="s">
        <v>1282</v>
      </c>
      <c r="D403" s="33"/>
      <c r="E403" s="93"/>
      <c r="F403" s="109" t="s">
        <v>3</v>
      </c>
      <c r="G403" s="36"/>
      <c r="H403" s="36"/>
      <c r="I403" s="36"/>
      <c r="J403" s="36"/>
      <c r="K403" s="36"/>
      <c r="L403" s="36"/>
      <c r="M403" s="36"/>
      <c r="N403" s="3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</row>
    <row r="404" spans="1:28" ht="18" customHeight="1">
      <c r="A404" s="1">
        <f t="shared" si="6"/>
        <v>36</v>
      </c>
      <c r="B404" s="1">
        <v>252610216</v>
      </c>
      <c r="C404" s="108" t="s">
        <v>1285</v>
      </c>
      <c r="D404" s="33"/>
      <c r="E404" s="93"/>
      <c r="F404" s="109" t="s">
        <v>3</v>
      </c>
      <c r="G404" s="36"/>
      <c r="H404" s="36"/>
      <c r="I404" s="36"/>
      <c r="J404" s="36"/>
      <c r="K404" s="36"/>
      <c r="L404" s="36"/>
      <c r="M404" s="36"/>
      <c r="N404" s="3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</row>
    <row r="405" spans="1:28" ht="18" customHeight="1">
      <c r="A405" s="1">
        <f t="shared" si="6"/>
        <v>37</v>
      </c>
      <c r="B405" s="1">
        <v>252610037</v>
      </c>
      <c r="C405" s="108" t="s">
        <v>1288</v>
      </c>
      <c r="D405" s="33"/>
      <c r="E405" s="93"/>
      <c r="F405" s="109" t="s">
        <v>3</v>
      </c>
      <c r="G405" s="36"/>
      <c r="H405" s="36"/>
      <c r="I405" s="36"/>
      <c r="J405" s="36"/>
      <c r="K405" s="36"/>
      <c r="L405" s="36"/>
      <c r="M405" s="36"/>
      <c r="N405" s="3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</row>
    <row r="406" spans="1:28" ht="18" customHeight="1">
      <c r="A406" s="1">
        <f t="shared" si="6"/>
        <v>38</v>
      </c>
      <c r="B406" s="1">
        <v>252610406</v>
      </c>
      <c r="C406" s="108" t="s">
        <v>1292</v>
      </c>
      <c r="D406" s="33"/>
      <c r="E406" s="93"/>
      <c r="F406" s="109" t="s">
        <v>3</v>
      </c>
      <c r="G406" s="36"/>
      <c r="H406" s="36"/>
      <c r="I406" s="36"/>
      <c r="J406" s="36"/>
      <c r="K406" s="36"/>
      <c r="L406" s="36"/>
      <c r="M406" s="36"/>
      <c r="N406" s="3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</row>
    <row r="407" spans="1:28" ht="18" customHeight="1">
      <c r="A407" s="1">
        <f t="shared" si="6"/>
        <v>39</v>
      </c>
      <c r="B407" s="1">
        <v>252610219</v>
      </c>
      <c r="C407" s="108" t="s">
        <v>1295</v>
      </c>
      <c r="D407" s="33"/>
      <c r="E407" s="93"/>
      <c r="F407" s="109" t="s">
        <v>3</v>
      </c>
      <c r="G407" s="36"/>
      <c r="H407" s="36"/>
      <c r="I407" s="36"/>
      <c r="J407" s="36"/>
      <c r="K407" s="36"/>
      <c r="L407" s="36"/>
      <c r="M407" s="36"/>
      <c r="N407" s="3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</row>
    <row r="408" spans="1:28" ht="18" customHeight="1">
      <c r="A408" s="1">
        <f t="shared" si="6"/>
        <v>40</v>
      </c>
      <c r="B408" s="1">
        <v>252610493</v>
      </c>
      <c r="C408" s="108" t="s">
        <v>1296</v>
      </c>
      <c r="D408" s="33"/>
      <c r="E408" s="93"/>
      <c r="F408" s="109" t="s">
        <v>3</v>
      </c>
      <c r="G408" s="36"/>
      <c r="H408" s="36"/>
      <c r="I408" s="36"/>
      <c r="J408" s="36"/>
      <c r="K408" s="36"/>
      <c r="L408" s="36"/>
      <c r="M408" s="36"/>
      <c r="N408" s="3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</row>
    <row r="409" spans="1:28" ht="18" customHeight="1">
      <c r="A409" s="1">
        <f t="shared" si="6"/>
        <v>41</v>
      </c>
      <c r="B409" s="1">
        <v>252610041</v>
      </c>
      <c r="C409" s="108" t="s">
        <v>1298</v>
      </c>
      <c r="D409" s="33"/>
      <c r="E409" s="93"/>
      <c r="F409" s="109" t="s">
        <v>3</v>
      </c>
      <c r="G409" s="36"/>
      <c r="H409" s="36"/>
      <c r="I409" s="36"/>
      <c r="J409" s="36"/>
      <c r="K409" s="36"/>
      <c r="L409" s="36"/>
      <c r="M409" s="36"/>
      <c r="N409" s="3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</row>
    <row r="410" spans="1:28" ht="18" customHeight="1">
      <c r="A410" s="1">
        <f t="shared" si="6"/>
        <v>42</v>
      </c>
      <c r="B410" s="1">
        <v>252610316</v>
      </c>
      <c r="C410" s="108" t="s">
        <v>1300</v>
      </c>
      <c r="D410" s="33"/>
      <c r="E410" s="93"/>
      <c r="F410" s="109" t="s">
        <v>3</v>
      </c>
      <c r="G410" s="36"/>
      <c r="H410" s="36"/>
      <c r="I410" s="36"/>
      <c r="J410" s="36"/>
      <c r="K410" s="36"/>
      <c r="L410" s="36"/>
      <c r="M410" s="36"/>
      <c r="N410" s="3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</row>
    <row r="411" spans="1:28" ht="18" customHeight="1">
      <c r="A411" s="1">
        <f t="shared" si="6"/>
        <v>43</v>
      </c>
      <c r="B411" s="1">
        <v>252610271</v>
      </c>
      <c r="C411" s="108" t="s">
        <v>1302</v>
      </c>
      <c r="D411" s="33"/>
      <c r="E411" s="93"/>
      <c r="F411" s="109" t="s">
        <v>1</v>
      </c>
      <c r="G411" s="36"/>
      <c r="H411" s="36"/>
      <c r="I411" s="36"/>
      <c r="J411" s="36"/>
      <c r="K411" s="36"/>
      <c r="L411" s="36"/>
      <c r="M411" s="36"/>
      <c r="N411" s="3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</row>
    <row r="412" spans="1:28" ht="18" customHeight="1">
      <c r="A412" s="1">
        <f t="shared" si="6"/>
        <v>44</v>
      </c>
      <c r="B412" s="1">
        <v>252610092</v>
      </c>
      <c r="C412" s="108" t="s">
        <v>1304</v>
      </c>
      <c r="D412" s="33"/>
      <c r="E412" s="93"/>
      <c r="F412" s="109" t="s">
        <v>3</v>
      </c>
      <c r="G412" s="36"/>
      <c r="H412" s="36"/>
      <c r="I412" s="36"/>
      <c r="J412" s="36"/>
      <c r="K412" s="36"/>
      <c r="L412" s="36"/>
      <c r="M412" s="36"/>
      <c r="N412" s="3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</row>
    <row r="413" spans="1:28" ht="18" customHeight="1">
      <c r="A413" s="1">
        <f t="shared" si="6"/>
        <v>45</v>
      </c>
      <c r="B413" s="1"/>
      <c r="C413" s="108"/>
      <c r="D413" s="33"/>
      <c r="E413" s="93"/>
      <c r="F413" s="102"/>
      <c r="G413" s="36"/>
      <c r="H413" s="36"/>
      <c r="I413" s="36"/>
      <c r="J413" s="36"/>
      <c r="K413" s="36"/>
      <c r="L413" s="36"/>
      <c r="M413" s="36"/>
      <c r="N413" s="3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</row>
    <row r="414" spans="1:28" ht="18" customHeight="1">
      <c r="A414" s="1">
        <f t="shared" si="6"/>
        <v>46</v>
      </c>
      <c r="B414" s="1"/>
      <c r="C414" s="108"/>
      <c r="D414" s="33"/>
      <c r="E414" s="93"/>
      <c r="F414" s="102"/>
      <c r="G414" s="36"/>
      <c r="H414" s="36"/>
      <c r="I414" s="36"/>
      <c r="J414" s="36"/>
      <c r="K414" s="36"/>
      <c r="L414" s="36"/>
      <c r="M414" s="36"/>
      <c r="N414" s="3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</row>
    <row r="415" spans="1:28" ht="18" customHeight="1">
      <c r="A415" s="1">
        <f t="shared" si="6"/>
        <v>47</v>
      </c>
      <c r="B415" s="1"/>
      <c r="C415" s="108"/>
      <c r="D415" s="33"/>
      <c r="E415" s="93"/>
      <c r="F415" s="102"/>
      <c r="G415" s="36"/>
      <c r="H415" s="36"/>
      <c r="I415" s="36"/>
      <c r="J415" s="36"/>
      <c r="K415" s="36"/>
      <c r="L415" s="36"/>
      <c r="M415" s="36"/>
      <c r="N415" s="3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</row>
    <row r="416" spans="1:28" ht="15.8" customHeight="1">
      <c r="A416" s="79"/>
      <c r="B416" s="115"/>
      <c r="C416" s="20"/>
      <c r="D416" s="20"/>
      <c r="E416" s="20"/>
      <c r="F416" s="80" t="s">
        <v>1</v>
      </c>
      <c r="G416" s="80">
        <f>COUNTIF(F369:F415,"L")</f>
        <v>21</v>
      </c>
      <c r="H416" s="20"/>
      <c r="I416" s="20"/>
      <c r="J416" s="20"/>
      <c r="K416" s="20"/>
      <c r="L416" s="20"/>
      <c r="M416" s="20"/>
      <c r="N416" s="20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r="417" spans="1:28" ht="15.8" customHeight="1">
      <c r="A417" s="79"/>
      <c r="B417" s="79"/>
      <c r="C417" s="20"/>
      <c r="D417" s="20"/>
      <c r="E417" s="20"/>
      <c r="F417" s="30" t="s">
        <v>3</v>
      </c>
      <c r="G417" s="30">
        <f>COUNTIF(F369:F415,"P")</f>
        <v>23</v>
      </c>
      <c r="H417" s="20"/>
      <c r="I417" s="20"/>
      <c r="J417" s="20"/>
      <c r="K417" s="20"/>
      <c r="L417" s="20"/>
      <c r="M417" s="20"/>
      <c r="N417" s="20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</row>
    <row r="418" spans="1:28" ht="15.8" customHeight="1">
      <c r="A418" s="79"/>
      <c r="B418" s="79"/>
      <c r="C418" s="20"/>
      <c r="D418" s="20"/>
      <c r="E418" s="20"/>
      <c r="F418" s="81" t="s">
        <v>251</v>
      </c>
      <c r="G418" s="81">
        <f>SUM(G416:G417)</f>
        <v>44</v>
      </c>
      <c r="H418" s="20"/>
      <c r="I418" s="20"/>
      <c r="J418" s="20"/>
      <c r="K418" s="20"/>
      <c r="L418" s="20"/>
      <c r="M418" s="20"/>
      <c r="N418" s="20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</row>
    <row r="419" spans="1:28" ht="15.8" customHeight="1">
      <c r="A419" s="20" t="s">
        <v>275</v>
      </c>
      <c r="B419" s="79"/>
      <c r="C419" s="20"/>
      <c r="D419" s="20"/>
      <c r="E419" s="20"/>
      <c r="F419" s="94"/>
      <c r="G419" s="6"/>
      <c r="H419" s="6"/>
      <c r="I419" s="82" t="s">
        <v>254</v>
      </c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</row>
    <row r="420" spans="1:28" ht="15.8" customHeight="1">
      <c r="A420" s="20" t="s">
        <v>280</v>
      </c>
      <c r="B420" s="79"/>
      <c r="C420" s="20"/>
      <c r="D420" s="20"/>
      <c r="E420" s="20" t="s">
        <v>281</v>
      </c>
      <c r="F420" s="94"/>
      <c r="G420" s="6"/>
      <c r="H420" s="6"/>
      <c r="I420" s="6" t="s">
        <v>256</v>
      </c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</row>
    <row r="421" spans="1:28" ht="15.8" customHeight="1">
      <c r="A421" s="20"/>
      <c r="B421" s="6"/>
      <c r="C421" s="20"/>
      <c r="D421" s="20"/>
      <c r="E421" s="20"/>
      <c r="F421" s="79"/>
      <c r="G421" s="20"/>
      <c r="H421" s="20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</row>
    <row r="422" spans="1:28" ht="15.8" customHeight="1">
      <c r="A422" s="20"/>
      <c r="B422" s="6"/>
      <c r="C422" s="20"/>
      <c r="D422" s="20"/>
      <c r="E422" s="20"/>
      <c r="F422" s="79"/>
      <c r="G422" s="20"/>
      <c r="H422" s="20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</row>
    <row r="423" spans="1:28" ht="15.8" customHeight="1">
      <c r="A423" s="24" t="s">
        <v>1323</v>
      </c>
      <c r="B423" s="6"/>
      <c r="C423" s="6"/>
      <c r="D423" s="6"/>
      <c r="E423" s="86" t="s">
        <v>525</v>
      </c>
      <c r="F423" s="94"/>
      <c r="G423" s="6"/>
      <c r="H423" s="20"/>
      <c r="I423" s="87"/>
      <c r="J423" s="87"/>
      <c r="K423" s="87"/>
      <c r="L423" s="87"/>
      <c r="M423" s="87"/>
      <c r="N423" s="87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</row>
    <row r="424" spans="1:28" ht="15.8" customHeight="1">
      <c r="A424" s="41" t="s">
        <v>1326</v>
      </c>
      <c r="B424" s="41"/>
      <c r="C424" s="20"/>
      <c r="D424" s="20"/>
      <c r="E424" s="20" t="s">
        <v>527</v>
      </c>
      <c r="F424" s="79"/>
      <c r="G424" s="20"/>
      <c r="H424" s="20" t="s">
        <v>266</v>
      </c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</row>
    <row r="425" spans="1:28" ht="15.8" customHeight="1">
      <c r="A425" s="43"/>
      <c r="B425" s="44"/>
      <c r="C425" s="44"/>
      <c r="D425" s="44"/>
      <c r="E425" s="44"/>
      <c r="F425" s="45"/>
      <c r="G425" s="46"/>
      <c r="H425" s="46"/>
      <c r="I425" s="44"/>
      <c r="J425" s="44"/>
      <c r="K425" s="44"/>
      <c r="L425" s="44"/>
      <c r="M425" s="44"/>
      <c r="N425" s="44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</row>
    <row r="426" spans="1:28" ht="19.55" customHeight="1">
      <c r="A426" s="16" t="s">
        <v>79</v>
      </c>
      <c r="B426" s="16"/>
      <c r="C426" s="4" t="s">
        <v>1330</v>
      </c>
      <c r="D426" s="16"/>
      <c r="E426" s="22"/>
      <c r="F426" s="23"/>
      <c r="G426" s="17"/>
      <c r="H426" s="19" t="s">
        <v>82</v>
      </c>
      <c r="I426" s="17"/>
      <c r="J426" s="17"/>
      <c r="K426" s="17"/>
      <c r="L426" s="17"/>
      <c r="M426" s="20"/>
      <c r="N426" s="20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</row>
    <row r="427" spans="1:28" ht="9" customHeight="1">
      <c r="A427" s="20"/>
      <c r="B427" s="24"/>
      <c r="C427" s="24"/>
      <c r="D427" s="24"/>
      <c r="E427" s="25"/>
      <c r="F427" s="14"/>
      <c r="G427" s="20"/>
      <c r="H427" s="26"/>
      <c r="I427" s="27"/>
      <c r="J427" s="27"/>
      <c r="K427" s="27"/>
      <c r="L427" s="27"/>
      <c r="M427" s="27"/>
      <c r="N427" s="27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</row>
    <row r="428" spans="1:28" ht="15.8" customHeight="1">
      <c r="A428" s="176" t="s">
        <v>84</v>
      </c>
      <c r="B428" s="177"/>
      <c r="C428" s="178" t="s">
        <v>85</v>
      </c>
      <c r="D428" s="179"/>
      <c r="E428" s="180"/>
      <c r="F428" s="184" t="s">
        <v>86</v>
      </c>
      <c r="G428" s="176" t="s">
        <v>87</v>
      </c>
      <c r="H428" s="186"/>
      <c r="I428" s="186"/>
      <c r="J428" s="186"/>
      <c r="K428" s="186"/>
      <c r="L428" s="186"/>
      <c r="M428" s="177"/>
      <c r="N428" s="184" t="s">
        <v>88</v>
      </c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</row>
    <row r="429" spans="1:28" ht="15.8" customHeight="1">
      <c r="A429" s="28" t="s">
        <v>90</v>
      </c>
      <c r="B429" s="28" t="s">
        <v>91</v>
      </c>
      <c r="C429" s="199"/>
      <c r="D429" s="200"/>
      <c r="E429" s="201"/>
      <c r="F429" s="185"/>
      <c r="G429" s="28"/>
      <c r="H429" s="28"/>
      <c r="I429" s="28"/>
      <c r="J429" s="28"/>
      <c r="K429" s="28"/>
      <c r="L429" s="28"/>
      <c r="M429" s="28"/>
      <c r="N429" s="185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</row>
    <row r="430" spans="1:28" ht="18" customHeight="1">
      <c r="A430" s="1">
        <v>1</v>
      </c>
      <c r="B430" s="31">
        <v>252610226</v>
      </c>
      <c r="C430" s="108" t="s">
        <v>1339</v>
      </c>
      <c r="D430" s="33"/>
      <c r="E430" s="93"/>
      <c r="F430" s="109" t="s">
        <v>3</v>
      </c>
      <c r="G430" s="36"/>
      <c r="H430" s="36"/>
      <c r="I430" s="36"/>
      <c r="J430" s="36"/>
      <c r="K430" s="36"/>
      <c r="L430" s="36"/>
      <c r="M430" s="36"/>
      <c r="N430" s="3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</row>
    <row r="431" spans="1:28" ht="18" customHeight="1">
      <c r="A431" s="1">
        <f t="shared" ref="A431:A473" si="7">A430+1</f>
        <v>2</v>
      </c>
      <c r="B431" s="1">
        <v>252610504</v>
      </c>
      <c r="C431" s="108" t="s">
        <v>1343</v>
      </c>
      <c r="D431" s="33"/>
      <c r="E431" s="93"/>
      <c r="F431" s="109" t="s">
        <v>1</v>
      </c>
      <c r="G431" s="36"/>
      <c r="H431" s="36"/>
      <c r="I431" s="36"/>
      <c r="J431" s="36"/>
      <c r="K431" s="36"/>
      <c r="L431" s="36"/>
      <c r="M431" s="36"/>
      <c r="N431" s="3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</row>
    <row r="432" spans="1:28" ht="18" customHeight="1">
      <c r="A432" s="1">
        <f t="shared" si="7"/>
        <v>3</v>
      </c>
      <c r="B432" s="1">
        <v>252610274</v>
      </c>
      <c r="C432" s="108" t="s">
        <v>1345</v>
      </c>
      <c r="D432" s="33"/>
      <c r="E432" s="93"/>
      <c r="F432" s="109" t="s">
        <v>3</v>
      </c>
      <c r="G432" s="36"/>
      <c r="H432" s="36"/>
      <c r="I432" s="36"/>
      <c r="J432" s="36"/>
      <c r="K432" s="36"/>
      <c r="L432" s="36"/>
      <c r="M432" s="36"/>
      <c r="N432" s="3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</row>
    <row r="433" spans="1:28" ht="18" customHeight="1">
      <c r="A433" s="1">
        <f t="shared" si="7"/>
        <v>4</v>
      </c>
      <c r="B433" s="1">
        <v>252610180</v>
      </c>
      <c r="C433" s="108" t="s">
        <v>1347</v>
      </c>
      <c r="D433" s="33"/>
      <c r="E433" s="93"/>
      <c r="F433" s="109" t="s">
        <v>1</v>
      </c>
      <c r="G433" s="36"/>
      <c r="H433" s="36"/>
      <c r="I433" s="36"/>
      <c r="J433" s="36"/>
      <c r="K433" s="36"/>
      <c r="L433" s="36"/>
      <c r="M433" s="36"/>
      <c r="N433" s="3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</row>
    <row r="434" spans="1:28" ht="18" customHeight="1">
      <c r="A434" s="1">
        <f t="shared" si="7"/>
        <v>5</v>
      </c>
      <c r="B434" s="1">
        <v>252610005</v>
      </c>
      <c r="C434" s="108" t="s">
        <v>1349</v>
      </c>
      <c r="D434" s="33"/>
      <c r="E434" s="93"/>
      <c r="F434" s="109" t="s">
        <v>3</v>
      </c>
      <c r="G434" s="36"/>
      <c r="H434" s="36"/>
      <c r="I434" s="36"/>
      <c r="J434" s="36"/>
      <c r="K434" s="36"/>
      <c r="L434" s="36"/>
      <c r="M434" s="36"/>
      <c r="N434" s="3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</row>
    <row r="435" spans="1:28" ht="18" customHeight="1">
      <c r="A435" s="1">
        <f t="shared" si="7"/>
        <v>6</v>
      </c>
      <c r="B435" s="1">
        <v>252610330</v>
      </c>
      <c r="C435" s="108" t="s">
        <v>1351</v>
      </c>
      <c r="D435" s="33"/>
      <c r="E435" s="93"/>
      <c r="F435" s="109" t="s">
        <v>3</v>
      </c>
      <c r="G435" s="36"/>
      <c r="H435" s="36"/>
      <c r="I435" s="36"/>
      <c r="J435" s="36"/>
      <c r="K435" s="36"/>
      <c r="L435" s="36"/>
      <c r="M435" s="36"/>
      <c r="N435" s="3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</row>
    <row r="436" spans="1:28" ht="18" customHeight="1">
      <c r="A436" s="1">
        <f t="shared" si="7"/>
        <v>7</v>
      </c>
      <c r="B436" s="1">
        <v>252610101</v>
      </c>
      <c r="C436" s="108" t="s">
        <v>1353</v>
      </c>
      <c r="D436" s="33"/>
      <c r="E436" s="93"/>
      <c r="F436" s="109" t="s">
        <v>1</v>
      </c>
      <c r="G436" s="36"/>
      <c r="H436" s="36"/>
      <c r="I436" s="36"/>
      <c r="J436" s="36"/>
      <c r="K436" s="36"/>
      <c r="L436" s="36"/>
      <c r="M436" s="36"/>
      <c r="N436" s="3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</row>
    <row r="437" spans="1:28" ht="18" customHeight="1">
      <c r="A437" s="1">
        <f t="shared" si="7"/>
        <v>8</v>
      </c>
      <c r="B437" s="1">
        <v>252610280</v>
      </c>
      <c r="C437" s="108" t="s">
        <v>1355</v>
      </c>
      <c r="D437" s="33"/>
      <c r="E437" s="93"/>
      <c r="F437" s="109" t="s">
        <v>1</v>
      </c>
      <c r="G437" s="36"/>
      <c r="H437" s="36"/>
      <c r="I437" s="36"/>
      <c r="J437" s="36"/>
      <c r="K437" s="36"/>
      <c r="L437" s="36"/>
      <c r="M437" s="36"/>
      <c r="N437" s="3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</row>
    <row r="438" spans="1:28" ht="18" customHeight="1">
      <c r="A438" s="1">
        <f t="shared" si="7"/>
        <v>9</v>
      </c>
      <c r="B438" s="1">
        <v>252610011</v>
      </c>
      <c r="C438" s="108" t="s">
        <v>1357</v>
      </c>
      <c r="D438" s="33"/>
      <c r="E438" s="93"/>
      <c r="F438" s="109" t="s">
        <v>3</v>
      </c>
      <c r="G438" s="36"/>
      <c r="H438" s="36"/>
      <c r="I438" s="36"/>
      <c r="J438" s="36"/>
      <c r="K438" s="36"/>
      <c r="L438" s="36"/>
      <c r="M438" s="36"/>
      <c r="N438" s="3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</row>
    <row r="439" spans="1:28" ht="18" customHeight="1">
      <c r="A439" s="1">
        <f t="shared" si="7"/>
        <v>10</v>
      </c>
      <c r="B439" s="1">
        <v>252610238</v>
      </c>
      <c r="C439" s="108" t="s">
        <v>1360</v>
      </c>
      <c r="D439" s="33"/>
      <c r="E439" s="93"/>
      <c r="F439" s="109" t="s">
        <v>3</v>
      </c>
      <c r="G439" s="36"/>
      <c r="H439" s="36"/>
      <c r="I439" s="36"/>
      <c r="J439" s="36"/>
      <c r="K439" s="36"/>
      <c r="L439" s="36"/>
      <c r="M439" s="36"/>
      <c r="N439" s="3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</row>
    <row r="440" spans="1:28" ht="18" customHeight="1">
      <c r="A440" s="1">
        <f t="shared" si="7"/>
        <v>11</v>
      </c>
      <c r="B440" s="1">
        <v>252610055</v>
      </c>
      <c r="C440" s="108" t="s">
        <v>1363</v>
      </c>
      <c r="D440" s="33"/>
      <c r="E440" s="93"/>
      <c r="F440" s="109" t="s">
        <v>1</v>
      </c>
      <c r="G440" s="36"/>
      <c r="H440" s="36"/>
      <c r="I440" s="36"/>
      <c r="J440" s="36"/>
      <c r="K440" s="36"/>
      <c r="L440" s="36"/>
      <c r="M440" s="36"/>
      <c r="N440" s="3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</row>
    <row r="441" spans="1:28" ht="18" customHeight="1">
      <c r="A441" s="1">
        <f t="shared" si="7"/>
        <v>12</v>
      </c>
      <c r="B441" s="1">
        <v>252610514</v>
      </c>
      <c r="C441" s="108" t="s">
        <v>1366</v>
      </c>
      <c r="D441" s="33"/>
      <c r="E441" s="93"/>
      <c r="F441" s="109" t="s">
        <v>1</v>
      </c>
      <c r="G441" s="36"/>
      <c r="H441" s="36"/>
      <c r="I441" s="36"/>
      <c r="J441" s="36"/>
      <c r="K441" s="36"/>
      <c r="L441" s="36"/>
      <c r="M441" s="36"/>
      <c r="N441" s="3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</row>
    <row r="442" spans="1:28" ht="18" customHeight="1">
      <c r="A442" s="1">
        <f t="shared" si="7"/>
        <v>13</v>
      </c>
      <c r="B442" s="1">
        <v>252610337</v>
      </c>
      <c r="C442" s="108" t="s">
        <v>1368</v>
      </c>
      <c r="D442" s="33"/>
      <c r="E442" s="93"/>
      <c r="F442" s="109" t="s">
        <v>3</v>
      </c>
      <c r="G442" s="36"/>
      <c r="H442" s="36"/>
      <c r="I442" s="36"/>
      <c r="J442" s="36"/>
      <c r="K442" s="36"/>
      <c r="L442" s="36"/>
      <c r="M442" s="36"/>
      <c r="N442" s="36"/>
      <c r="O442" s="6"/>
      <c r="P442" s="6"/>
      <c r="Q442" s="6"/>
      <c r="R442" s="6" t="s">
        <v>1121</v>
      </c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 spans="1:28" ht="18" customHeight="1">
      <c r="A443" s="1">
        <f t="shared" si="7"/>
        <v>14</v>
      </c>
      <c r="B443" s="1">
        <v>252610014</v>
      </c>
      <c r="C443" s="108" t="s">
        <v>1371</v>
      </c>
      <c r="D443" s="33"/>
      <c r="E443" s="93"/>
      <c r="F443" s="109" t="s">
        <v>1</v>
      </c>
      <c r="G443" s="36"/>
      <c r="H443" s="36"/>
      <c r="I443" s="36"/>
      <c r="J443" s="36"/>
      <c r="K443" s="36"/>
      <c r="L443" s="36"/>
      <c r="M443" s="36"/>
      <c r="N443" s="3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</row>
    <row r="444" spans="1:28" ht="18" customHeight="1">
      <c r="A444" s="1">
        <f t="shared" si="7"/>
        <v>15</v>
      </c>
      <c r="B444" s="1">
        <v>252610058</v>
      </c>
      <c r="C444" s="108" t="s">
        <v>1373</v>
      </c>
      <c r="D444" s="33"/>
      <c r="E444" s="93"/>
      <c r="F444" s="109" t="s">
        <v>3</v>
      </c>
      <c r="G444" s="36"/>
      <c r="H444" s="36"/>
      <c r="I444" s="36"/>
      <c r="J444" s="36"/>
      <c r="K444" s="36"/>
      <c r="L444" s="36"/>
      <c r="M444" s="36"/>
      <c r="N444" s="3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</row>
    <row r="445" spans="1:28" ht="18" customHeight="1">
      <c r="A445" s="1">
        <f t="shared" si="7"/>
        <v>16</v>
      </c>
      <c r="B445" s="1">
        <v>252610197</v>
      </c>
      <c r="C445" s="108" t="s">
        <v>1376</v>
      </c>
      <c r="D445" s="33"/>
      <c r="E445" s="93"/>
      <c r="F445" s="109" t="s">
        <v>1</v>
      </c>
      <c r="G445" s="36"/>
      <c r="H445" s="36"/>
      <c r="I445" s="36"/>
      <c r="J445" s="36"/>
      <c r="K445" s="36"/>
      <c r="L445" s="36"/>
      <c r="M445" s="36"/>
      <c r="N445" s="3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</row>
    <row r="446" spans="1:28" ht="18" customHeight="1">
      <c r="A446" s="1">
        <f t="shared" si="7"/>
        <v>17</v>
      </c>
      <c r="B446" s="1">
        <v>252610427</v>
      </c>
      <c r="C446" s="108" t="s">
        <v>1379</v>
      </c>
      <c r="D446" s="33"/>
      <c r="E446" s="93"/>
      <c r="F446" s="109" t="s">
        <v>1</v>
      </c>
      <c r="G446" s="36"/>
      <c r="H446" s="36"/>
      <c r="I446" s="36"/>
      <c r="J446" s="36"/>
      <c r="K446" s="36"/>
      <c r="L446" s="36"/>
      <c r="M446" s="36"/>
      <c r="N446" s="3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</row>
    <row r="447" spans="1:28" ht="18" customHeight="1">
      <c r="A447" s="1">
        <f t="shared" si="7"/>
        <v>18</v>
      </c>
      <c r="B447" s="1">
        <v>252610022</v>
      </c>
      <c r="C447" s="108" t="s">
        <v>1381</v>
      </c>
      <c r="D447" s="33"/>
      <c r="E447" s="93"/>
      <c r="F447" s="109" t="s">
        <v>3</v>
      </c>
      <c r="G447" s="36"/>
      <c r="H447" s="36"/>
      <c r="I447" s="36"/>
      <c r="J447" s="36"/>
      <c r="K447" s="36"/>
      <c r="L447" s="36"/>
      <c r="M447" s="36"/>
      <c r="N447" s="1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</row>
    <row r="448" spans="1:28" ht="18" customHeight="1">
      <c r="A448" s="1">
        <f t="shared" si="7"/>
        <v>19</v>
      </c>
      <c r="B448" s="1">
        <v>252610476</v>
      </c>
      <c r="C448" s="108" t="s">
        <v>1384</v>
      </c>
      <c r="D448" s="33"/>
      <c r="E448" s="93"/>
      <c r="F448" s="109" t="s">
        <v>1</v>
      </c>
      <c r="G448" s="36"/>
      <c r="H448" s="36"/>
      <c r="I448" s="36"/>
      <c r="J448" s="36"/>
      <c r="K448" s="36"/>
      <c r="L448" s="36"/>
      <c r="M448" s="36"/>
      <c r="N448" s="3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 spans="1:28" ht="18" customHeight="1">
      <c r="A449" s="1">
        <f t="shared" si="7"/>
        <v>20</v>
      </c>
      <c r="B449" s="1">
        <v>252610201</v>
      </c>
      <c r="C449" s="108" t="s">
        <v>1387</v>
      </c>
      <c r="D449" s="33"/>
      <c r="E449" s="93"/>
      <c r="F449" s="109" t="s">
        <v>1</v>
      </c>
      <c r="G449" s="85"/>
      <c r="H449" s="36"/>
      <c r="I449" s="36"/>
      <c r="J449" s="36"/>
      <c r="K449" s="36"/>
      <c r="L449" s="36"/>
      <c r="M449" s="36"/>
      <c r="N449" s="3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</row>
    <row r="450" spans="1:28" ht="18" customHeight="1">
      <c r="A450" s="123">
        <f t="shared" si="7"/>
        <v>21</v>
      </c>
      <c r="B450" s="123">
        <v>252610440</v>
      </c>
      <c r="C450" s="108" t="s">
        <v>1390</v>
      </c>
      <c r="D450" s="33"/>
      <c r="E450" s="93"/>
      <c r="F450" s="109" t="s">
        <v>3</v>
      </c>
      <c r="G450" s="39"/>
      <c r="H450" s="153"/>
      <c r="I450" s="78"/>
      <c r="J450" s="78"/>
      <c r="K450" s="78"/>
      <c r="L450" s="78"/>
      <c r="M450" s="78"/>
      <c r="N450" s="78"/>
      <c r="O450" s="21"/>
      <c r="P450" s="78" t="s">
        <v>627</v>
      </c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</row>
    <row r="451" spans="1:28" ht="18" customHeight="1">
      <c r="A451" s="123">
        <f t="shared" si="7"/>
        <v>22</v>
      </c>
      <c r="B451" s="123">
        <v>252610069</v>
      </c>
      <c r="C451" s="108" t="s">
        <v>1393</v>
      </c>
      <c r="D451" s="33"/>
      <c r="E451" s="93"/>
      <c r="F451" s="109" t="s">
        <v>3</v>
      </c>
      <c r="G451" s="39"/>
      <c r="H451" s="153"/>
      <c r="I451" s="78"/>
      <c r="J451" s="78"/>
      <c r="K451" s="78"/>
      <c r="L451" s="78"/>
      <c r="M451" s="78"/>
      <c r="N451" s="78"/>
      <c r="O451" s="21"/>
      <c r="P451" s="78" t="s">
        <v>1395</v>
      </c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</row>
    <row r="452" spans="1:28" ht="18" customHeight="1">
      <c r="A452" s="1">
        <f t="shared" si="7"/>
        <v>23</v>
      </c>
      <c r="B452" s="1">
        <v>252610530</v>
      </c>
      <c r="C452" s="108" t="s">
        <v>1397</v>
      </c>
      <c r="D452" s="33"/>
      <c r="E452" s="93"/>
      <c r="F452" s="109" t="s">
        <v>3</v>
      </c>
      <c r="G452" s="154"/>
      <c r="H452" s="36"/>
      <c r="I452" s="36"/>
      <c r="J452" s="36"/>
      <c r="K452" s="36"/>
      <c r="L452" s="36"/>
      <c r="M452" s="36"/>
      <c r="N452" s="3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 spans="1:28" ht="18" customHeight="1">
      <c r="A453" s="1">
        <f t="shared" si="7"/>
        <v>24</v>
      </c>
      <c r="B453" s="1">
        <v>252610171</v>
      </c>
      <c r="C453" s="108" t="s">
        <v>1400</v>
      </c>
      <c r="D453" s="33"/>
      <c r="E453" s="93"/>
      <c r="F453" s="109" t="s">
        <v>3</v>
      </c>
      <c r="G453" s="36"/>
      <c r="H453" s="36"/>
      <c r="I453" s="36"/>
      <c r="J453" s="36"/>
      <c r="K453" s="36"/>
      <c r="L453" s="36"/>
      <c r="M453" s="36"/>
      <c r="N453" s="3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</row>
    <row r="454" spans="1:28" ht="18" customHeight="1">
      <c r="A454" s="1">
        <f t="shared" si="7"/>
        <v>25</v>
      </c>
      <c r="B454" s="1">
        <v>252610442</v>
      </c>
      <c r="C454" s="108" t="s">
        <v>1402</v>
      </c>
      <c r="D454" s="33"/>
      <c r="E454" s="93"/>
      <c r="F454" s="109" t="s">
        <v>3</v>
      </c>
      <c r="G454" s="36"/>
      <c r="H454" s="36"/>
      <c r="I454" s="36"/>
      <c r="J454" s="36"/>
      <c r="K454" s="36"/>
      <c r="L454" s="36"/>
      <c r="M454" s="36"/>
      <c r="N454" s="3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 spans="1:28" ht="18" customHeight="1">
      <c r="A455" s="1">
        <f t="shared" si="7"/>
        <v>26</v>
      </c>
      <c r="B455" s="1">
        <v>252610074</v>
      </c>
      <c r="C455" s="108" t="s">
        <v>1404</v>
      </c>
      <c r="D455" s="33"/>
      <c r="E455" s="93"/>
      <c r="F455" s="109" t="s">
        <v>3</v>
      </c>
      <c r="G455" s="36"/>
      <c r="H455" s="36"/>
      <c r="I455" s="36"/>
      <c r="J455" s="36"/>
      <c r="K455" s="36"/>
      <c r="L455" s="36"/>
      <c r="M455" s="36"/>
      <c r="N455" s="3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</row>
    <row r="456" spans="1:28" ht="18" customHeight="1">
      <c r="A456" s="1">
        <f t="shared" si="7"/>
        <v>27</v>
      </c>
      <c r="B456" s="1">
        <v>252610395</v>
      </c>
      <c r="C456" s="108" t="s">
        <v>1406</v>
      </c>
      <c r="D456" s="33"/>
      <c r="E456" s="93"/>
      <c r="F456" s="109" t="s">
        <v>3</v>
      </c>
      <c r="G456" s="36"/>
      <c r="H456" s="36"/>
      <c r="I456" s="36"/>
      <c r="J456" s="36"/>
      <c r="K456" s="36"/>
      <c r="L456" s="36"/>
      <c r="M456" s="36"/>
      <c r="N456" s="3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 spans="1:28" ht="18" customHeight="1">
      <c r="A457" s="1">
        <f t="shared" si="7"/>
        <v>28</v>
      </c>
      <c r="B457" s="1">
        <v>252610128</v>
      </c>
      <c r="C457" s="108" t="s">
        <v>1408</v>
      </c>
      <c r="D457" s="33"/>
      <c r="E457" s="93"/>
      <c r="F457" s="109" t="s">
        <v>1</v>
      </c>
      <c r="G457" s="36"/>
      <c r="H457" s="36"/>
      <c r="I457" s="36"/>
      <c r="J457" s="36"/>
      <c r="K457" s="36"/>
      <c r="L457" s="36"/>
      <c r="M457" s="36"/>
      <c r="N457" s="3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</row>
    <row r="458" spans="1:28" ht="18" customHeight="1">
      <c r="A458" s="1">
        <f t="shared" si="7"/>
        <v>29</v>
      </c>
      <c r="B458" s="1">
        <v>252610307</v>
      </c>
      <c r="C458" s="108" t="s">
        <v>1410</v>
      </c>
      <c r="D458" s="33"/>
      <c r="E458" s="93"/>
      <c r="F458" s="109" t="s">
        <v>1</v>
      </c>
      <c r="G458" s="36"/>
      <c r="H458" s="36"/>
      <c r="I458" s="36"/>
      <c r="J458" s="36"/>
      <c r="K458" s="36"/>
      <c r="L458" s="36"/>
      <c r="M458" s="36"/>
      <c r="N458" s="3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 spans="1:28" ht="18" customHeight="1">
      <c r="A459" s="1">
        <f t="shared" si="7"/>
        <v>30</v>
      </c>
      <c r="B459" s="1">
        <v>252610031</v>
      </c>
      <c r="C459" s="108" t="s">
        <v>1412</v>
      </c>
      <c r="D459" s="33"/>
      <c r="E459" s="93"/>
      <c r="F459" s="109" t="s">
        <v>1</v>
      </c>
      <c r="G459" s="36"/>
      <c r="H459" s="36"/>
      <c r="I459" s="36"/>
      <c r="J459" s="36"/>
      <c r="K459" s="36"/>
      <c r="L459" s="36"/>
      <c r="M459" s="36"/>
      <c r="N459" s="3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</row>
    <row r="460" spans="1:28" ht="18" customHeight="1">
      <c r="A460" s="1">
        <f t="shared" si="7"/>
        <v>31</v>
      </c>
      <c r="B460" s="1">
        <v>252610209</v>
      </c>
      <c r="C460" s="108" t="s">
        <v>1414</v>
      </c>
      <c r="D460" s="33"/>
      <c r="E460" s="93"/>
      <c r="F460" s="109" t="s">
        <v>1</v>
      </c>
      <c r="G460" s="36"/>
      <c r="H460" s="36"/>
      <c r="I460" s="36"/>
      <c r="J460" s="36"/>
      <c r="K460" s="36"/>
      <c r="L460" s="36"/>
      <c r="M460" s="36"/>
      <c r="N460" s="3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 spans="1:28" ht="18" customHeight="1">
      <c r="A461" s="1">
        <f t="shared" si="7"/>
        <v>32</v>
      </c>
      <c r="B461" s="1">
        <v>252610265</v>
      </c>
      <c r="C461" s="108" t="s">
        <v>1417</v>
      </c>
      <c r="D461" s="33"/>
      <c r="E461" s="93"/>
      <c r="F461" s="109" t="s">
        <v>1</v>
      </c>
      <c r="G461" s="36"/>
      <c r="H461" s="36"/>
      <c r="I461" s="36"/>
      <c r="J461" s="36"/>
      <c r="K461" s="36"/>
      <c r="L461" s="36"/>
      <c r="M461" s="36"/>
      <c r="N461" s="3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</row>
    <row r="462" spans="1:28" ht="18" customHeight="1">
      <c r="A462" s="1">
        <f t="shared" si="7"/>
        <v>33</v>
      </c>
      <c r="B462" s="1">
        <v>252610214</v>
      </c>
      <c r="C462" s="108" t="s">
        <v>1420</v>
      </c>
      <c r="D462" s="33"/>
      <c r="E462" s="93"/>
      <c r="F462" s="109" t="s">
        <v>1</v>
      </c>
      <c r="G462" s="36"/>
      <c r="H462" s="36"/>
      <c r="I462" s="36"/>
      <c r="J462" s="36"/>
      <c r="K462" s="36"/>
      <c r="L462" s="36"/>
      <c r="M462" s="36"/>
      <c r="N462" s="3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</row>
    <row r="463" spans="1:28" ht="18" customHeight="1">
      <c r="A463" s="1">
        <f t="shared" si="7"/>
        <v>34</v>
      </c>
      <c r="B463" s="1">
        <v>252610217</v>
      </c>
      <c r="C463" s="108" t="s">
        <v>1425</v>
      </c>
      <c r="D463" s="33"/>
      <c r="E463" s="93"/>
      <c r="F463" s="109" t="s">
        <v>1</v>
      </c>
      <c r="G463" s="36"/>
      <c r="H463" s="36"/>
      <c r="I463" s="36"/>
      <c r="J463" s="36"/>
      <c r="K463" s="36"/>
      <c r="L463" s="36"/>
      <c r="M463" s="36"/>
      <c r="N463" s="3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</row>
    <row r="464" spans="1:28" ht="18" customHeight="1">
      <c r="A464" s="83">
        <f t="shared" si="7"/>
        <v>35</v>
      </c>
      <c r="B464" s="83">
        <v>252610489</v>
      </c>
      <c r="C464" s="108" t="s">
        <v>1426</v>
      </c>
      <c r="D464" s="33"/>
      <c r="E464" s="93"/>
      <c r="F464" s="109" t="s">
        <v>3</v>
      </c>
      <c r="G464" s="85"/>
      <c r="H464" s="85"/>
      <c r="I464" s="85"/>
      <c r="J464" s="85"/>
      <c r="K464" s="85"/>
      <c r="L464" s="85"/>
      <c r="M464" s="85"/>
      <c r="N464" s="85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</row>
    <row r="465" spans="1:28" ht="18" customHeight="1">
      <c r="A465" s="1">
        <f t="shared" si="7"/>
        <v>36</v>
      </c>
      <c r="B465" s="1">
        <v>252610038</v>
      </c>
      <c r="C465" s="108" t="s">
        <v>1429</v>
      </c>
      <c r="D465" s="33"/>
      <c r="E465" s="93"/>
      <c r="F465" s="109" t="s">
        <v>3</v>
      </c>
      <c r="G465" s="36"/>
      <c r="H465" s="36"/>
      <c r="I465" s="36"/>
      <c r="J465" s="36"/>
      <c r="K465" s="36"/>
      <c r="L465" s="36"/>
      <c r="M465" s="36"/>
      <c r="N465" s="3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</row>
    <row r="466" spans="1:28" ht="18" customHeight="1">
      <c r="A466" s="1">
        <f t="shared" si="7"/>
        <v>37</v>
      </c>
      <c r="B466" s="1">
        <v>252610408</v>
      </c>
      <c r="C466" s="108" t="s">
        <v>1431</v>
      </c>
      <c r="D466" s="33"/>
      <c r="E466" s="93"/>
      <c r="F466" s="109" t="s">
        <v>3</v>
      </c>
      <c r="G466" s="36"/>
      <c r="H466" s="36"/>
      <c r="I466" s="36"/>
      <c r="J466" s="36"/>
      <c r="K466" s="36"/>
      <c r="L466" s="36"/>
      <c r="M466" s="36"/>
      <c r="N466" s="3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</row>
    <row r="467" spans="1:28" ht="18" customHeight="1">
      <c r="A467" s="1">
        <f t="shared" si="7"/>
        <v>38</v>
      </c>
      <c r="B467" s="1">
        <v>252610540</v>
      </c>
      <c r="C467" s="108" t="s">
        <v>1432</v>
      </c>
      <c r="D467" s="33"/>
      <c r="E467" s="93"/>
      <c r="F467" s="109" t="s">
        <v>3</v>
      </c>
      <c r="G467" s="36"/>
      <c r="H467" s="36"/>
      <c r="I467" s="36"/>
      <c r="J467" s="36"/>
      <c r="K467" s="36"/>
      <c r="L467" s="36"/>
      <c r="M467" s="36"/>
      <c r="N467" s="3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</row>
    <row r="468" spans="1:28" ht="18" customHeight="1">
      <c r="A468" s="1">
        <f t="shared" si="7"/>
        <v>39</v>
      </c>
      <c r="B468" s="1">
        <v>252610042</v>
      </c>
      <c r="C468" s="108" t="s">
        <v>1434</v>
      </c>
      <c r="D468" s="33"/>
      <c r="E468" s="93"/>
      <c r="F468" s="109" t="s">
        <v>3</v>
      </c>
      <c r="G468" s="36"/>
      <c r="H468" s="36"/>
      <c r="I468" s="36"/>
      <c r="J468" s="36"/>
      <c r="K468" s="36"/>
      <c r="L468" s="36"/>
      <c r="M468" s="36"/>
      <c r="N468" s="3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</row>
    <row r="469" spans="1:28" ht="18" customHeight="1">
      <c r="A469" s="1">
        <f t="shared" si="7"/>
        <v>40</v>
      </c>
      <c r="B469" s="1">
        <v>252610448</v>
      </c>
      <c r="C469" s="108" t="s">
        <v>1437</v>
      </c>
      <c r="D469" s="33"/>
      <c r="E469" s="93"/>
      <c r="F469" s="109" t="s">
        <v>3</v>
      </c>
      <c r="G469" s="36"/>
      <c r="H469" s="36"/>
      <c r="I469" s="36"/>
      <c r="J469" s="36"/>
      <c r="K469" s="36"/>
      <c r="L469" s="36"/>
      <c r="M469" s="36"/>
      <c r="N469" s="3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</row>
    <row r="470" spans="1:28" ht="18" customHeight="1">
      <c r="A470" s="1">
        <f t="shared" si="7"/>
        <v>41</v>
      </c>
      <c r="B470" s="1">
        <v>252610542</v>
      </c>
      <c r="C470" s="108" t="s">
        <v>1440</v>
      </c>
      <c r="D470" s="33"/>
      <c r="E470" s="93"/>
      <c r="F470" s="109" t="s">
        <v>1</v>
      </c>
      <c r="G470" s="36"/>
      <c r="H470" s="36"/>
      <c r="I470" s="36"/>
      <c r="J470" s="36"/>
      <c r="K470" s="36"/>
      <c r="L470" s="36"/>
      <c r="M470" s="36"/>
      <c r="N470" s="3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 spans="1:28" ht="18" customHeight="1">
      <c r="A471" s="1">
        <f t="shared" si="7"/>
        <v>42</v>
      </c>
      <c r="B471" s="1">
        <v>252610318</v>
      </c>
      <c r="C471" s="108" t="s">
        <v>1443</v>
      </c>
      <c r="D471" s="33"/>
      <c r="E471" s="93"/>
      <c r="F471" s="109" t="s">
        <v>1</v>
      </c>
      <c r="G471" s="36"/>
      <c r="H471" s="36"/>
      <c r="I471" s="36"/>
      <c r="J471" s="36"/>
      <c r="K471" s="36"/>
      <c r="L471" s="36"/>
      <c r="M471" s="36"/>
      <c r="N471" s="3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</row>
    <row r="472" spans="1:28" ht="18" customHeight="1">
      <c r="A472" s="1">
        <f t="shared" si="7"/>
        <v>43</v>
      </c>
      <c r="B472" s="1">
        <v>252610543</v>
      </c>
      <c r="C472" s="108" t="s">
        <v>1447</v>
      </c>
      <c r="D472" s="33"/>
      <c r="E472" s="93"/>
      <c r="F472" s="109" t="s">
        <v>1</v>
      </c>
      <c r="G472" s="36"/>
      <c r="H472" s="36"/>
      <c r="I472" s="36"/>
      <c r="J472" s="36"/>
      <c r="K472" s="36"/>
      <c r="L472" s="36"/>
      <c r="M472" s="36"/>
      <c r="N472" s="3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 spans="1:28" ht="18" customHeight="1">
      <c r="A473" s="1">
        <f t="shared" si="7"/>
        <v>44</v>
      </c>
      <c r="B473" s="1">
        <v>252610497</v>
      </c>
      <c r="C473" s="108" t="s">
        <v>1450</v>
      </c>
      <c r="D473" s="33"/>
      <c r="E473" s="93"/>
      <c r="F473" s="109" t="s">
        <v>3</v>
      </c>
      <c r="G473" s="36"/>
      <c r="H473" s="36"/>
      <c r="I473" s="36"/>
      <c r="J473" s="36"/>
      <c r="K473" s="36"/>
      <c r="L473" s="36"/>
      <c r="M473" s="36"/>
      <c r="N473" s="3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</row>
    <row r="474" spans="1:28" ht="18" customHeight="1">
      <c r="A474" s="1"/>
      <c r="B474" s="1"/>
      <c r="C474" s="108"/>
      <c r="D474" s="33"/>
      <c r="E474" s="93"/>
      <c r="F474" s="102"/>
      <c r="G474" s="36"/>
      <c r="H474" s="36"/>
      <c r="I474" s="36"/>
      <c r="J474" s="36"/>
      <c r="K474" s="36"/>
      <c r="L474" s="36"/>
      <c r="M474" s="36"/>
      <c r="N474" s="3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 spans="1:28" ht="18" customHeight="1">
      <c r="A475" s="1"/>
      <c r="B475" s="1"/>
      <c r="C475" s="108"/>
      <c r="D475" s="33"/>
      <c r="E475" s="93"/>
      <c r="F475" s="102"/>
      <c r="G475" s="36"/>
      <c r="H475" s="36"/>
      <c r="I475" s="36"/>
      <c r="J475" s="36"/>
      <c r="K475" s="36"/>
      <c r="L475" s="36"/>
      <c r="M475" s="36"/>
      <c r="N475" s="3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</row>
    <row r="476" spans="1:28" ht="18" customHeight="1">
      <c r="A476" s="1"/>
      <c r="B476" s="1"/>
      <c r="C476" s="108"/>
      <c r="D476" s="33"/>
      <c r="E476" s="93"/>
      <c r="F476" s="102"/>
      <c r="G476" s="36"/>
      <c r="H476" s="36"/>
      <c r="I476" s="36"/>
      <c r="J476" s="36"/>
      <c r="K476" s="36"/>
      <c r="L476" s="36"/>
      <c r="M476" s="36"/>
      <c r="N476" s="3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 spans="1:28" ht="15.8" customHeight="1">
      <c r="A477" s="79"/>
      <c r="B477" s="79"/>
      <c r="C477" s="20" t="s">
        <v>1181</v>
      </c>
      <c r="D477" s="20"/>
      <c r="E477" s="20"/>
      <c r="F477" s="80" t="s">
        <v>1</v>
      </c>
      <c r="G477" s="80">
        <f>COUNTIF(F430:F476,"L")</f>
        <v>21</v>
      </c>
      <c r="H477" s="20"/>
      <c r="I477" s="20"/>
      <c r="J477" s="20"/>
      <c r="K477" s="20"/>
      <c r="L477" s="20"/>
      <c r="M477" s="20"/>
      <c r="N477" s="20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</row>
    <row r="478" spans="1:28" ht="15.8" customHeight="1">
      <c r="A478" s="79"/>
      <c r="B478" s="79"/>
      <c r="C478" s="20"/>
      <c r="D478" s="20"/>
      <c r="E478" s="20"/>
      <c r="F478" s="30" t="s">
        <v>3</v>
      </c>
      <c r="G478" s="30">
        <f>COUNTIF(F430:F476,"P")</f>
        <v>23</v>
      </c>
      <c r="H478" s="20"/>
      <c r="I478" s="20"/>
      <c r="J478" s="20"/>
      <c r="K478" s="20"/>
      <c r="L478" s="20"/>
      <c r="M478" s="20"/>
      <c r="N478" s="20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 spans="1:28" ht="15.8" customHeight="1">
      <c r="A479" s="79"/>
      <c r="B479" s="79"/>
      <c r="C479" s="20"/>
      <c r="D479" s="20"/>
      <c r="E479" s="20"/>
      <c r="F479" s="81" t="s">
        <v>251</v>
      </c>
      <c r="G479" s="81">
        <f>SUM(G477:G478)</f>
        <v>44</v>
      </c>
      <c r="H479" s="20"/>
      <c r="I479" s="20"/>
      <c r="J479" s="20"/>
      <c r="K479" s="20"/>
      <c r="L479" s="20"/>
      <c r="M479" s="20"/>
      <c r="N479" s="20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</row>
    <row r="480" spans="1:28" ht="15.8" customHeight="1">
      <c r="A480" s="20" t="s">
        <v>275</v>
      </c>
      <c r="B480" s="6"/>
      <c r="C480" s="20"/>
      <c r="D480" s="20"/>
      <c r="E480" s="20"/>
      <c r="F480" s="94"/>
      <c r="G480" s="6"/>
      <c r="H480" s="6"/>
      <c r="I480" s="82" t="s">
        <v>254</v>
      </c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 spans="1:28" ht="15.8" customHeight="1">
      <c r="A481" s="20" t="s">
        <v>280</v>
      </c>
      <c r="B481" s="6"/>
      <c r="C481" s="20"/>
      <c r="D481" s="20"/>
      <c r="E481" s="20" t="s">
        <v>281</v>
      </c>
      <c r="F481" s="94"/>
      <c r="G481" s="6"/>
      <c r="H481" s="6"/>
      <c r="I481" s="6" t="s">
        <v>256</v>
      </c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</row>
    <row r="482" spans="1:28" ht="15.8" customHeight="1">
      <c r="A482" s="20"/>
      <c r="B482" s="6"/>
      <c r="C482" s="20"/>
      <c r="D482" s="20"/>
      <c r="E482" s="20"/>
      <c r="F482" s="79"/>
      <c r="G482" s="20"/>
      <c r="H482" s="20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 spans="1:28" ht="15.8" customHeight="1">
      <c r="A483" s="20"/>
      <c r="B483" s="6"/>
      <c r="C483" s="20"/>
      <c r="D483" s="20"/>
      <c r="E483" s="20"/>
      <c r="F483" s="79"/>
      <c r="G483" s="20"/>
      <c r="H483" s="20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</row>
    <row r="484" spans="1:28" ht="15.8" customHeight="1">
      <c r="A484" s="24" t="s">
        <v>1475</v>
      </c>
      <c r="B484" s="6"/>
      <c r="C484" s="6"/>
      <c r="D484" s="6"/>
      <c r="E484" s="86" t="s">
        <v>525</v>
      </c>
      <c r="F484" s="94"/>
      <c r="G484" s="6"/>
      <c r="H484" s="20"/>
      <c r="I484" s="87"/>
      <c r="J484" s="87"/>
      <c r="K484" s="87"/>
      <c r="L484" s="87"/>
      <c r="M484" s="87"/>
      <c r="N484" s="87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 spans="1:28" ht="15.8" customHeight="1">
      <c r="A485" s="41" t="s">
        <v>1478</v>
      </c>
      <c r="B485" s="41"/>
      <c r="C485" s="20"/>
      <c r="D485" s="20"/>
      <c r="E485" s="20" t="s">
        <v>527</v>
      </c>
      <c r="F485" s="79"/>
      <c r="G485" s="20"/>
      <c r="H485" s="20" t="s">
        <v>266</v>
      </c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</row>
    <row r="486" spans="1:28" ht="15.8" customHeight="1">
      <c r="A486" s="43"/>
      <c r="B486" s="44"/>
      <c r="C486" s="44"/>
      <c r="D486" s="44"/>
      <c r="E486" s="44"/>
      <c r="F486" s="45"/>
      <c r="G486" s="46"/>
      <c r="H486" s="46"/>
      <c r="I486" s="44"/>
      <c r="J486" s="44"/>
      <c r="K486" s="44"/>
      <c r="L486" s="44"/>
      <c r="M486" s="44"/>
      <c r="N486" s="44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 spans="1:28" ht="19.55" customHeight="1">
      <c r="A487" s="16" t="s">
        <v>79</v>
      </c>
      <c r="B487" s="16"/>
      <c r="C487" s="4" t="s">
        <v>1483</v>
      </c>
      <c r="D487" s="16"/>
      <c r="E487" s="22"/>
      <c r="F487" s="23"/>
      <c r="G487" s="17"/>
      <c r="H487" s="19" t="s">
        <v>82</v>
      </c>
      <c r="I487" s="17"/>
      <c r="J487" s="17"/>
      <c r="K487" s="17"/>
      <c r="L487" s="17"/>
      <c r="M487" s="20"/>
      <c r="N487" s="20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</row>
    <row r="488" spans="1:28" ht="9" customHeight="1">
      <c r="A488" s="20"/>
      <c r="B488" s="24"/>
      <c r="C488" s="24"/>
      <c r="D488" s="24"/>
      <c r="E488" s="25"/>
      <c r="F488" s="14"/>
      <c r="G488" s="20"/>
      <c r="H488" s="26"/>
      <c r="I488" s="27"/>
      <c r="J488" s="27"/>
      <c r="K488" s="27"/>
      <c r="L488" s="27"/>
      <c r="M488" s="27"/>
      <c r="N488" s="27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 spans="1:28" ht="15.8" customHeight="1">
      <c r="A489" s="176" t="s">
        <v>84</v>
      </c>
      <c r="B489" s="177"/>
      <c r="C489" s="178" t="s">
        <v>85</v>
      </c>
      <c r="D489" s="179"/>
      <c r="E489" s="180"/>
      <c r="F489" s="184" t="s">
        <v>86</v>
      </c>
      <c r="G489" s="176" t="s">
        <v>87</v>
      </c>
      <c r="H489" s="186"/>
      <c r="I489" s="186"/>
      <c r="J489" s="186"/>
      <c r="K489" s="186"/>
      <c r="L489" s="186"/>
      <c r="M489" s="177"/>
      <c r="N489" s="184" t="s">
        <v>88</v>
      </c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</row>
    <row r="490" spans="1:28" ht="15.8" customHeight="1">
      <c r="A490" s="28" t="s">
        <v>90</v>
      </c>
      <c r="B490" s="28" t="s">
        <v>91</v>
      </c>
      <c r="C490" s="199"/>
      <c r="D490" s="200"/>
      <c r="E490" s="201"/>
      <c r="F490" s="185"/>
      <c r="G490" s="28"/>
      <c r="H490" s="28"/>
      <c r="I490" s="28"/>
      <c r="J490" s="28"/>
      <c r="K490" s="28"/>
      <c r="L490" s="28"/>
      <c r="M490" s="28"/>
      <c r="N490" s="185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 spans="1:28" ht="18" customHeight="1">
      <c r="A491" s="1">
        <v>1</v>
      </c>
      <c r="B491" s="31">
        <v>252610320</v>
      </c>
      <c r="C491" s="108" t="s">
        <v>1491</v>
      </c>
      <c r="D491" s="33"/>
      <c r="E491" s="93"/>
      <c r="F491" s="109" t="s">
        <v>3</v>
      </c>
      <c r="G491" s="36"/>
      <c r="H491" s="36"/>
      <c r="I491" s="36"/>
      <c r="J491" s="36"/>
      <c r="K491" s="36"/>
      <c r="L491" s="36"/>
      <c r="M491" s="36"/>
      <c r="N491" s="3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 spans="1:28" ht="18" customHeight="1">
      <c r="A492" s="1">
        <f t="shared" ref="A492:A536" si="8">A491+1</f>
        <v>2</v>
      </c>
      <c r="B492" s="1">
        <v>252610230</v>
      </c>
      <c r="C492" s="108" t="s">
        <v>1495</v>
      </c>
      <c r="D492" s="33"/>
      <c r="E492" s="93"/>
      <c r="F492" s="109" t="s">
        <v>3</v>
      </c>
      <c r="G492" s="36"/>
      <c r="H492" s="36"/>
      <c r="I492" s="36"/>
      <c r="J492" s="36"/>
      <c r="K492" s="36"/>
      <c r="L492" s="36"/>
      <c r="M492" s="36"/>
      <c r="N492" s="3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 spans="1:28" ht="18" customHeight="1">
      <c r="A493" s="1">
        <f t="shared" si="8"/>
        <v>3</v>
      </c>
      <c r="B493" s="1">
        <v>252610322</v>
      </c>
      <c r="C493" s="108" t="s">
        <v>1497</v>
      </c>
      <c r="D493" s="33"/>
      <c r="E493" s="93"/>
      <c r="F493" s="109" t="s">
        <v>3</v>
      </c>
      <c r="G493" s="36"/>
      <c r="H493" s="36"/>
      <c r="I493" s="36"/>
      <c r="J493" s="36"/>
      <c r="K493" s="36"/>
      <c r="L493" s="36"/>
      <c r="M493" s="36"/>
      <c r="N493" s="3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 spans="1:28" ht="18" customHeight="1">
      <c r="A494" s="1">
        <f t="shared" si="8"/>
        <v>4</v>
      </c>
      <c r="B494" s="1">
        <v>252610003</v>
      </c>
      <c r="C494" s="108" t="s">
        <v>1499</v>
      </c>
      <c r="D494" s="33"/>
      <c r="E494" s="93"/>
      <c r="F494" s="109" t="s">
        <v>3</v>
      </c>
      <c r="G494" s="36"/>
      <c r="H494" s="36"/>
      <c r="I494" s="36"/>
      <c r="J494" s="36"/>
      <c r="K494" s="36"/>
      <c r="L494" s="36"/>
      <c r="M494" s="36"/>
      <c r="N494" s="3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 spans="1:28" ht="18" customHeight="1">
      <c r="A495" s="1">
        <f t="shared" si="8"/>
        <v>5</v>
      </c>
      <c r="B495" s="1">
        <v>252610050</v>
      </c>
      <c r="C495" s="108" t="s">
        <v>1501</v>
      </c>
      <c r="D495" s="33"/>
      <c r="E495" s="93"/>
      <c r="F495" s="109" t="s">
        <v>1</v>
      </c>
      <c r="G495" s="36"/>
      <c r="H495" s="36"/>
      <c r="I495" s="36"/>
      <c r="J495" s="36"/>
      <c r="K495" s="36"/>
      <c r="L495" s="36"/>
      <c r="M495" s="36"/>
      <c r="N495" s="3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 spans="1:28" ht="18" customHeight="1">
      <c r="A496" s="1">
        <f t="shared" si="8"/>
        <v>6</v>
      </c>
      <c r="B496" s="1">
        <v>252610051</v>
      </c>
      <c r="C496" s="108" t="s">
        <v>1503</v>
      </c>
      <c r="D496" s="33"/>
      <c r="E496" s="93"/>
      <c r="F496" s="109" t="s">
        <v>3</v>
      </c>
      <c r="G496" s="36"/>
      <c r="H496" s="36"/>
      <c r="I496" s="36"/>
      <c r="J496" s="36"/>
      <c r="K496" s="36"/>
      <c r="L496" s="36"/>
      <c r="M496" s="36"/>
      <c r="N496" s="3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 spans="1:28" ht="18" customHeight="1">
      <c r="A497" s="1">
        <f t="shared" si="8"/>
        <v>7</v>
      </c>
      <c r="B497" s="1">
        <v>252610276</v>
      </c>
      <c r="C497" s="108" t="s">
        <v>1505</v>
      </c>
      <c r="D497" s="33"/>
      <c r="E497" s="93"/>
      <c r="F497" s="109" t="s">
        <v>3</v>
      </c>
      <c r="G497" s="36"/>
      <c r="H497" s="36"/>
      <c r="I497" s="36"/>
      <c r="J497" s="36"/>
      <c r="K497" s="36"/>
      <c r="L497" s="36"/>
      <c r="M497" s="36"/>
      <c r="N497" s="36"/>
      <c r="O497" s="6"/>
      <c r="P497" s="8"/>
      <c r="Q497" s="8"/>
      <c r="R497" s="8"/>
      <c r="S497" s="8"/>
      <c r="T497" s="6"/>
      <c r="U497" s="6"/>
      <c r="V497" s="6"/>
      <c r="W497" s="6"/>
      <c r="X497" s="6"/>
      <c r="Y497" s="6"/>
      <c r="Z497" s="6"/>
      <c r="AA497" s="6"/>
      <c r="AB497" s="6"/>
    </row>
    <row r="498" spans="1:28" ht="18" customHeight="1">
      <c r="A498" s="1">
        <f t="shared" si="8"/>
        <v>8</v>
      </c>
      <c r="B498" s="1">
        <v>252610369</v>
      </c>
      <c r="C498" s="108" t="s">
        <v>1507</v>
      </c>
      <c r="D498" s="33"/>
      <c r="E498" s="93"/>
      <c r="F498" s="109" t="s">
        <v>3</v>
      </c>
      <c r="G498" s="36"/>
      <c r="H498" s="36"/>
      <c r="I498" s="36"/>
      <c r="J498" s="36"/>
      <c r="K498" s="36"/>
      <c r="L498" s="36"/>
      <c r="M498" s="36"/>
      <c r="N498" s="36"/>
      <c r="O498" s="6"/>
      <c r="P498" s="8"/>
      <c r="Q498" s="8"/>
      <c r="R498" s="8"/>
      <c r="S498" s="8"/>
      <c r="T498" s="6"/>
      <c r="U498" s="6"/>
      <c r="V498" s="6"/>
      <c r="W498" s="6"/>
      <c r="X498" s="6"/>
      <c r="Y498" s="6"/>
      <c r="Z498" s="6"/>
      <c r="AA498" s="6"/>
      <c r="AB498" s="6"/>
    </row>
    <row r="499" spans="1:28" ht="18" customHeight="1">
      <c r="A499" s="1">
        <f t="shared" si="8"/>
        <v>9</v>
      </c>
      <c r="B499" s="1">
        <v>252610231</v>
      </c>
      <c r="C499" s="108" t="s">
        <v>1509</v>
      </c>
      <c r="D499" s="33"/>
      <c r="E499" s="93"/>
      <c r="F499" s="109" t="s">
        <v>3</v>
      </c>
      <c r="G499" s="36"/>
      <c r="H499" s="36"/>
      <c r="I499" s="36"/>
      <c r="J499" s="36"/>
      <c r="K499" s="36"/>
      <c r="L499" s="36"/>
      <c r="M499" s="36"/>
      <c r="N499" s="36"/>
      <c r="O499" s="6"/>
      <c r="P499" s="8"/>
      <c r="Q499" s="8"/>
      <c r="R499" s="8"/>
      <c r="S499" s="8"/>
      <c r="T499" s="6"/>
      <c r="U499" s="6"/>
      <c r="V499" s="6"/>
      <c r="W499" s="6"/>
      <c r="X499" s="6"/>
      <c r="Y499" s="6"/>
      <c r="Z499" s="6"/>
      <c r="AA499" s="6"/>
      <c r="AB499" s="6"/>
    </row>
    <row r="500" spans="1:28" ht="18" customHeight="1">
      <c r="A500" s="1">
        <f t="shared" si="8"/>
        <v>10</v>
      </c>
      <c r="B500" s="1">
        <v>252610100</v>
      </c>
      <c r="C500" s="108" t="s">
        <v>1511</v>
      </c>
      <c r="D500" s="33"/>
      <c r="E500" s="93"/>
      <c r="F500" s="109" t="s">
        <v>1</v>
      </c>
      <c r="G500" s="36"/>
      <c r="H500" s="36"/>
      <c r="I500" s="36"/>
      <c r="J500" s="36"/>
      <c r="K500" s="36"/>
      <c r="L500" s="36"/>
      <c r="M500" s="36"/>
      <c r="N500" s="36"/>
      <c r="O500" s="6"/>
      <c r="P500" s="8"/>
      <c r="Q500" s="8"/>
      <c r="R500" s="8"/>
      <c r="S500" s="8"/>
      <c r="T500" s="6"/>
      <c r="U500" s="6"/>
      <c r="V500" s="6"/>
      <c r="W500" s="6"/>
      <c r="X500" s="6"/>
      <c r="Y500" s="6"/>
      <c r="Z500" s="6"/>
      <c r="AA500" s="6"/>
      <c r="AB500" s="6"/>
    </row>
    <row r="501" spans="1:28" ht="18" customHeight="1">
      <c r="A501" s="1">
        <f t="shared" si="8"/>
        <v>11</v>
      </c>
      <c r="B501" s="1">
        <v>252610331</v>
      </c>
      <c r="C501" s="108" t="s">
        <v>1514</v>
      </c>
      <c r="D501" s="33"/>
      <c r="E501" s="93"/>
      <c r="F501" s="109" t="s">
        <v>1</v>
      </c>
      <c r="G501" s="36"/>
      <c r="H501" s="36"/>
      <c r="I501" s="36"/>
      <c r="J501" s="36"/>
      <c r="K501" s="36"/>
      <c r="L501" s="36"/>
      <c r="M501" s="36"/>
      <c r="N501" s="36"/>
      <c r="O501" s="6"/>
      <c r="P501" s="8"/>
      <c r="Q501" s="8"/>
      <c r="R501" s="8"/>
      <c r="S501" s="8"/>
      <c r="T501" s="6"/>
      <c r="U501" s="6"/>
      <c r="V501" s="6"/>
      <c r="W501" s="6"/>
      <c r="X501" s="6"/>
      <c r="Y501" s="6"/>
      <c r="Z501" s="6"/>
      <c r="AA501" s="6"/>
      <c r="AB501" s="6"/>
    </row>
    <row r="502" spans="1:28" ht="18" customHeight="1">
      <c r="A502" s="1">
        <f t="shared" si="8"/>
        <v>12</v>
      </c>
      <c r="B502" s="1">
        <v>252610183</v>
      </c>
      <c r="C502" s="108" t="s">
        <v>1515</v>
      </c>
      <c r="D502" s="33"/>
      <c r="E502" s="93"/>
      <c r="F502" s="109" t="s">
        <v>1</v>
      </c>
      <c r="G502" s="36"/>
      <c r="H502" s="36"/>
      <c r="I502" s="36"/>
      <c r="J502" s="36"/>
      <c r="K502" s="36"/>
      <c r="L502" s="36"/>
      <c r="M502" s="36"/>
      <c r="N502" s="36"/>
      <c r="O502" s="6"/>
      <c r="P502" s="8"/>
      <c r="Q502" s="8"/>
      <c r="R502" s="8"/>
      <c r="S502" s="8"/>
      <c r="T502" s="6"/>
      <c r="U502" s="6"/>
      <c r="V502" s="6"/>
      <c r="W502" s="6"/>
      <c r="X502" s="6"/>
      <c r="Y502" s="6"/>
      <c r="Z502" s="6"/>
      <c r="AA502" s="6"/>
      <c r="AB502" s="6"/>
    </row>
    <row r="503" spans="1:28" ht="18" customHeight="1">
      <c r="A503" s="1">
        <f t="shared" si="8"/>
        <v>13</v>
      </c>
      <c r="B503" s="1">
        <v>252610374</v>
      </c>
      <c r="C503" s="108" t="s">
        <v>1517</v>
      </c>
      <c r="D503" s="33"/>
      <c r="E503" s="93"/>
      <c r="F503" s="109" t="s">
        <v>3</v>
      </c>
      <c r="G503" s="36"/>
      <c r="H503" s="36"/>
      <c r="I503" s="36"/>
      <c r="J503" s="36"/>
      <c r="K503" s="36"/>
      <c r="L503" s="36"/>
      <c r="M503" s="36"/>
      <c r="N503" s="36"/>
      <c r="O503" s="6"/>
      <c r="P503" s="8"/>
      <c r="Q503" s="8"/>
      <c r="R503" s="8"/>
      <c r="S503" s="8"/>
      <c r="T503" s="6"/>
      <c r="U503" s="6"/>
      <c r="V503" s="6"/>
      <c r="W503" s="6"/>
      <c r="X503" s="6"/>
      <c r="Y503" s="6"/>
      <c r="Z503" s="6"/>
      <c r="AA503" s="6"/>
      <c r="AB503" s="6"/>
    </row>
    <row r="504" spans="1:28" ht="18" customHeight="1">
      <c r="A504" s="1">
        <f t="shared" si="8"/>
        <v>14</v>
      </c>
      <c r="B504" s="1">
        <v>252610334</v>
      </c>
      <c r="C504" s="108" t="s">
        <v>1518</v>
      </c>
      <c r="D504" s="33"/>
      <c r="E504" s="93"/>
      <c r="F504" s="109" t="s">
        <v>3</v>
      </c>
      <c r="G504" s="36"/>
      <c r="H504" s="36"/>
      <c r="I504" s="36"/>
      <c r="J504" s="36"/>
      <c r="K504" s="36"/>
      <c r="L504" s="36"/>
      <c r="M504" s="36"/>
      <c r="N504" s="36"/>
      <c r="O504" s="6"/>
      <c r="P504" s="8"/>
      <c r="Q504" s="8"/>
      <c r="R504" s="8"/>
      <c r="S504" s="8"/>
      <c r="T504" s="6"/>
      <c r="U504" s="6"/>
      <c r="V504" s="6"/>
      <c r="W504" s="6"/>
      <c r="X504" s="6"/>
      <c r="Y504" s="6"/>
      <c r="Z504" s="6"/>
      <c r="AA504" s="6"/>
      <c r="AB504" s="6"/>
    </row>
    <row r="505" spans="1:28" ht="18" customHeight="1">
      <c r="A505" s="1">
        <f t="shared" si="8"/>
        <v>15</v>
      </c>
      <c r="B505" s="1">
        <v>252610377</v>
      </c>
      <c r="C505" s="108" t="s">
        <v>1519</v>
      </c>
      <c r="D505" s="33"/>
      <c r="E505" s="93"/>
      <c r="F505" s="109" t="s">
        <v>3</v>
      </c>
      <c r="G505" s="36"/>
      <c r="H505" s="36"/>
      <c r="I505" s="36"/>
      <c r="J505" s="36"/>
      <c r="K505" s="36"/>
      <c r="L505" s="36"/>
      <c r="M505" s="36"/>
      <c r="N505" s="36"/>
      <c r="O505" s="6"/>
      <c r="P505" s="8"/>
      <c r="Q505" s="8"/>
      <c r="R505" s="8"/>
      <c r="S505" s="8"/>
      <c r="T505" s="6"/>
      <c r="U505" s="6"/>
      <c r="V505" s="6"/>
      <c r="W505" s="6"/>
      <c r="X505" s="6"/>
      <c r="Y505" s="6"/>
      <c r="Z505" s="6"/>
      <c r="AA505" s="6"/>
      <c r="AB505" s="6"/>
    </row>
    <row r="506" spans="1:28" ht="18" customHeight="1">
      <c r="A506" s="1">
        <f t="shared" si="8"/>
        <v>16</v>
      </c>
      <c r="B506" s="1">
        <v>252610281</v>
      </c>
      <c r="C506" s="108" t="s">
        <v>1521</v>
      </c>
      <c r="D506" s="33"/>
      <c r="E506" s="93"/>
      <c r="F506" s="109" t="s">
        <v>1</v>
      </c>
      <c r="G506" s="36"/>
      <c r="H506" s="36"/>
      <c r="I506" s="36"/>
      <c r="J506" s="36"/>
      <c r="K506" s="36"/>
      <c r="L506" s="36"/>
      <c r="M506" s="36"/>
      <c r="N506" s="36"/>
      <c r="O506" s="6"/>
      <c r="P506" s="8"/>
      <c r="Q506" s="8"/>
      <c r="R506" s="8"/>
      <c r="S506" s="8"/>
      <c r="T506" s="6"/>
      <c r="U506" s="6"/>
      <c r="V506" s="6"/>
      <c r="W506" s="6"/>
      <c r="X506" s="6"/>
      <c r="Y506" s="6"/>
      <c r="Z506" s="6"/>
      <c r="AA506" s="6"/>
      <c r="AB506" s="6"/>
    </row>
    <row r="507" spans="1:28" ht="18" customHeight="1">
      <c r="A507" s="1">
        <f t="shared" si="8"/>
        <v>17</v>
      </c>
      <c r="B507" s="1">
        <v>252610188</v>
      </c>
      <c r="C507" s="108" t="s">
        <v>1523</v>
      </c>
      <c r="D507" s="33"/>
      <c r="E507" s="93"/>
      <c r="F507" s="109" t="s">
        <v>1</v>
      </c>
      <c r="G507" s="36"/>
      <c r="H507" s="36"/>
      <c r="I507" s="36"/>
      <c r="J507" s="36"/>
      <c r="K507" s="36"/>
      <c r="L507" s="36"/>
      <c r="M507" s="36"/>
      <c r="N507" s="36"/>
      <c r="O507" s="6"/>
      <c r="P507" s="8"/>
      <c r="Q507" s="8"/>
      <c r="R507" s="8"/>
      <c r="S507" s="8"/>
      <c r="T507" s="6"/>
      <c r="U507" s="6"/>
      <c r="V507" s="6"/>
      <c r="W507" s="6"/>
      <c r="X507" s="6"/>
      <c r="Y507" s="6"/>
      <c r="Z507" s="6"/>
      <c r="AA507" s="6"/>
      <c r="AB507" s="6"/>
    </row>
    <row r="508" spans="1:28" ht="18" customHeight="1">
      <c r="A508" s="1">
        <f t="shared" si="8"/>
        <v>18</v>
      </c>
      <c r="B508" s="1">
        <v>252610465</v>
      </c>
      <c r="C508" s="108" t="s">
        <v>1526</v>
      </c>
      <c r="D508" s="33"/>
      <c r="E508" s="93"/>
      <c r="F508" s="109" t="s">
        <v>1</v>
      </c>
      <c r="G508" s="36"/>
      <c r="H508" s="36"/>
      <c r="I508" s="36"/>
      <c r="J508" s="36"/>
      <c r="K508" s="36"/>
      <c r="L508" s="36"/>
      <c r="M508" s="36"/>
      <c r="N508" s="1"/>
      <c r="O508" s="6"/>
      <c r="P508" s="8"/>
      <c r="Q508" s="8"/>
      <c r="R508" s="8"/>
      <c r="S508" s="8"/>
      <c r="T508" s="6"/>
      <c r="U508" s="6"/>
      <c r="V508" s="6"/>
      <c r="W508" s="6"/>
      <c r="X508" s="6"/>
      <c r="Y508" s="6"/>
      <c r="Z508" s="6"/>
      <c r="AA508" s="6"/>
      <c r="AB508" s="6"/>
    </row>
    <row r="509" spans="1:28" ht="18" customHeight="1">
      <c r="A509" s="1">
        <f t="shared" si="8"/>
        <v>19</v>
      </c>
      <c r="B509" s="1">
        <v>252610108</v>
      </c>
      <c r="C509" s="108" t="s">
        <v>1529</v>
      </c>
      <c r="D509" s="33"/>
      <c r="E509" s="93"/>
      <c r="F509" s="109" t="s">
        <v>1</v>
      </c>
      <c r="G509" s="36"/>
      <c r="H509" s="36"/>
      <c r="I509" s="36"/>
      <c r="J509" s="36"/>
      <c r="K509" s="36"/>
      <c r="L509" s="36"/>
      <c r="M509" s="36"/>
      <c r="N509" s="36"/>
      <c r="O509" s="6"/>
      <c r="P509" s="8"/>
      <c r="Q509" s="8"/>
      <c r="R509" s="8"/>
      <c r="S509" s="8"/>
      <c r="T509" s="6"/>
      <c r="U509" s="6"/>
      <c r="V509" s="6"/>
      <c r="W509" s="6"/>
      <c r="X509" s="6"/>
      <c r="Y509" s="6"/>
      <c r="Z509" s="6"/>
      <c r="AA509" s="6"/>
      <c r="AB509" s="6"/>
    </row>
    <row r="510" spans="1:28" ht="18" customHeight="1">
      <c r="A510" s="1">
        <f t="shared" si="8"/>
        <v>20</v>
      </c>
      <c r="B510" s="1">
        <v>252610158</v>
      </c>
      <c r="C510" s="108" t="s">
        <v>1531</v>
      </c>
      <c r="D510" s="33"/>
      <c r="E510" s="93"/>
      <c r="F510" s="109" t="s">
        <v>1</v>
      </c>
      <c r="G510" s="36"/>
      <c r="H510" s="36"/>
      <c r="I510" s="36"/>
      <c r="J510" s="36"/>
      <c r="K510" s="36"/>
      <c r="L510" s="36"/>
      <c r="M510" s="36"/>
      <c r="N510" s="36"/>
      <c r="O510" s="6"/>
      <c r="P510" s="8"/>
      <c r="Q510" s="8"/>
      <c r="R510" s="8"/>
      <c r="S510" s="8"/>
      <c r="T510" s="6"/>
      <c r="U510" s="6"/>
      <c r="V510" s="6"/>
      <c r="W510" s="6"/>
      <c r="X510" s="6"/>
      <c r="Y510" s="6"/>
      <c r="Z510" s="6"/>
      <c r="AA510" s="6"/>
      <c r="AB510" s="6"/>
    </row>
    <row r="511" spans="1:28" ht="18" customHeight="1">
      <c r="A511" s="1">
        <f t="shared" si="8"/>
        <v>21</v>
      </c>
      <c r="B511" s="1">
        <v>252610110</v>
      </c>
      <c r="C511" s="108" t="s">
        <v>1533</v>
      </c>
      <c r="D511" s="33"/>
      <c r="E511" s="93"/>
      <c r="F511" s="109" t="s">
        <v>3</v>
      </c>
      <c r="G511" s="36"/>
      <c r="H511" s="36"/>
      <c r="I511" s="36"/>
      <c r="J511" s="36"/>
      <c r="K511" s="36"/>
      <c r="L511" s="36"/>
      <c r="M511" s="36"/>
      <c r="N511" s="36"/>
      <c r="O511" s="6"/>
      <c r="P511" s="8"/>
      <c r="Q511" s="8"/>
      <c r="R511" s="8"/>
      <c r="S511" s="8"/>
      <c r="T511" s="6"/>
      <c r="U511" s="6"/>
      <c r="V511" s="6"/>
      <c r="W511" s="6"/>
      <c r="X511" s="6"/>
      <c r="Y511" s="6"/>
      <c r="Z511" s="6"/>
      <c r="AA511" s="6"/>
      <c r="AB511" s="6"/>
    </row>
    <row r="512" spans="1:28" ht="18" customHeight="1">
      <c r="A512" s="1">
        <f t="shared" si="8"/>
        <v>22</v>
      </c>
      <c r="B512" s="1">
        <v>252610017</v>
      </c>
      <c r="C512" s="108" t="s">
        <v>1535</v>
      </c>
      <c r="D512" s="33"/>
      <c r="E512" s="93"/>
      <c r="F512" s="109" t="s">
        <v>3</v>
      </c>
      <c r="G512" s="36"/>
      <c r="H512" s="36"/>
      <c r="I512" s="36"/>
      <c r="J512" s="36"/>
      <c r="K512" s="36"/>
      <c r="L512" s="36"/>
      <c r="M512" s="36"/>
      <c r="N512" s="36"/>
      <c r="O512" s="6"/>
      <c r="P512" s="8"/>
      <c r="Q512" s="8"/>
      <c r="R512" s="8"/>
      <c r="S512" s="8"/>
      <c r="T512" s="6"/>
      <c r="U512" s="6"/>
      <c r="V512" s="6"/>
      <c r="W512" s="6"/>
      <c r="X512" s="6"/>
      <c r="Y512" s="6"/>
      <c r="Z512" s="6"/>
      <c r="AA512" s="6"/>
      <c r="AB512" s="6"/>
    </row>
    <row r="513" spans="1:28" ht="18" customHeight="1">
      <c r="A513" s="1">
        <f t="shared" si="8"/>
        <v>23</v>
      </c>
      <c r="B513" s="1">
        <v>252610517</v>
      </c>
      <c r="C513" s="108" t="s">
        <v>1537</v>
      </c>
      <c r="D513" s="33"/>
      <c r="E513" s="93"/>
      <c r="F513" s="109" t="s">
        <v>3</v>
      </c>
      <c r="G513" s="36"/>
      <c r="H513" s="36"/>
      <c r="I513" s="36"/>
      <c r="J513" s="36"/>
      <c r="K513" s="36"/>
      <c r="L513" s="36"/>
      <c r="M513" s="36"/>
      <c r="N513" s="36"/>
      <c r="O513" s="6"/>
      <c r="P513" s="8"/>
      <c r="Q513" s="8"/>
      <c r="R513" s="8"/>
      <c r="S513" s="8"/>
      <c r="T513" s="6"/>
      <c r="U513" s="6"/>
      <c r="V513" s="6"/>
      <c r="W513" s="6"/>
      <c r="X513" s="6"/>
      <c r="Y513" s="6"/>
      <c r="Z513" s="6"/>
      <c r="AA513" s="6"/>
      <c r="AB513" s="6"/>
    </row>
    <row r="514" spans="1:28" ht="18" customHeight="1">
      <c r="A514" s="1">
        <f t="shared" si="8"/>
        <v>24</v>
      </c>
      <c r="B514" s="1">
        <v>252610518</v>
      </c>
      <c r="C514" s="108" t="s">
        <v>1539</v>
      </c>
      <c r="D514" s="33"/>
      <c r="E514" s="93"/>
      <c r="F514" s="109" t="s">
        <v>1</v>
      </c>
      <c r="G514" s="36"/>
      <c r="H514" s="36"/>
      <c r="I514" s="36"/>
      <c r="J514" s="36"/>
      <c r="K514" s="36"/>
      <c r="L514" s="36"/>
      <c r="M514" s="36"/>
      <c r="N514" s="36"/>
      <c r="O514" s="6"/>
      <c r="P514" s="8"/>
      <c r="Q514" s="8"/>
      <c r="R514" s="8"/>
      <c r="S514" s="8"/>
      <c r="T514" s="6"/>
      <c r="U514" s="6"/>
      <c r="V514" s="6"/>
      <c r="W514" s="6"/>
      <c r="X514" s="6"/>
      <c r="Y514" s="6"/>
      <c r="Z514" s="6"/>
      <c r="AA514" s="6"/>
      <c r="AB514" s="6"/>
    </row>
    <row r="515" spans="1:28" ht="18" customHeight="1">
      <c r="A515" s="1">
        <f t="shared" si="8"/>
        <v>25</v>
      </c>
      <c r="B515" s="1">
        <v>252610469</v>
      </c>
      <c r="C515" s="108" t="s">
        <v>1541</v>
      </c>
      <c r="D515" s="33"/>
      <c r="E515" s="93"/>
      <c r="F515" s="109" t="s">
        <v>3</v>
      </c>
      <c r="G515" s="36"/>
      <c r="H515" s="36"/>
      <c r="I515" s="36"/>
      <c r="J515" s="36"/>
      <c r="K515" s="36"/>
      <c r="L515" s="36"/>
      <c r="M515" s="36"/>
      <c r="N515" s="36"/>
      <c r="O515" s="6"/>
      <c r="P515" s="8"/>
      <c r="Q515" s="8"/>
      <c r="R515" s="8"/>
      <c r="S515" s="8"/>
      <c r="T515" s="6"/>
      <c r="U515" s="6"/>
      <c r="V515" s="6"/>
      <c r="W515" s="6"/>
      <c r="X515" s="6"/>
      <c r="Y515" s="6"/>
      <c r="Z515" s="6"/>
      <c r="AA515" s="6"/>
      <c r="AB515" s="6"/>
    </row>
    <row r="516" spans="1:28" ht="18" customHeight="1">
      <c r="A516" s="1">
        <f t="shared" si="8"/>
        <v>26</v>
      </c>
      <c r="B516" s="1">
        <v>252610252</v>
      </c>
      <c r="C516" s="108" t="s">
        <v>1543</v>
      </c>
      <c r="D516" s="33"/>
      <c r="E516" s="93"/>
      <c r="F516" s="109" t="s">
        <v>1</v>
      </c>
      <c r="G516" s="36"/>
      <c r="H516" s="36"/>
      <c r="I516" s="36"/>
      <c r="J516" s="36"/>
      <c r="K516" s="36"/>
      <c r="L516" s="36"/>
      <c r="M516" s="36"/>
      <c r="N516" s="36"/>
      <c r="O516" s="6"/>
      <c r="P516" s="8"/>
      <c r="Q516" s="8"/>
      <c r="R516" s="8"/>
      <c r="S516" s="8"/>
      <c r="T516" s="6"/>
      <c r="U516" s="6"/>
      <c r="V516" s="6"/>
      <c r="W516" s="6"/>
      <c r="X516" s="6"/>
      <c r="Y516" s="6"/>
      <c r="Z516" s="6"/>
      <c r="AA516" s="6"/>
      <c r="AB516" s="6"/>
    </row>
    <row r="517" spans="1:28" ht="18" customHeight="1">
      <c r="A517" s="1">
        <f t="shared" si="8"/>
        <v>27</v>
      </c>
      <c r="B517" s="1">
        <v>252610520</v>
      </c>
      <c r="C517" s="108" t="s">
        <v>1544</v>
      </c>
      <c r="D517" s="33"/>
      <c r="E517" s="93"/>
      <c r="F517" s="109" t="s">
        <v>3</v>
      </c>
      <c r="G517" s="36"/>
      <c r="H517" s="36"/>
      <c r="I517" s="36"/>
      <c r="J517" s="36"/>
      <c r="K517" s="36"/>
      <c r="L517" s="36"/>
      <c r="M517" s="36"/>
      <c r="N517" s="36"/>
      <c r="O517" s="6"/>
      <c r="P517" s="8"/>
      <c r="Q517" s="8"/>
      <c r="R517" s="8"/>
      <c r="S517" s="8"/>
      <c r="T517" s="6"/>
      <c r="U517" s="6"/>
      <c r="V517" s="6"/>
      <c r="W517" s="6"/>
      <c r="X517" s="6"/>
      <c r="Y517" s="6"/>
      <c r="Z517" s="6"/>
      <c r="AA517" s="6"/>
      <c r="AB517" s="6"/>
    </row>
    <row r="518" spans="1:28" ht="18" customHeight="1">
      <c r="A518" s="1">
        <f t="shared" si="8"/>
        <v>28</v>
      </c>
      <c r="B518" s="1">
        <v>252610297</v>
      </c>
      <c r="C518" s="108" t="s">
        <v>1546</v>
      </c>
      <c r="D518" s="33"/>
      <c r="E518" s="93"/>
      <c r="F518" s="109" t="s">
        <v>3</v>
      </c>
      <c r="G518" s="36"/>
      <c r="H518" s="36"/>
      <c r="I518" s="36"/>
      <c r="J518" s="36"/>
      <c r="K518" s="36"/>
      <c r="L518" s="36"/>
      <c r="M518" s="36"/>
      <c r="N518" s="36"/>
      <c r="O518" s="6"/>
      <c r="P518" s="8"/>
      <c r="Q518" s="8"/>
      <c r="R518" s="8"/>
      <c r="S518" s="8"/>
      <c r="T518" s="6"/>
      <c r="U518" s="6"/>
      <c r="V518" s="6"/>
      <c r="W518" s="6"/>
      <c r="X518" s="6"/>
      <c r="Y518" s="6"/>
      <c r="Z518" s="6"/>
      <c r="AA518" s="6"/>
      <c r="AB518" s="6"/>
    </row>
    <row r="519" spans="1:28" ht="18" customHeight="1">
      <c r="A519" s="1">
        <f t="shared" si="8"/>
        <v>29</v>
      </c>
      <c r="B519" s="1">
        <v>252610391</v>
      </c>
      <c r="C519" s="108" t="s">
        <v>1548</v>
      </c>
      <c r="D519" s="33"/>
      <c r="E519" s="93"/>
      <c r="F519" s="109" t="s">
        <v>1</v>
      </c>
      <c r="G519" s="36"/>
      <c r="H519" s="36"/>
      <c r="I519" s="36"/>
      <c r="J519" s="36"/>
      <c r="K519" s="36"/>
      <c r="L519" s="36"/>
      <c r="M519" s="36"/>
      <c r="N519" s="36"/>
      <c r="O519" s="6"/>
      <c r="P519" s="8"/>
      <c r="Q519" s="8"/>
      <c r="R519" s="8"/>
      <c r="S519" s="8"/>
      <c r="T519" s="6"/>
      <c r="U519" s="6"/>
      <c r="V519" s="6"/>
      <c r="W519" s="6"/>
      <c r="X519" s="6"/>
      <c r="Y519" s="6"/>
      <c r="Z519" s="6"/>
      <c r="AA519" s="6"/>
      <c r="AB519" s="6"/>
    </row>
    <row r="520" spans="1:28" ht="18" customHeight="1">
      <c r="A520" s="1">
        <f t="shared" si="8"/>
        <v>30</v>
      </c>
      <c r="B520" s="1">
        <v>252610392</v>
      </c>
      <c r="C520" s="108" t="s">
        <v>1549</v>
      </c>
      <c r="D520" s="33"/>
      <c r="E520" s="93"/>
      <c r="F520" s="109" t="s">
        <v>1</v>
      </c>
      <c r="G520" s="36"/>
      <c r="H520" s="36"/>
      <c r="I520" s="36"/>
      <c r="J520" s="36"/>
      <c r="K520" s="36"/>
      <c r="L520" s="36"/>
      <c r="M520" s="36"/>
      <c r="N520" s="36"/>
      <c r="O520" s="6"/>
      <c r="P520" s="8"/>
      <c r="Q520" s="8"/>
      <c r="R520" s="8"/>
      <c r="S520" s="8"/>
      <c r="T520" s="6"/>
      <c r="U520" s="6"/>
      <c r="V520" s="6"/>
      <c r="W520" s="6"/>
      <c r="X520" s="6"/>
      <c r="Y520" s="6"/>
      <c r="Z520" s="6"/>
      <c r="AA520" s="6"/>
      <c r="AB520" s="6"/>
    </row>
    <row r="521" spans="1:28" ht="18" customHeight="1">
      <c r="A521" s="1">
        <f t="shared" si="8"/>
        <v>31</v>
      </c>
      <c r="B521" s="1">
        <v>252610025</v>
      </c>
      <c r="C521" s="108" t="s">
        <v>1551</v>
      </c>
      <c r="D521" s="33"/>
      <c r="E521" s="93"/>
      <c r="F521" s="109" t="s">
        <v>1</v>
      </c>
      <c r="G521" s="36"/>
      <c r="H521" s="36"/>
      <c r="I521" s="36"/>
      <c r="J521" s="36"/>
      <c r="K521" s="36"/>
      <c r="L521" s="36"/>
      <c r="M521" s="36"/>
      <c r="N521" s="36"/>
      <c r="O521" s="6"/>
      <c r="P521" s="8"/>
      <c r="Q521" s="8"/>
      <c r="R521" s="8"/>
      <c r="S521" s="8"/>
      <c r="T521" s="6"/>
      <c r="U521" s="6"/>
      <c r="V521" s="6"/>
      <c r="W521" s="6"/>
      <c r="X521" s="6"/>
      <c r="Y521" s="6"/>
      <c r="Z521" s="6"/>
      <c r="AA521" s="6"/>
      <c r="AB521" s="6"/>
    </row>
    <row r="522" spans="1:28" ht="18" customHeight="1">
      <c r="A522" s="1">
        <f t="shared" si="8"/>
        <v>32</v>
      </c>
      <c r="B522" s="1">
        <v>252610480</v>
      </c>
      <c r="C522" s="108" t="s">
        <v>1553</v>
      </c>
      <c r="D522" s="33"/>
      <c r="E522" s="93"/>
      <c r="F522" s="109" t="s">
        <v>3</v>
      </c>
      <c r="G522" s="36"/>
      <c r="H522" s="36"/>
      <c r="I522" s="36"/>
      <c r="J522" s="36"/>
      <c r="K522" s="36"/>
      <c r="L522" s="36"/>
      <c r="M522" s="36"/>
      <c r="N522" s="36"/>
      <c r="O522" s="6"/>
      <c r="P522" s="8"/>
      <c r="Q522" s="8"/>
      <c r="R522" s="8"/>
      <c r="S522" s="8"/>
      <c r="T522" s="6"/>
      <c r="U522" s="6"/>
      <c r="V522" s="6"/>
      <c r="W522" s="6"/>
      <c r="X522" s="6"/>
      <c r="Y522" s="6"/>
      <c r="Z522" s="6"/>
      <c r="AA522" s="6"/>
      <c r="AB522" s="6"/>
    </row>
    <row r="523" spans="1:28" ht="18" customHeight="1">
      <c r="A523" s="1">
        <f t="shared" si="8"/>
        <v>33</v>
      </c>
      <c r="B523" s="83">
        <v>252610353</v>
      </c>
      <c r="C523" s="108" t="s">
        <v>1555</v>
      </c>
      <c r="D523" s="33"/>
      <c r="E523" s="93"/>
      <c r="F523" s="109" t="s">
        <v>3</v>
      </c>
      <c r="G523" s="36"/>
      <c r="H523" s="36"/>
      <c r="I523" s="36"/>
      <c r="J523" s="36"/>
      <c r="K523" s="36"/>
      <c r="L523" s="36"/>
      <c r="M523" s="36"/>
      <c r="N523" s="36"/>
      <c r="O523" s="6"/>
      <c r="P523" s="8"/>
      <c r="Q523" s="8"/>
      <c r="R523" s="8"/>
      <c r="S523" s="8"/>
      <c r="T523" s="6"/>
      <c r="U523" s="6"/>
      <c r="V523" s="6"/>
      <c r="W523" s="6"/>
      <c r="X523" s="6"/>
      <c r="Y523" s="6"/>
      <c r="Z523" s="6"/>
      <c r="AA523" s="6"/>
      <c r="AB523" s="6"/>
    </row>
    <row r="524" spans="1:28" ht="18" customHeight="1">
      <c r="A524" s="88">
        <f t="shared" si="8"/>
        <v>34</v>
      </c>
      <c r="B524" s="83">
        <v>252610119</v>
      </c>
      <c r="C524" s="108" t="s">
        <v>1557</v>
      </c>
      <c r="D524" s="33"/>
      <c r="E524" s="93"/>
      <c r="F524" s="109" t="s">
        <v>3</v>
      </c>
      <c r="G524" s="89"/>
      <c r="H524" s="85"/>
      <c r="I524" s="85"/>
      <c r="J524" s="85"/>
      <c r="K524" s="85"/>
      <c r="L524" s="85"/>
      <c r="M524" s="85"/>
      <c r="N524" s="85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</row>
    <row r="525" spans="1:28" ht="18" customHeight="1">
      <c r="A525" s="1">
        <f t="shared" si="8"/>
        <v>35</v>
      </c>
      <c r="B525" s="1">
        <v>252610259</v>
      </c>
      <c r="C525" s="108" t="s">
        <v>1559</v>
      </c>
      <c r="D525" s="33"/>
      <c r="E525" s="93"/>
      <c r="F525" s="109" t="s">
        <v>3</v>
      </c>
      <c r="G525" s="36"/>
      <c r="H525" s="36"/>
      <c r="I525" s="36"/>
      <c r="J525" s="36"/>
      <c r="K525" s="36"/>
      <c r="L525" s="36"/>
      <c r="M525" s="36"/>
      <c r="N525" s="3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</row>
    <row r="526" spans="1:28" ht="18" customHeight="1">
      <c r="A526" s="1">
        <f t="shared" si="8"/>
        <v>36</v>
      </c>
      <c r="B526" s="1">
        <v>252610304</v>
      </c>
      <c r="C526" s="108" t="s">
        <v>1561</v>
      </c>
      <c r="D526" s="33"/>
      <c r="E526" s="93"/>
      <c r="F526" s="109" t="s">
        <v>3</v>
      </c>
      <c r="G526" s="36"/>
      <c r="H526" s="36"/>
      <c r="I526" s="36"/>
      <c r="J526" s="36"/>
      <c r="K526" s="36"/>
      <c r="L526" s="36"/>
      <c r="M526" s="36"/>
      <c r="N526" s="3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</row>
    <row r="527" spans="1:28" ht="18" customHeight="1">
      <c r="A527" s="1">
        <f t="shared" si="8"/>
        <v>37</v>
      </c>
      <c r="B527" s="1">
        <v>252610125</v>
      </c>
      <c r="C527" s="108" t="s">
        <v>1563</v>
      </c>
      <c r="D527" s="33"/>
      <c r="E527" s="93"/>
      <c r="F527" s="109" t="s">
        <v>3</v>
      </c>
      <c r="G527" s="36"/>
      <c r="H527" s="36"/>
      <c r="I527" s="36"/>
      <c r="J527" s="36"/>
      <c r="K527" s="36"/>
      <c r="L527" s="36"/>
      <c r="M527" s="36"/>
      <c r="N527" s="3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</row>
    <row r="528" spans="1:28" ht="18" customHeight="1">
      <c r="A528" s="1">
        <f t="shared" si="8"/>
        <v>38</v>
      </c>
      <c r="B528" s="1">
        <v>252610400</v>
      </c>
      <c r="C528" s="108" t="s">
        <v>1565</v>
      </c>
      <c r="D528" s="33"/>
      <c r="E528" s="93"/>
      <c r="F528" s="109" t="s">
        <v>1</v>
      </c>
      <c r="G528" s="36"/>
      <c r="H528" s="36"/>
      <c r="I528" s="36"/>
      <c r="J528" s="36"/>
      <c r="K528" s="36"/>
      <c r="L528" s="36"/>
      <c r="M528" s="36"/>
      <c r="N528" s="3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</row>
    <row r="529" spans="1:28" ht="18" customHeight="1">
      <c r="A529" s="1">
        <f t="shared" si="8"/>
        <v>39</v>
      </c>
      <c r="B529" s="1">
        <v>252610130</v>
      </c>
      <c r="C529" s="108" t="s">
        <v>1567</v>
      </c>
      <c r="D529" s="33"/>
      <c r="E529" s="93"/>
      <c r="F529" s="109" t="s">
        <v>1</v>
      </c>
      <c r="G529" s="36"/>
      <c r="H529" s="36"/>
      <c r="I529" s="36"/>
      <c r="J529" s="36"/>
      <c r="K529" s="36"/>
      <c r="L529" s="36"/>
      <c r="M529" s="36"/>
      <c r="N529" s="3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</row>
    <row r="530" spans="1:28" ht="18" customHeight="1">
      <c r="A530" s="1">
        <f t="shared" si="8"/>
        <v>40</v>
      </c>
      <c r="B530" s="1">
        <v>252610402</v>
      </c>
      <c r="C530" s="108" t="s">
        <v>1569</v>
      </c>
      <c r="D530" s="33"/>
      <c r="E530" s="93"/>
      <c r="F530" s="109" t="s">
        <v>3</v>
      </c>
      <c r="G530" s="36"/>
      <c r="H530" s="36"/>
      <c r="I530" s="36"/>
      <c r="J530" s="36"/>
      <c r="K530" s="36"/>
      <c r="L530" s="36"/>
      <c r="M530" s="36"/>
      <c r="N530" s="3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</row>
    <row r="531" spans="1:28" ht="18" customHeight="1">
      <c r="A531" s="1">
        <f t="shared" si="8"/>
        <v>41</v>
      </c>
      <c r="B531" s="1">
        <v>252610359</v>
      </c>
      <c r="C531" s="108" t="s">
        <v>1571</v>
      </c>
      <c r="D531" s="33"/>
      <c r="E531" s="93"/>
      <c r="F531" s="109" t="s">
        <v>1</v>
      </c>
      <c r="G531" s="36"/>
      <c r="H531" s="36"/>
      <c r="I531" s="36"/>
      <c r="J531" s="36"/>
      <c r="K531" s="36"/>
      <c r="L531" s="36"/>
      <c r="M531" s="36"/>
      <c r="N531" s="3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</row>
    <row r="532" spans="1:28" ht="18" customHeight="1">
      <c r="A532" s="1">
        <f t="shared" si="8"/>
        <v>42</v>
      </c>
      <c r="B532" s="1">
        <v>252610081</v>
      </c>
      <c r="C532" s="108" t="s">
        <v>1573</v>
      </c>
      <c r="D532" s="33"/>
      <c r="E532" s="93"/>
      <c r="F532" s="109" t="s">
        <v>1</v>
      </c>
      <c r="G532" s="36"/>
      <c r="H532" s="36"/>
      <c r="I532" s="36"/>
      <c r="J532" s="36"/>
      <c r="K532" s="36"/>
      <c r="L532" s="36"/>
      <c r="M532" s="36"/>
      <c r="N532" s="3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</row>
    <row r="533" spans="1:28" ht="18" customHeight="1">
      <c r="A533" s="1">
        <f t="shared" si="8"/>
        <v>43</v>
      </c>
      <c r="B533" s="1">
        <v>252610405</v>
      </c>
      <c r="C533" s="108" t="s">
        <v>1575</v>
      </c>
      <c r="D533" s="33"/>
      <c r="E533" s="93"/>
      <c r="F533" s="109" t="s">
        <v>3</v>
      </c>
      <c r="G533" s="36"/>
      <c r="H533" s="36"/>
      <c r="I533" s="36"/>
      <c r="J533" s="36"/>
      <c r="K533" s="36"/>
      <c r="L533" s="36"/>
      <c r="M533" s="36"/>
      <c r="N533" s="3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</row>
    <row r="534" spans="1:28" ht="18" customHeight="1">
      <c r="A534" s="1">
        <f t="shared" si="8"/>
        <v>44</v>
      </c>
      <c r="B534" s="1">
        <v>252610492</v>
      </c>
      <c r="C534" s="108" t="s">
        <v>1577</v>
      </c>
      <c r="D534" s="33"/>
      <c r="E534" s="93"/>
      <c r="F534" s="109" t="s">
        <v>3</v>
      </c>
      <c r="G534" s="36"/>
      <c r="H534" s="36"/>
      <c r="I534" s="36"/>
      <c r="J534" s="36"/>
      <c r="K534" s="36"/>
      <c r="L534" s="36"/>
      <c r="M534" s="36"/>
      <c r="N534" s="3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</row>
    <row r="535" spans="1:28" ht="18" customHeight="1">
      <c r="A535" s="1">
        <f t="shared" si="8"/>
        <v>45</v>
      </c>
      <c r="B535" s="1"/>
      <c r="C535" s="108"/>
      <c r="D535" s="33"/>
      <c r="E535" s="93"/>
      <c r="F535" s="102"/>
      <c r="G535" s="36"/>
      <c r="H535" s="36"/>
      <c r="I535" s="36"/>
      <c r="J535" s="36"/>
      <c r="K535" s="36"/>
      <c r="L535" s="36"/>
      <c r="M535" s="36"/>
      <c r="N535" s="3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</row>
    <row r="536" spans="1:28" ht="18" customHeight="1">
      <c r="A536" s="1">
        <f t="shared" si="8"/>
        <v>46</v>
      </c>
      <c r="B536" s="1"/>
      <c r="C536" s="202"/>
      <c r="D536" s="186"/>
      <c r="E536" s="177"/>
      <c r="F536" s="102"/>
      <c r="G536" s="36"/>
      <c r="H536" s="36"/>
      <c r="I536" s="36"/>
      <c r="J536" s="36"/>
      <c r="K536" s="36"/>
      <c r="L536" s="36"/>
      <c r="M536" s="36"/>
      <c r="N536" s="3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</row>
    <row r="537" spans="1:28" ht="15.8" customHeight="1">
      <c r="A537" s="79"/>
      <c r="B537" s="79"/>
      <c r="C537" s="20"/>
      <c r="D537" s="20"/>
      <c r="E537" s="20"/>
      <c r="F537" s="80" t="s">
        <v>1</v>
      </c>
      <c r="G537" s="80">
        <f>COUNTIF(F491:F536,"L")</f>
        <v>18</v>
      </c>
      <c r="H537" s="20"/>
      <c r="I537" s="20"/>
      <c r="J537" s="20"/>
      <c r="K537" s="20"/>
      <c r="L537" s="20"/>
      <c r="M537" s="20"/>
      <c r="N537" s="20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</row>
    <row r="538" spans="1:28" ht="15.8" customHeight="1">
      <c r="A538" s="79"/>
      <c r="B538" s="79"/>
      <c r="C538" s="20"/>
      <c r="D538" s="20"/>
      <c r="E538" s="20"/>
      <c r="F538" s="30" t="s">
        <v>3</v>
      </c>
      <c r="G538" s="30">
        <f>COUNTIF(F491:F536,"P")</f>
        <v>26</v>
      </c>
      <c r="H538" s="20"/>
      <c r="I538" s="20"/>
      <c r="J538" s="20"/>
      <c r="K538" s="20"/>
      <c r="L538" s="20"/>
      <c r="M538" s="20"/>
      <c r="N538" s="20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</row>
    <row r="539" spans="1:28" ht="15.8" customHeight="1">
      <c r="A539" s="79"/>
      <c r="B539" s="79"/>
      <c r="C539" s="20"/>
      <c r="D539" s="20"/>
      <c r="E539" s="20"/>
      <c r="F539" s="81" t="s">
        <v>251</v>
      </c>
      <c r="G539" s="81">
        <f>SUM(G537:G538)</f>
        <v>44</v>
      </c>
      <c r="H539" s="20"/>
      <c r="I539" s="20"/>
      <c r="J539" s="20"/>
      <c r="K539" s="20"/>
      <c r="L539" s="20"/>
      <c r="M539" s="20"/>
      <c r="N539" s="20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</row>
    <row r="540" spans="1:28" ht="15.8" customHeight="1">
      <c r="A540" s="20" t="s">
        <v>275</v>
      </c>
      <c r="B540" s="6"/>
      <c r="C540" s="20"/>
      <c r="D540" s="20"/>
      <c r="E540" s="20"/>
      <c r="F540" s="94"/>
      <c r="G540" s="6"/>
      <c r="H540" s="6"/>
      <c r="I540" s="82" t="s">
        <v>254</v>
      </c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</row>
    <row r="541" spans="1:28" ht="15.8" customHeight="1">
      <c r="A541" s="20" t="s">
        <v>280</v>
      </c>
      <c r="B541" s="6"/>
      <c r="C541" s="20"/>
      <c r="D541" s="20"/>
      <c r="E541" s="20" t="s">
        <v>281</v>
      </c>
      <c r="F541" s="94"/>
      <c r="G541" s="6"/>
      <c r="H541" s="6"/>
      <c r="I541" s="6" t="s">
        <v>256</v>
      </c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</row>
    <row r="542" spans="1:28" ht="15.8" customHeight="1">
      <c r="A542" s="20"/>
      <c r="B542" s="6"/>
      <c r="C542" s="20"/>
      <c r="D542" s="20"/>
      <c r="E542" s="20"/>
      <c r="F542" s="79"/>
      <c r="G542" s="20"/>
      <c r="H542" s="20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</row>
    <row r="543" spans="1:28" ht="15.8" customHeight="1">
      <c r="A543" s="20"/>
      <c r="B543" s="6"/>
      <c r="C543" s="20"/>
      <c r="D543" s="20"/>
      <c r="E543" s="20"/>
      <c r="F543" s="79"/>
      <c r="G543" s="20"/>
      <c r="H543" s="20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</row>
    <row r="544" spans="1:28" ht="15.8" customHeight="1">
      <c r="A544" s="16" t="s">
        <v>1588</v>
      </c>
      <c r="B544" s="6"/>
      <c r="C544" s="6"/>
      <c r="D544" s="6"/>
      <c r="E544" s="86" t="s">
        <v>744</v>
      </c>
      <c r="F544" s="94"/>
      <c r="G544" s="6"/>
      <c r="H544" s="20"/>
      <c r="I544" s="87"/>
      <c r="J544" s="87"/>
      <c r="K544" s="87"/>
      <c r="L544" s="87"/>
      <c r="M544" s="87"/>
      <c r="N544" s="87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</row>
    <row r="545" spans="1:28" ht="15.8" customHeight="1">
      <c r="A545" s="41" t="s">
        <v>1589</v>
      </c>
      <c r="B545" s="41"/>
      <c r="C545" s="20"/>
      <c r="D545" s="20"/>
      <c r="E545" s="20" t="s">
        <v>1054</v>
      </c>
      <c r="F545" s="79"/>
      <c r="G545" s="20"/>
      <c r="H545" s="20" t="s">
        <v>266</v>
      </c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</row>
    <row r="546" spans="1:28" ht="15.8" customHeight="1">
      <c r="A546" s="43"/>
      <c r="B546" s="44"/>
      <c r="C546" s="44"/>
      <c r="D546" s="44"/>
      <c r="E546" s="44"/>
      <c r="F546" s="45"/>
      <c r="G546" s="46"/>
      <c r="H546" s="46"/>
      <c r="I546" s="44"/>
      <c r="J546" s="44"/>
      <c r="K546" s="44"/>
      <c r="L546" s="44"/>
      <c r="M546" s="44"/>
      <c r="N546" s="44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</row>
    <row r="547" spans="1:28" ht="19.55" customHeight="1">
      <c r="A547" s="16" t="s">
        <v>79</v>
      </c>
      <c r="B547" s="16"/>
      <c r="C547" s="4" t="s">
        <v>1592</v>
      </c>
      <c r="D547" s="16"/>
      <c r="E547" s="22"/>
      <c r="F547" s="23"/>
      <c r="G547" s="17"/>
      <c r="H547" s="19" t="s">
        <v>82</v>
      </c>
      <c r="I547" s="17"/>
      <c r="J547" s="17"/>
      <c r="K547" s="17"/>
      <c r="L547" s="17"/>
      <c r="M547" s="20"/>
      <c r="N547" s="20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</row>
    <row r="548" spans="1:28" ht="9" customHeight="1">
      <c r="A548" s="20"/>
      <c r="B548" s="24"/>
      <c r="C548" s="24"/>
      <c r="D548" s="24"/>
      <c r="E548" s="25"/>
      <c r="F548" s="14"/>
      <c r="G548" s="20"/>
      <c r="H548" s="26"/>
      <c r="I548" s="27"/>
      <c r="J548" s="27"/>
      <c r="K548" s="27"/>
      <c r="L548" s="27"/>
      <c r="M548" s="27"/>
      <c r="N548" s="27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</row>
    <row r="549" spans="1:28" ht="15.8" customHeight="1">
      <c r="A549" s="176" t="s">
        <v>84</v>
      </c>
      <c r="B549" s="177"/>
      <c r="C549" s="178" t="s">
        <v>85</v>
      </c>
      <c r="D549" s="179"/>
      <c r="E549" s="180"/>
      <c r="F549" s="184" t="s">
        <v>86</v>
      </c>
      <c r="G549" s="176" t="s">
        <v>87</v>
      </c>
      <c r="H549" s="186"/>
      <c r="I549" s="186"/>
      <c r="J549" s="186"/>
      <c r="K549" s="186"/>
      <c r="L549" s="186"/>
      <c r="M549" s="177"/>
      <c r="N549" s="184" t="s">
        <v>88</v>
      </c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</row>
    <row r="550" spans="1:28" ht="15.8" customHeight="1">
      <c r="A550" s="28" t="s">
        <v>90</v>
      </c>
      <c r="B550" s="28" t="s">
        <v>91</v>
      </c>
      <c r="C550" s="199"/>
      <c r="D550" s="200"/>
      <c r="E550" s="201"/>
      <c r="F550" s="185"/>
      <c r="G550" s="28"/>
      <c r="H550" s="28"/>
      <c r="I550" s="28"/>
      <c r="J550" s="28"/>
      <c r="K550" s="28"/>
      <c r="L550" s="28"/>
      <c r="M550" s="28"/>
      <c r="N550" s="185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</row>
    <row r="551" spans="1:28" ht="18" customHeight="1">
      <c r="A551" s="1">
        <v>1</v>
      </c>
      <c r="B551" s="31">
        <v>252610093</v>
      </c>
      <c r="C551" s="108" t="s">
        <v>1597</v>
      </c>
      <c r="D551" s="33"/>
      <c r="E551" s="93"/>
      <c r="F551" s="109" t="s">
        <v>3</v>
      </c>
      <c r="G551" s="36"/>
      <c r="H551" s="36"/>
      <c r="I551" s="36"/>
      <c r="J551" s="36"/>
      <c r="K551" s="36"/>
      <c r="L551" s="36"/>
      <c r="M551" s="36"/>
      <c r="N551" s="3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</row>
    <row r="552" spans="1:28" ht="18" customHeight="1">
      <c r="A552" s="1">
        <v>2</v>
      </c>
      <c r="B552" s="1">
        <v>252610499</v>
      </c>
      <c r="C552" s="108" t="s">
        <v>1599</v>
      </c>
      <c r="D552" s="33"/>
      <c r="E552" s="93"/>
      <c r="F552" s="109" t="s">
        <v>1</v>
      </c>
      <c r="G552" s="36"/>
      <c r="H552" s="36"/>
      <c r="I552" s="36"/>
      <c r="J552" s="36"/>
      <c r="K552" s="36"/>
      <c r="L552" s="36"/>
      <c r="M552" s="36"/>
      <c r="N552" s="3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</row>
    <row r="553" spans="1:28" ht="18" customHeight="1">
      <c r="A553" s="1">
        <v>3</v>
      </c>
      <c r="B553" s="1">
        <v>252610503</v>
      </c>
      <c r="C553" s="108" t="s">
        <v>1601</v>
      </c>
      <c r="D553" s="33"/>
      <c r="E553" s="93"/>
      <c r="F553" s="109" t="s">
        <v>3</v>
      </c>
      <c r="G553" s="36"/>
      <c r="H553" s="36"/>
      <c r="I553" s="36"/>
      <c r="J553" s="36"/>
      <c r="K553" s="36"/>
      <c r="L553" s="36"/>
      <c r="M553" s="36"/>
      <c r="N553" s="3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</row>
    <row r="554" spans="1:28" ht="18" customHeight="1">
      <c r="A554" s="1">
        <v>4</v>
      </c>
      <c r="B554" s="1">
        <v>252610096</v>
      </c>
      <c r="C554" s="108" t="s">
        <v>1602</v>
      </c>
      <c r="D554" s="33"/>
      <c r="E554" s="93"/>
      <c r="F554" s="109" t="s">
        <v>1</v>
      </c>
      <c r="G554" s="36"/>
      <c r="H554" s="36"/>
      <c r="I554" s="36"/>
      <c r="J554" s="36"/>
      <c r="K554" s="36"/>
      <c r="L554" s="36"/>
      <c r="M554" s="36"/>
      <c r="N554" s="3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</row>
    <row r="555" spans="1:28" ht="18" customHeight="1">
      <c r="A555" s="1">
        <v>5</v>
      </c>
      <c r="B555" s="1">
        <v>252610328</v>
      </c>
      <c r="C555" s="108" t="s">
        <v>1604</v>
      </c>
      <c r="D555" s="33"/>
      <c r="E555" s="93"/>
      <c r="F555" s="109" t="s">
        <v>3</v>
      </c>
      <c r="G555" s="36"/>
      <c r="H555" s="36"/>
      <c r="I555" s="36"/>
      <c r="J555" s="36"/>
      <c r="K555" s="36"/>
      <c r="L555" s="36"/>
      <c r="M555" s="36"/>
      <c r="N555" s="3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</row>
    <row r="556" spans="1:28" ht="18" customHeight="1">
      <c r="A556" s="1">
        <v>6</v>
      </c>
      <c r="B556" s="1">
        <v>252610329</v>
      </c>
      <c r="C556" s="108" t="s">
        <v>1606</v>
      </c>
      <c r="D556" s="33"/>
      <c r="E556" s="93"/>
      <c r="F556" s="109" t="s">
        <v>1</v>
      </c>
      <c r="G556" s="36"/>
      <c r="H556" s="36"/>
      <c r="I556" s="36"/>
      <c r="J556" s="36"/>
      <c r="K556" s="36"/>
      <c r="L556" s="36"/>
      <c r="M556" s="36"/>
      <c r="N556" s="3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</row>
    <row r="557" spans="1:28" ht="18" customHeight="1">
      <c r="A557" s="1">
        <v>7</v>
      </c>
      <c r="B557" s="1">
        <v>252610460</v>
      </c>
      <c r="C557" s="108" t="s">
        <v>1608</v>
      </c>
      <c r="D557" s="33"/>
      <c r="E557" s="93"/>
      <c r="F557" s="109" t="s">
        <v>3</v>
      </c>
      <c r="G557" s="36"/>
      <c r="H557" s="36"/>
      <c r="I557" s="36"/>
      <c r="J557" s="36"/>
      <c r="K557" s="36"/>
      <c r="L557" s="36"/>
      <c r="M557" s="36"/>
      <c r="N557" s="3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</row>
    <row r="558" spans="1:28" ht="18" customHeight="1">
      <c r="A558" s="1">
        <v>8</v>
      </c>
      <c r="B558" s="1">
        <v>252610009</v>
      </c>
      <c r="C558" s="108" t="s">
        <v>1609</v>
      </c>
      <c r="D558" s="33"/>
      <c r="E558" s="93"/>
      <c r="F558" s="109" t="s">
        <v>1</v>
      </c>
      <c r="G558" s="36"/>
      <c r="H558" s="36"/>
      <c r="I558" s="36"/>
      <c r="J558" s="36"/>
      <c r="K558" s="36"/>
      <c r="L558" s="36"/>
      <c r="M558" s="36"/>
      <c r="N558" s="3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</row>
    <row r="559" spans="1:28" ht="18" customHeight="1">
      <c r="A559" s="1">
        <v>9</v>
      </c>
      <c r="B559" s="1">
        <v>252610371</v>
      </c>
      <c r="C559" s="108" t="s">
        <v>1610</v>
      </c>
      <c r="D559" s="33"/>
      <c r="E559" s="93"/>
      <c r="F559" s="109" t="s">
        <v>1</v>
      </c>
      <c r="G559" s="36"/>
      <c r="H559" s="36"/>
      <c r="I559" s="36"/>
      <c r="J559" s="36"/>
      <c r="K559" s="36"/>
      <c r="L559" s="36"/>
      <c r="M559" s="36"/>
      <c r="N559" s="3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</row>
    <row r="560" spans="1:28" ht="18" customHeight="1">
      <c r="A560" s="1">
        <v>10</v>
      </c>
      <c r="B560" s="1">
        <v>252610462</v>
      </c>
      <c r="C560" s="108" t="s">
        <v>1611</v>
      </c>
      <c r="D560" s="33"/>
      <c r="E560" s="93"/>
      <c r="F560" s="109" t="s">
        <v>3</v>
      </c>
      <c r="G560" s="36"/>
      <c r="H560" s="36"/>
      <c r="I560" s="36"/>
      <c r="J560" s="36"/>
      <c r="K560" s="36"/>
      <c r="L560" s="36"/>
      <c r="M560" s="36"/>
      <c r="N560" s="3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</row>
    <row r="561" spans="1:28" ht="18" customHeight="1">
      <c r="A561" s="1">
        <v>11</v>
      </c>
      <c r="B561" s="1">
        <v>252610010</v>
      </c>
      <c r="C561" s="108" t="s">
        <v>1612</v>
      </c>
      <c r="D561" s="33"/>
      <c r="E561" s="93"/>
      <c r="F561" s="109" t="s">
        <v>1</v>
      </c>
      <c r="G561" s="36"/>
      <c r="H561" s="36"/>
      <c r="I561" s="36"/>
      <c r="J561" s="36"/>
      <c r="K561" s="36"/>
      <c r="L561" s="36"/>
      <c r="M561" s="36"/>
      <c r="N561" s="3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</row>
    <row r="562" spans="1:28" ht="18" customHeight="1">
      <c r="A562" s="1">
        <v>12</v>
      </c>
      <c r="B562" s="1">
        <v>252610234</v>
      </c>
      <c r="C562" s="108" t="s">
        <v>1613</v>
      </c>
      <c r="D562" s="33"/>
      <c r="E562" s="93"/>
      <c r="F562" s="109" t="s">
        <v>1</v>
      </c>
      <c r="G562" s="36"/>
      <c r="H562" s="36"/>
      <c r="I562" s="36"/>
      <c r="J562" s="36"/>
      <c r="K562" s="36"/>
      <c r="L562" s="36"/>
      <c r="M562" s="36"/>
      <c r="N562" s="3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</row>
    <row r="563" spans="1:28" ht="18" customHeight="1">
      <c r="A563" s="1">
        <v>13</v>
      </c>
      <c r="B563" s="1">
        <v>252610375</v>
      </c>
      <c r="C563" s="108" t="s">
        <v>1614</v>
      </c>
      <c r="D563" s="33"/>
      <c r="E563" s="93"/>
      <c r="F563" s="109" t="s">
        <v>3</v>
      </c>
      <c r="G563" s="36"/>
      <c r="H563" s="36"/>
      <c r="I563" s="36"/>
      <c r="J563" s="36"/>
      <c r="K563" s="36"/>
      <c r="L563" s="36"/>
      <c r="M563" s="36"/>
      <c r="N563" s="3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</row>
    <row r="564" spans="1:28" ht="18" customHeight="1">
      <c r="A564" s="1">
        <v>14</v>
      </c>
      <c r="B564" s="1">
        <v>252610053</v>
      </c>
      <c r="C564" s="108" t="s">
        <v>1615</v>
      </c>
      <c r="D564" s="33"/>
      <c r="E564" s="93"/>
      <c r="F564" s="109" t="s">
        <v>3</v>
      </c>
      <c r="G564" s="36"/>
      <c r="H564" s="36"/>
      <c r="I564" s="36"/>
      <c r="J564" s="36"/>
      <c r="K564" s="36"/>
      <c r="L564" s="36"/>
      <c r="M564" s="36"/>
      <c r="N564" s="3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</row>
    <row r="565" spans="1:28" ht="18" customHeight="1">
      <c r="A565" s="1">
        <v>15</v>
      </c>
      <c r="B565" s="1">
        <v>252610378</v>
      </c>
      <c r="C565" s="108" t="s">
        <v>1617</v>
      </c>
      <c r="D565" s="33"/>
      <c r="E565" s="93"/>
      <c r="F565" s="109" t="s">
        <v>1</v>
      </c>
      <c r="G565" s="36"/>
      <c r="H565" s="36"/>
      <c r="I565" s="36"/>
      <c r="J565" s="36"/>
      <c r="K565" s="36"/>
      <c r="L565" s="36"/>
      <c r="M565" s="36"/>
      <c r="N565" s="3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</row>
    <row r="566" spans="1:28" ht="18" customHeight="1">
      <c r="A566" s="1">
        <v>16</v>
      </c>
      <c r="B566" s="1">
        <v>252610284</v>
      </c>
      <c r="C566" s="108" t="s">
        <v>1619</v>
      </c>
      <c r="D566" s="33"/>
      <c r="E566" s="93"/>
      <c r="F566" s="109" t="s">
        <v>1</v>
      </c>
      <c r="G566" s="36"/>
      <c r="H566" s="36"/>
      <c r="I566" s="36"/>
      <c r="J566" s="36"/>
      <c r="K566" s="36"/>
      <c r="L566" s="36"/>
      <c r="M566" s="36"/>
      <c r="N566" s="3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</row>
    <row r="567" spans="1:28" ht="18" customHeight="1">
      <c r="A567" s="1">
        <v>17</v>
      </c>
      <c r="B567" s="1">
        <v>252610111</v>
      </c>
      <c r="C567" s="108" t="s">
        <v>1621</v>
      </c>
      <c r="D567" s="33"/>
      <c r="E567" s="93"/>
      <c r="F567" s="109" t="s">
        <v>3</v>
      </c>
      <c r="G567" s="36"/>
      <c r="H567" s="36"/>
      <c r="I567" s="36"/>
      <c r="J567" s="36"/>
      <c r="K567" s="36"/>
      <c r="L567" s="36"/>
      <c r="M567" s="36"/>
      <c r="N567" s="3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</row>
    <row r="568" spans="1:28" ht="18" customHeight="1">
      <c r="A568" s="1">
        <v>18</v>
      </c>
      <c r="B568" s="1">
        <v>252610285</v>
      </c>
      <c r="C568" s="108" t="s">
        <v>1622</v>
      </c>
      <c r="D568" s="33"/>
      <c r="E568" s="93"/>
      <c r="F568" s="109" t="s">
        <v>3</v>
      </c>
      <c r="G568" s="36"/>
      <c r="H568" s="36"/>
      <c r="I568" s="36"/>
      <c r="J568" s="36"/>
      <c r="K568" s="36"/>
      <c r="L568" s="36"/>
      <c r="M568" s="36"/>
      <c r="N568" s="1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</row>
    <row r="569" spans="1:28" ht="18" customHeight="1">
      <c r="A569" s="1">
        <v>19</v>
      </c>
      <c r="B569" s="1">
        <v>252610242</v>
      </c>
      <c r="C569" s="108" t="s">
        <v>1623</v>
      </c>
      <c r="D569" s="33"/>
      <c r="E569" s="93"/>
      <c r="F569" s="109" t="s">
        <v>3</v>
      </c>
      <c r="G569" s="36"/>
      <c r="H569" s="36"/>
      <c r="I569" s="36"/>
      <c r="J569" s="36"/>
      <c r="K569" s="36"/>
      <c r="L569" s="36"/>
      <c r="M569" s="36"/>
      <c r="N569" s="3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</row>
    <row r="570" spans="1:28" ht="18" customHeight="1">
      <c r="A570" s="1">
        <v>20</v>
      </c>
      <c r="B570" s="1">
        <v>252610516</v>
      </c>
      <c r="C570" s="108" t="s">
        <v>1624</v>
      </c>
      <c r="D570" s="33"/>
      <c r="E570" s="93"/>
      <c r="F570" s="109" t="s">
        <v>3</v>
      </c>
      <c r="G570" s="36"/>
      <c r="H570" s="36"/>
      <c r="I570" s="36"/>
      <c r="J570" s="36"/>
      <c r="K570" s="36"/>
      <c r="L570" s="36"/>
      <c r="M570" s="36"/>
      <c r="N570" s="3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</row>
    <row r="571" spans="1:28" ht="18" customHeight="1">
      <c r="A571" s="1">
        <v>21</v>
      </c>
      <c r="B571" s="1">
        <v>252610343</v>
      </c>
      <c r="C571" s="108" t="s">
        <v>1626</v>
      </c>
      <c r="D571" s="33"/>
      <c r="E571" s="93"/>
      <c r="F571" s="109" t="s">
        <v>3</v>
      </c>
      <c r="G571" s="36"/>
      <c r="H571" s="36"/>
      <c r="I571" s="36"/>
      <c r="J571" s="36"/>
      <c r="K571" s="36"/>
      <c r="L571" s="36"/>
      <c r="M571" s="36"/>
      <c r="N571" s="3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</row>
    <row r="572" spans="1:28" ht="18" customHeight="1">
      <c r="A572" s="1">
        <v>22</v>
      </c>
      <c r="B572" s="1">
        <v>252610344</v>
      </c>
      <c r="C572" s="108" t="s">
        <v>1628</v>
      </c>
      <c r="D572" s="33"/>
      <c r="E572" s="93"/>
      <c r="F572" s="109" t="s">
        <v>1</v>
      </c>
      <c r="G572" s="36"/>
      <c r="H572" s="36"/>
      <c r="I572" s="36"/>
      <c r="J572" s="36"/>
      <c r="K572" s="36"/>
      <c r="L572" s="36"/>
      <c r="M572" s="36"/>
      <c r="N572" s="3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</row>
    <row r="573" spans="1:28" ht="18" customHeight="1">
      <c r="A573" s="1">
        <v>23</v>
      </c>
      <c r="B573" s="1">
        <v>252610471</v>
      </c>
      <c r="C573" s="108" t="s">
        <v>1630</v>
      </c>
      <c r="D573" s="33"/>
      <c r="E573" s="93"/>
      <c r="F573" s="109" t="s">
        <v>3</v>
      </c>
      <c r="G573" s="36"/>
      <c r="H573" s="36"/>
      <c r="I573" s="36"/>
      <c r="J573" s="36"/>
      <c r="K573" s="36"/>
      <c r="L573" s="36"/>
      <c r="M573" s="36"/>
      <c r="N573" s="3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</row>
    <row r="574" spans="1:28" ht="18" customHeight="1">
      <c r="A574" s="1">
        <v>24</v>
      </c>
      <c r="B574" s="1">
        <v>252610477</v>
      </c>
      <c r="C574" s="108" t="s">
        <v>1632</v>
      </c>
      <c r="D574" s="33"/>
      <c r="E574" s="93"/>
      <c r="F574" s="109" t="s">
        <v>1</v>
      </c>
      <c r="G574" s="36"/>
      <c r="H574" s="36"/>
      <c r="I574" s="36"/>
      <c r="J574" s="36"/>
      <c r="K574" s="36"/>
      <c r="L574" s="36"/>
      <c r="M574" s="36"/>
      <c r="N574" s="3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</row>
    <row r="575" spans="1:28" ht="18" customHeight="1">
      <c r="A575" s="1">
        <v>25</v>
      </c>
      <c r="B575" s="1">
        <v>252610388</v>
      </c>
      <c r="C575" s="108" t="s">
        <v>1634</v>
      </c>
      <c r="D575" s="33"/>
      <c r="E575" s="93"/>
      <c r="F575" s="109" t="s">
        <v>1</v>
      </c>
      <c r="G575" s="36"/>
      <c r="H575" s="36"/>
      <c r="I575" s="36"/>
      <c r="J575" s="36"/>
      <c r="K575" s="36"/>
      <c r="L575" s="36"/>
      <c r="M575" s="36"/>
      <c r="N575" s="3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</row>
    <row r="576" spans="1:28" ht="18" customHeight="1">
      <c r="A576" s="1">
        <v>26</v>
      </c>
      <c r="B576" s="1">
        <v>252610121</v>
      </c>
      <c r="C576" s="108" t="s">
        <v>1636</v>
      </c>
      <c r="D576" s="33"/>
      <c r="E576" s="93"/>
      <c r="F576" s="109" t="s">
        <v>1</v>
      </c>
      <c r="G576" s="36"/>
      <c r="H576" s="36"/>
      <c r="I576" s="36"/>
      <c r="J576" s="36"/>
      <c r="K576" s="36"/>
      <c r="L576" s="36"/>
      <c r="M576" s="36"/>
      <c r="N576" s="3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</row>
    <row r="577" spans="1:28" ht="18" customHeight="1">
      <c r="A577" s="1">
        <v>27</v>
      </c>
      <c r="B577" s="1">
        <v>252610127</v>
      </c>
      <c r="C577" s="108" t="s">
        <v>1639</v>
      </c>
      <c r="D577" s="33"/>
      <c r="E577" s="93"/>
      <c r="F577" s="109" t="s">
        <v>1</v>
      </c>
      <c r="G577" s="36"/>
      <c r="H577" s="36"/>
      <c r="I577" s="36"/>
      <c r="J577" s="36"/>
      <c r="K577" s="36"/>
      <c r="L577" s="36"/>
      <c r="M577" s="36"/>
      <c r="N577" s="3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</row>
    <row r="578" spans="1:28" ht="18" customHeight="1">
      <c r="A578" s="1">
        <v>28</v>
      </c>
      <c r="B578" s="1">
        <v>252610032</v>
      </c>
      <c r="C578" s="108" t="s">
        <v>1641</v>
      </c>
      <c r="D578" s="33"/>
      <c r="E578" s="93"/>
      <c r="F578" s="109" t="s">
        <v>1</v>
      </c>
      <c r="G578" s="36"/>
      <c r="H578" s="36"/>
      <c r="I578" s="36"/>
      <c r="J578" s="36"/>
      <c r="K578" s="36"/>
      <c r="L578" s="36"/>
      <c r="M578" s="36"/>
      <c r="N578" s="3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</row>
    <row r="579" spans="1:28" ht="18" customHeight="1">
      <c r="A579" s="1">
        <v>29</v>
      </c>
      <c r="B579" s="1">
        <v>252610403</v>
      </c>
      <c r="C579" s="108" t="s">
        <v>1643</v>
      </c>
      <c r="D579" s="33"/>
      <c r="E579" s="93"/>
      <c r="F579" s="109" t="s">
        <v>3</v>
      </c>
      <c r="G579" s="36"/>
      <c r="H579" s="36"/>
      <c r="I579" s="36"/>
      <c r="J579" s="36"/>
      <c r="K579" s="36"/>
      <c r="L579" s="36"/>
      <c r="M579" s="36"/>
      <c r="N579" s="3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</row>
    <row r="580" spans="1:28" ht="18" customHeight="1">
      <c r="A580" s="1">
        <v>30</v>
      </c>
      <c r="B580" s="1">
        <v>252610536</v>
      </c>
      <c r="C580" s="108" t="s">
        <v>1646</v>
      </c>
      <c r="D580" s="33"/>
      <c r="E580" s="93"/>
      <c r="F580" s="109" t="s">
        <v>1</v>
      </c>
      <c r="G580" s="36"/>
      <c r="H580" s="36"/>
      <c r="I580" s="36"/>
      <c r="J580" s="36"/>
      <c r="K580" s="36"/>
      <c r="L580" s="36"/>
      <c r="M580" s="36"/>
      <c r="N580" s="3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</row>
    <row r="581" spans="1:28" ht="18" customHeight="1">
      <c r="A581" s="1">
        <v>31</v>
      </c>
      <c r="B581" s="1">
        <v>252610404</v>
      </c>
      <c r="C581" s="108" t="s">
        <v>1647</v>
      </c>
      <c r="D581" s="33"/>
      <c r="E581" s="93"/>
      <c r="F581" s="109" t="s">
        <v>1</v>
      </c>
      <c r="G581" s="36"/>
      <c r="H581" s="36"/>
      <c r="I581" s="36"/>
      <c r="J581" s="36"/>
      <c r="K581" s="36"/>
      <c r="L581" s="36"/>
      <c r="M581" s="36"/>
      <c r="N581" s="3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</row>
    <row r="582" spans="1:28" ht="18" customHeight="1">
      <c r="A582" s="1">
        <v>32</v>
      </c>
      <c r="B582" s="1">
        <v>252610268</v>
      </c>
      <c r="C582" s="108" t="s">
        <v>1649</v>
      </c>
      <c r="D582" s="33"/>
      <c r="E582" s="93"/>
      <c r="F582" s="109" t="s">
        <v>1</v>
      </c>
      <c r="G582" s="36"/>
      <c r="H582" s="36"/>
      <c r="I582" s="36"/>
      <c r="J582" s="36"/>
      <c r="K582" s="36"/>
      <c r="L582" s="36"/>
      <c r="M582" s="36"/>
      <c r="N582" s="3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</row>
    <row r="583" spans="1:28" ht="18" customHeight="1">
      <c r="A583" s="1">
        <v>33</v>
      </c>
      <c r="B583" s="1">
        <v>252610133</v>
      </c>
      <c r="C583" s="108" t="s">
        <v>1651</v>
      </c>
      <c r="D583" s="33"/>
      <c r="E583" s="93"/>
      <c r="F583" s="109" t="s">
        <v>3</v>
      </c>
      <c r="G583" s="36"/>
      <c r="H583" s="36"/>
      <c r="I583" s="36"/>
      <c r="J583" s="36"/>
      <c r="K583" s="36"/>
      <c r="L583" s="36"/>
      <c r="M583" s="36"/>
      <c r="N583" s="3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</row>
    <row r="584" spans="1:28" ht="18" customHeight="1">
      <c r="A584" s="1">
        <v>34</v>
      </c>
      <c r="B584" s="83">
        <v>252610360</v>
      </c>
      <c r="C584" s="108" t="s">
        <v>1653</v>
      </c>
      <c r="D584" s="33"/>
      <c r="E584" s="93"/>
      <c r="F584" s="109" t="s">
        <v>3</v>
      </c>
      <c r="G584" s="85"/>
      <c r="H584" s="85"/>
      <c r="I584" s="85"/>
      <c r="J584" s="85"/>
      <c r="K584" s="85"/>
      <c r="L584" s="85"/>
      <c r="M584" s="85"/>
      <c r="N584" s="85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</row>
    <row r="585" spans="1:28" ht="18" customHeight="1">
      <c r="A585" s="1">
        <v>35</v>
      </c>
      <c r="B585" s="1">
        <v>252610312</v>
      </c>
      <c r="C585" s="108" t="s">
        <v>1655</v>
      </c>
      <c r="D585" s="33"/>
      <c r="E585" s="93"/>
      <c r="F585" s="109" t="s">
        <v>1</v>
      </c>
      <c r="G585" s="36"/>
      <c r="H585" s="36"/>
      <c r="I585" s="36"/>
      <c r="J585" s="36"/>
      <c r="K585" s="36"/>
      <c r="L585" s="36"/>
      <c r="M585" s="36"/>
      <c r="N585" s="3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</row>
    <row r="586" spans="1:28" ht="18" customHeight="1">
      <c r="A586" s="1">
        <v>36</v>
      </c>
      <c r="B586" s="1">
        <v>252610176</v>
      </c>
      <c r="C586" s="108" t="s">
        <v>1657</v>
      </c>
      <c r="D586" s="33"/>
      <c r="E586" s="93"/>
      <c r="F586" s="109" t="s">
        <v>3</v>
      </c>
      <c r="G586" s="36"/>
      <c r="H586" s="36"/>
      <c r="I586" s="36"/>
      <c r="J586" s="36"/>
      <c r="K586" s="36"/>
      <c r="L586" s="36"/>
      <c r="M586" s="36"/>
      <c r="N586" s="3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</row>
    <row r="587" spans="1:28" ht="18" customHeight="1">
      <c r="A587" s="1">
        <v>37</v>
      </c>
      <c r="B587" s="1">
        <v>252610218</v>
      </c>
      <c r="C587" s="108" t="s">
        <v>1660</v>
      </c>
      <c r="D587" s="33"/>
      <c r="E587" s="93"/>
      <c r="F587" s="109" t="s">
        <v>3</v>
      </c>
      <c r="G587" s="36"/>
      <c r="H587" s="36"/>
      <c r="I587" s="36"/>
      <c r="J587" s="36"/>
      <c r="K587" s="36"/>
      <c r="L587" s="36"/>
      <c r="M587" s="36"/>
      <c r="N587" s="3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</row>
    <row r="588" spans="1:28" ht="18" customHeight="1">
      <c r="A588" s="1">
        <v>38</v>
      </c>
      <c r="B588" s="1">
        <v>252610135</v>
      </c>
      <c r="C588" s="108" t="s">
        <v>1662</v>
      </c>
      <c r="D588" s="33"/>
      <c r="E588" s="93"/>
      <c r="F588" s="109" t="s">
        <v>3</v>
      </c>
      <c r="G588" s="36"/>
      <c r="H588" s="36"/>
      <c r="I588" s="36"/>
      <c r="J588" s="36"/>
      <c r="K588" s="36"/>
      <c r="L588" s="36"/>
      <c r="M588" s="36"/>
      <c r="N588" s="3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</row>
    <row r="589" spans="1:28" ht="18" customHeight="1">
      <c r="A589" s="1">
        <v>39</v>
      </c>
      <c r="B589" s="83">
        <v>252610407</v>
      </c>
      <c r="C589" s="108" t="s">
        <v>1664</v>
      </c>
      <c r="D589" s="33"/>
      <c r="E589" s="93"/>
      <c r="F589" s="127" t="s">
        <v>3</v>
      </c>
      <c r="G589" s="85"/>
      <c r="H589" s="85"/>
      <c r="I589" s="85"/>
      <c r="J589" s="85"/>
      <c r="K589" s="85"/>
      <c r="L589" s="85"/>
      <c r="M589" s="85"/>
      <c r="N589" s="85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</row>
    <row r="590" spans="1:28" ht="18" customHeight="1">
      <c r="A590" s="1">
        <v>40</v>
      </c>
      <c r="B590" s="1">
        <v>252610220</v>
      </c>
      <c r="C590" s="108" t="s">
        <v>1667</v>
      </c>
      <c r="D590" s="33"/>
      <c r="E590" s="93"/>
      <c r="F590" s="127" t="s">
        <v>3</v>
      </c>
      <c r="G590" s="36"/>
      <c r="H590" s="36"/>
      <c r="I590" s="36"/>
      <c r="J590" s="36"/>
      <c r="K590" s="36"/>
      <c r="L590" s="36"/>
      <c r="M590" s="36"/>
      <c r="N590" s="3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</row>
    <row r="591" spans="1:28" ht="15.8" customHeight="1">
      <c r="A591" s="1">
        <v>41</v>
      </c>
      <c r="B591" s="1">
        <v>252610269</v>
      </c>
      <c r="C591" s="160" t="s">
        <v>1669</v>
      </c>
      <c r="D591" s="33"/>
      <c r="E591" s="93"/>
      <c r="F591" s="127" t="s">
        <v>3</v>
      </c>
      <c r="G591" s="90"/>
      <c r="H591" s="36"/>
      <c r="I591" s="36"/>
      <c r="J591" s="36"/>
      <c r="K591" s="36"/>
      <c r="L591" s="36"/>
      <c r="M591" s="36"/>
      <c r="N591" s="3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</row>
    <row r="592" spans="1:28" ht="15.8" customHeight="1">
      <c r="A592" s="1">
        <v>42</v>
      </c>
      <c r="B592" s="1">
        <v>252610410</v>
      </c>
      <c r="C592" s="160" t="s">
        <v>1671</v>
      </c>
      <c r="D592" s="33"/>
      <c r="E592" s="93"/>
      <c r="F592" s="127" t="s">
        <v>3</v>
      </c>
      <c r="G592" s="90"/>
      <c r="H592" s="36"/>
      <c r="I592" s="36"/>
      <c r="J592" s="36"/>
      <c r="K592" s="36"/>
      <c r="L592" s="36"/>
      <c r="M592" s="36"/>
      <c r="N592" s="3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</row>
    <row r="593" spans="1:28" ht="15.8" customHeight="1">
      <c r="A593" s="83">
        <v>43</v>
      </c>
      <c r="B593" s="1">
        <v>252610411</v>
      </c>
      <c r="C593" s="160" t="s">
        <v>1673</v>
      </c>
      <c r="D593" s="33"/>
      <c r="E593" s="93"/>
      <c r="F593" s="127" t="s">
        <v>3</v>
      </c>
      <c r="G593" s="90"/>
      <c r="H593" s="36"/>
      <c r="I593" s="36"/>
      <c r="J593" s="36"/>
      <c r="K593" s="36"/>
      <c r="L593" s="36"/>
      <c r="M593" s="36"/>
      <c r="N593" s="3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</row>
    <row r="594" spans="1:28" ht="15.8" customHeight="1">
      <c r="A594" s="1">
        <v>44</v>
      </c>
      <c r="B594" s="167">
        <v>252610319</v>
      </c>
      <c r="C594" s="160" t="s">
        <v>1675</v>
      </c>
      <c r="D594" s="33"/>
      <c r="E594" s="93"/>
      <c r="F594" s="127" t="s">
        <v>3</v>
      </c>
      <c r="G594" s="168"/>
      <c r="H594" s="168"/>
      <c r="I594" s="90"/>
      <c r="J594" s="168"/>
      <c r="K594" s="168"/>
      <c r="L594" s="168"/>
      <c r="M594" s="168"/>
      <c r="N594" s="168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</row>
    <row r="595" spans="1:28" ht="15.8" customHeight="1">
      <c r="A595" s="79"/>
      <c r="B595" s="6"/>
      <c r="C595" s="20"/>
      <c r="D595" s="20"/>
      <c r="E595" s="20"/>
      <c r="F595" s="80" t="s">
        <v>1</v>
      </c>
      <c r="G595" s="80" t="e">
        <f>COUNTIF(#REF!,"L")</f>
        <v>#REF!</v>
      </c>
      <c r="H595" s="6"/>
      <c r="I595" s="8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</row>
    <row r="596" spans="1:28" ht="15.8" customHeight="1">
      <c r="A596" s="79"/>
      <c r="B596" s="6"/>
      <c r="C596" s="20"/>
      <c r="D596" s="20"/>
      <c r="E596" s="20"/>
      <c r="F596" s="30" t="s">
        <v>3</v>
      </c>
      <c r="G596" s="30" t="e">
        <f>COUNTIF(#REF!,"P")</f>
        <v>#REF!</v>
      </c>
      <c r="H596" s="6"/>
      <c r="I596" s="8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</row>
    <row r="597" spans="1:28" ht="15.8" customHeight="1">
      <c r="A597" s="8"/>
      <c r="B597" s="6"/>
      <c r="C597" s="20"/>
      <c r="D597" s="20"/>
      <c r="E597" s="20"/>
      <c r="F597" s="81" t="s">
        <v>251</v>
      </c>
      <c r="G597" s="81" t="e">
        <f>SUM(G595:G596)</f>
        <v>#REF!</v>
      </c>
      <c r="H597" s="6"/>
      <c r="I597" s="8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</row>
    <row r="598" spans="1:28" ht="15.8" customHeight="1">
      <c r="A598" s="8"/>
      <c r="B598" s="6"/>
      <c r="C598" s="20"/>
      <c r="D598" s="20"/>
      <c r="E598" s="20"/>
      <c r="F598" s="94"/>
      <c r="G598" s="6"/>
      <c r="H598" s="6"/>
      <c r="I598" s="8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</row>
    <row r="599" spans="1:28" ht="15.8" customHeight="1">
      <c r="A599" s="20" t="s">
        <v>275</v>
      </c>
      <c r="B599" s="6"/>
      <c r="C599" s="20"/>
      <c r="D599" s="20"/>
      <c r="E599" s="20"/>
      <c r="F599" s="94"/>
      <c r="G599" s="6"/>
      <c r="H599" s="6"/>
      <c r="I599" s="82" t="s">
        <v>254</v>
      </c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</row>
    <row r="600" spans="1:28" ht="14.95" customHeight="1">
      <c r="A600" s="20" t="s">
        <v>280</v>
      </c>
      <c r="B600" s="6"/>
      <c r="C600" s="20"/>
      <c r="D600" s="20"/>
      <c r="E600" s="20" t="s">
        <v>281</v>
      </c>
      <c r="F600" s="94"/>
      <c r="G600" s="6"/>
      <c r="H600" s="6"/>
      <c r="I600" s="6" t="s">
        <v>256</v>
      </c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</row>
    <row r="601" spans="1:28" ht="15.8" customHeight="1">
      <c r="A601" s="20"/>
      <c r="B601" s="6"/>
      <c r="C601" s="20"/>
      <c r="D601" s="20"/>
      <c r="E601" s="20"/>
      <c r="F601" s="79"/>
      <c r="G601" s="20"/>
      <c r="H601" s="20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</row>
    <row r="602" spans="1:28" ht="15.8" customHeight="1">
      <c r="A602" s="20"/>
      <c r="B602" s="6"/>
      <c r="C602" s="20"/>
      <c r="D602" s="20"/>
      <c r="E602" s="20"/>
      <c r="F602" s="79"/>
      <c r="G602" s="20"/>
      <c r="H602" s="20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</row>
    <row r="603" spans="1:28" ht="15.8" customHeight="1">
      <c r="A603" s="24" t="s">
        <v>1688</v>
      </c>
      <c r="B603" s="6"/>
      <c r="C603" s="6"/>
      <c r="D603" s="6"/>
      <c r="E603" s="86" t="s">
        <v>744</v>
      </c>
      <c r="F603" s="94"/>
      <c r="G603" s="6"/>
      <c r="H603" s="20"/>
      <c r="I603" s="87"/>
      <c r="J603" s="87"/>
      <c r="K603" s="87"/>
      <c r="L603" s="87"/>
      <c r="M603" s="87"/>
      <c r="N603" s="87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</row>
    <row r="604" spans="1:28" ht="15.8" customHeight="1">
      <c r="A604" s="41" t="s">
        <v>1690</v>
      </c>
      <c r="B604" s="41"/>
      <c r="C604" s="20"/>
      <c r="D604" s="20"/>
      <c r="E604" s="20" t="s">
        <v>1054</v>
      </c>
      <c r="F604" s="79"/>
      <c r="G604" s="20"/>
      <c r="H604" s="20" t="s">
        <v>266</v>
      </c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</row>
    <row r="605" spans="1:28" ht="15.8" customHeight="1">
      <c r="A605" s="43"/>
      <c r="B605" s="44"/>
      <c r="C605" s="44"/>
      <c r="D605" s="44"/>
      <c r="E605" s="44"/>
      <c r="F605" s="45"/>
      <c r="G605" s="46"/>
      <c r="H605" s="46"/>
      <c r="I605" s="44"/>
      <c r="J605" s="44"/>
      <c r="K605" s="44"/>
      <c r="L605" s="44"/>
      <c r="M605" s="44"/>
      <c r="N605" s="44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</row>
    <row r="606" spans="1:28" ht="19.55" customHeight="1">
      <c r="A606" s="16" t="s">
        <v>79</v>
      </c>
      <c r="B606" s="16"/>
      <c r="C606" s="4" t="s">
        <v>1691</v>
      </c>
      <c r="D606" s="16"/>
      <c r="E606" s="22"/>
      <c r="F606" s="23"/>
      <c r="G606" s="17"/>
      <c r="H606" s="19" t="s">
        <v>82</v>
      </c>
      <c r="I606" s="17"/>
      <c r="J606" s="17"/>
      <c r="K606" s="17"/>
      <c r="L606" s="17"/>
      <c r="M606" s="20"/>
      <c r="N606" s="20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</row>
    <row r="607" spans="1:28" ht="9" customHeight="1">
      <c r="A607" s="20"/>
      <c r="B607" s="24"/>
      <c r="C607" s="24"/>
      <c r="D607" s="24"/>
      <c r="E607" s="25"/>
      <c r="F607" s="14"/>
      <c r="G607" s="20"/>
      <c r="H607" s="26"/>
      <c r="I607" s="27"/>
      <c r="J607" s="27"/>
      <c r="K607" s="27"/>
      <c r="L607" s="27"/>
      <c r="M607" s="27"/>
      <c r="N607" s="27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</row>
    <row r="608" spans="1:28" ht="15.8" customHeight="1">
      <c r="A608" s="176" t="s">
        <v>84</v>
      </c>
      <c r="B608" s="177"/>
      <c r="C608" s="178" t="s">
        <v>85</v>
      </c>
      <c r="D608" s="179"/>
      <c r="E608" s="180"/>
      <c r="F608" s="184" t="s">
        <v>86</v>
      </c>
      <c r="G608" s="176" t="s">
        <v>87</v>
      </c>
      <c r="H608" s="186"/>
      <c r="I608" s="186"/>
      <c r="J608" s="186"/>
      <c r="K608" s="186"/>
      <c r="L608" s="186"/>
      <c r="M608" s="177"/>
      <c r="N608" s="184" t="s">
        <v>88</v>
      </c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</row>
    <row r="609" spans="1:28" ht="15.8" customHeight="1">
      <c r="A609" s="28" t="s">
        <v>90</v>
      </c>
      <c r="B609" s="28" t="s">
        <v>91</v>
      </c>
      <c r="C609" s="199"/>
      <c r="D609" s="200"/>
      <c r="E609" s="201"/>
      <c r="F609" s="185"/>
      <c r="G609" s="28"/>
      <c r="H609" s="28"/>
      <c r="I609" s="28"/>
      <c r="J609" s="28"/>
      <c r="K609" s="28"/>
      <c r="L609" s="28"/>
      <c r="M609" s="28"/>
      <c r="N609" s="185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</row>
    <row r="610" spans="1:28" ht="18" customHeight="1">
      <c r="A610" s="1">
        <v>1</v>
      </c>
      <c r="B610" s="31">
        <v>252610452</v>
      </c>
      <c r="C610" s="108" t="s">
        <v>1694</v>
      </c>
      <c r="D610" s="33"/>
      <c r="E610" s="93"/>
      <c r="F610" s="109" t="s">
        <v>3</v>
      </c>
      <c r="G610" s="36"/>
      <c r="H610" s="36"/>
      <c r="I610" s="36"/>
      <c r="J610" s="36"/>
      <c r="K610" s="36"/>
      <c r="L610" s="36"/>
      <c r="M610" s="36"/>
      <c r="N610" s="3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</row>
    <row r="611" spans="1:28" ht="18" customHeight="1">
      <c r="A611" s="1">
        <f t="shared" ref="A611:A653" si="9">A610+1</f>
        <v>2</v>
      </c>
      <c r="B611" s="1">
        <v>252610095</v>
      </c>
      <c r="C611" s="108" t="s">
        <v>1696</v>
      </c>
      <c r="D611" s="33"/>
      <c r="E611" s="93"/>
      <c r="F611" s="109" t="s">
        <v>1</v>
      </c>
      <c r="G611" s="36"/>
      <c r="H611" s="36"/>
      <c r="I611" s="36"/>
      <c r="J611" s="36"/>
      <c r="K611" s="36"/>
      <c r="L611" s="36"/>
      <c r="M611" s="36"/>
      <c r="N611" s="3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</row>
    <row r="612" spans="1:28" ht="18" customHeight="1">
      <c r="A612" s="1">
        <f t="shared" si="9"/>
        <v>3</v>
      </c>
      <c r="B612" s="1">
        <v>252610415</v>
      </c>
      <c r="C612" s="108" t="s">
        <v>1697</v>
      </c>
      <c r="D612" s="33"/>
      <c r="E612" s="93"/>
      <c r="F612" s="109" t="s">
        <v>3</v>
      </c>
      <c r="G612" s="36"/>
      <c r="H612" s="36"/>
      <c r="I612" s="36"/>
      <c r="J612" s="36"/>
      <c r="K612" s="36"/>
      <c r="L612" s="36"/>
      <c r="M612" s="36"/>
      <c r="N612" s="3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</row>
    <row r="613" spans="1:28" ht="18" customHeight="1">
      <c r="A613" s="1">
        <f t="shared" si="9"/>
        <v>4</v>
      </c>
      <c r="B613" s="1">
        <v>252610506</v>
      </c>
      <c r="C613" s="108" t="s">
        <v>1699</v>
      </c>
      <c r="D613" s="33"/>
      <c r="E613" s="93"/>
      <c r="F613" s="109" t="s">
        <v>1</v>
      </c>
      <c r="G613" s="36"/>
      <c r="H613" s="36"/>
      <c r="I613" s="36"/>
      <c r="J613" s="36"/>
      <c r="K613" s="36"/>
      <c r="L613" s="36"/>
      <c r="M613" s="36"/>
      <c r="N613" s="3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</row>
    <row r="614" spans="1:28" ht="18" customHeight="1">
      <c r="A614" s="1">
        <f t="shared" si="9"/>
        <v>5</v>
      </c>
      <c r="B614" s="1">
        <v>252610325</v>
      </c>
      <c r="C614" s="108" t="s">
        <v>1701</v>
      </c>
      <c r="D614" s="33"/>
      <c r="E614" s="93"/>
      <c r="F614" s="109" t="s">
        <v>1</v>
      </c>
      <c r="G614" s="36"/>
      <c r="H614" s="36"/>
      <c r="I614" s="36"/>
      <c r="J614" s="36"/>
      <c r="K614" s="36"/>
      <c r="L614" s="36"/>
      <c r="M614" s="36"/>
      <c r="N614" s="3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</row>
    <row r="615" spans="1:28" ht="18" customHeight="1">
      <c r="A615" s="1">
        <f t="shared" si="9"/>
        <v>6</v>
      </c>
      <c r="B615" s="1">
        <v>252610370</v>
      </c>
      <c r="C615" s="108" t="s">
        <v>1703</v>
      </c>
      <c r="D615" s="33"/>
      <c r="E615" s="93"/>
      <c r="F615" s="109" t="s">
        <v>3</v>
      </c>
      <c r="G615" s="36"/>
      <c r="H615" s="36"/>
      <c r="I615" s="36"/>
      <c r="J615" s="36"/>
      <c r="K615" s="36"/>
      <c r="L615" s="36"/>
      <c r="M615" s="36"/>
      <c r="N615" s="3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</row>
    <row r="616" spans="1:28" ht="18" customHeight="1">
      <c r="A616" s="1">
        <f t="shared" si="9"/>
        <v>7</v>
      </c>
      <c r="B616" s="1">
        <v>252610182</v>
      </c>
      <c r="C616" s="108" t="s">
        <v>1705</v>
      </c>
      <c r="D616" s="33"/>
      <c r="E616" s="93"/>
      <c r="F616" s="109" t="s">
        <v>3</v>
      </c>
      <c r="G616" s="36"/>
      <c r="H616" s="36"/>
      <c r="I616" s="36"/>
      <c r="J616" s="36"/>
      <c r="K616" s="36"/>
      <c r="L616" s="36"/>
      <c r="M616" s="36"/>
      <c r="N616" s="3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</row>
    <row r="617" spans="1:28" ht="18" customHeight="1">
      <c r="A617" s="1">
        <f t="shared" si="9"/>
        <v>8</v>
      </c>
      <c r="B617" s="1">
        <v>252610232</v>
      </c>
      <c r="C617" s="108" t="s">
        <v>1707</v>
      </c>
      <c r="D617" s="33"/>
      <c r="E617" s="93"/>
      <c r="F617" s="109" t="s">
        <v>3</v>
      </c>
      <c r="G617" s="36"/>
      <c r="H617" s="36"/>
      <c r="I617" s="36"/>
      <c r="J617" s="36"/>
      <c r="K617" s="36"/>
      <c r="L617" s="36"/>
      <c r="M617" s="36"/>
      <c r="N617" s="3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</row>
    <row r="618" spans="1:28" ht="18" customHeight="1">
      <c r="A618" s="1">
        <f t="shared" si="9"/>
        <v>9</v>
      </c>
      <c r="B618" s="1">
        <v>252610236</v>
      </c>
      <c r="C618" s="108" t="s">
        <v>1709</v>
      </c>
      <c r="D618" s="33"/>
      <c r="E618" s="93"/>
      <c r="F618" s="109" t="s">
        <v>3</v>
      </c>
      <c r="G618" s="36"/>
      <c r="H618" s="36"/>
      <c r="I618" s="36"/>
      <c r="J618" s="36"/>
      <c r="K618" s="36"/>
      <c r="L618" s="36"/>
      <c r="M618" s="36"/>
      <c r="N618" s="3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</row>
    <row r="619" spans="1:28" ht="18" customHeight="1">
      <c r="A619" s="1">
        <f t="shared" si="9"/>
        <v>10</v>
      </c>
      <c r="B619" s="1">
        <v>252610103</v>
      </c>
      <c r="C619" s="108" t="s">
        <v>1711</v>
      </c>
      <c r="D619" s="33"/>
      <c r="E619" s="93"/>
      <c r="F619" s="109" t="s">
        <v>1</v>
      </c>
      <c r="G619" s="36"/>
      <c r="H619" s="36"/>
      <c r="I619" s="36"/>
      <c r="J619" s="36"/>
      <c r="K619" s="36"/>
      <c r="L619" s="36"/>
      <c r="M619" s="36"/>
      <c r="N619" s="3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</row>
    <row r="620" spans="1:28" ht="18" customHeight="1">
      <c r="A620" s="1">
        <f t="shared" si="9"/>
        <v>11</v>
      </c>
      <c r="B620" s="1">
        <v>252610420</v>
      </c>
      <c r="C620" s="108" t="s">
        <v>1713</v>
      </c>
      <c r="D620" s="33"/>
      <c r="E620" s="93"/>
      <c r="F620" s="109" t="s">
        <v>3</v>
      </c>
      <c r="G620" s="36"/>
      <c r="H620" s="36"/>
      <c r="I620" s="36"/>
      <c r="J620" s="36"/>
      <c r="K620" s="36"/>
      <c r="L620" s="36"/>
      <c r="M620" s="36"/>
      <c r="N620" s="3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</row>
    <row r="621" spans="1:28" ht="18" customHeight="1">
      <c r="A621" s="1">
        <f t="shared" si="9"/>
        <v>12</v>
      </c>
      <c r="B621" s="1">
        <v>252610012</v>
      </c>
      <c r="C621" s="108" t="s">
        <v>1715</v>
      </c>
      <c r="D621" s="33"/>
      <c r="E621" s="93"/>
      <c r="F621" s="109" t="s">
        <v>3</v>
      </c>
      <c r="G621" s="36"/>
      <c r="H621" s="36"/>
      <c r="I621" s="36"/>
      <c r="J621" s="36"/>
      <c r="K621" s="36"/>
      <c r="L621" s="36"/>
      <c r="M621" s="36"/>
      <c r="N621" s="3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</row>
    <row r="622" spans="1:28" ht="18" customHeight="1">
      <c r="A622" s="1">
        <f t="shared" si="9"/>
        <v>13</v>
      </c>
      <c r="B622" s="1">
        <v>252610189</v>
      </c>
      <c r="C622" s="108" t="s">
        <v>1718</v>
      </c>
      <c r="D622" s="33"/>
      <c r="E622" s="93"/>
      <c r="F622" s="109" t="s">
        <v>3</v>
      </c>
      <c r="G622" s="36"/>
      <c r="H622" s="36"/>
      <c r="I622" s="36"/>
      <c r="J622" s="36"/>
      <c r="K622" s="36"/>
      <c r="L622" s="36"/>
      <c r="M622" s="36"/>
      <c r="N622" s="3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</row>
    <row r="623" spans="1:28" ht="18" customHeight="1">
      <c r="A623" s="1">
        <f t="shared" si="9"/>
        <v>14</v>
      </c>
      <c r="B623" s="1">
        <v>252610381</v>
      </c>
      <c r="C623" s="108" t="s">
        <v>1720</v>
      </c>
      <c r="D623" s="33"/>
      <c r="E623" s="93"/>
      <c r="F623" s="109" t="s">
        <v>3</v>
      </c>
      <c r="G623" s="36"/>
      <c r="H623" s="36"/>
      <c r="I623" s="36"/>
      <c r="J623" s="36"/>
      <c r="K623" s="36"/>
      <c r="L623" s="36"/>
      <c r="M623" s="36"/>
      <c r="N623" s="3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</row>
    <row r="624" spans="1:28" ht="18" customHeight="1">
      <c r="A624" s="1">
        <f t="shared" si="9"/>
        <v>15</v>
      </c>
      <c r="B624" s="1">
        <v>252610287</v>
      </c>
      <c r="C624" s="108" t="s">
        <v>1722</v>
      </c>
      <c r="D624" s="33"/>
      <c r="E624" s="93"/>
      <c r="F624" s="109" t="s">
        <v>1</v>
      </c>
      <c r="G624" s="36"/>
      <c r="H624" s="36"/>
      <c r="I624" s="36"/>
      <c r="J624" s="36"/>
      <c r="K624" s="36"/>
      <c r="L624" s="36"/>
      <c r="M624" s="36"/>
      <c r="N624" s="3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</row>
    <row r="625" spans="1:28" ht="18" customHeight="1">
      <c r="A625" s="1">
        <f t="shared" si="9"/>
        <v>16</v>
      </c>
      <c r="B625" s="1">
        <v>252610472</v>
      </c>
      <c r="C625" s="108" t="s">
        <v>1724</v>
      </c>
      <c r="D625" s="33"/>
      <c r="E625" s="93"/>
      <c r="F625" s="109" t="s">
        <v>3</v>
      </c>
      <c r="G625" s="36"/>
      <c r="H625" s="36"/>
      <c r="I625" s="36"/>
      <c r="J625" s="36"/>
      <c r="K625" s="36"/>
      <c r="L625" s="36"/>
      <c r="M625" s="36"/>
      <c r="N625" s="3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</row>
    <row r="626" spans="1:28" ht="18" customHeight="1">
      <c r="A626" s="1">
        <f t="shared" si="9"/>
        <v>17</v>
      </c>
      <c r="B626" s="1">
        <v>252610293</v>
      </c>
      <c r="C626" s="108" t="s">
        <v>1726</v>
      </c>
      <c r="D626" s="33"/>
      <c r="E626" s="93"/>
      <c r="F626" s="109" t="s">
        <v>3</v>
      </c>
      <c r="G626" s="36"/>
      <c r="H626" s="36"/>
      <c r="I626" s="36"/>
      <c r="J626" s="36"/>
      <c r="K626" s="36"/>
      <c r="L626" s="36"/>
      <c r="M626" s="36"/>
      <c r="N626" s="3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</row>
    <row r="627" spans="1:28" ht="18" customHeight="1">
      <c r="A627" s="1">
        <f t="shared" si="9"/>
        <v>18</v>
      </c>
      <c r="B627" s="1">
        <v>252610254</v>
      </c>
      <c r="C627" s="112" t="s">
        <v>1728</v>
      </c>
      <c r="D627" s="33"/>
      <c r="E627" s="93"/>
      <c r="F627" s="109" t="s">
        <v>1</v>
      </c>
      <c r="G627" s="36"/>
      <c r="H627" s="36"/>
      <c r="I627" s="36"/>
      <c r="J627" s="36"/>
      <c r="K627" s="36"/>
      <c r="L627" s="36"/>
      <c r="M627" s="36"/>
      <c r="N627" s="3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</row>
    <row r="628" spans="1:28" ht="18" customHeight="1">
      <c r="A628" s="1">
        <f t="shared" si="9"/>
        <v>19</v>
      </c>
      <c r="B628" s="1">
        <v>252610200</v>
      </c>
      <c r="C628" s="108" t="s">
        <v>1730</v>
      </c>
      <c r="D628" s="33"/>
      <c r="E628" s="93"/>
      <c r="F628" s="109" t="s">
        <v>1</v>
      </c>
      <c r="G628" s="36"/>
      <c r="H628" s="36"/>
      <c r="I628" s="36"/>
      <c r="J628" s="36"/>
      <c r="K628" s="36"/>
      <c r="L628" s="36"/>
      <c r="M628" s="36"/>
      <c r="N628" s="1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</row>
    <row r="629" spans="1:28" ht="18" customHeight="1">
      <c r="A629" s="1">
        <f t="shared" si="9"/>
        <v>20</v>
      </c>
      <c r="B629" s="1">
        <v>252610298</v>
      </c>
      <c r="C629" s="108" t="s">
        <v>1732</v>
      </c>
      <c r="D629" s="33"/>
      <c r="E629" s="93"/>
      <c r="F629" s="109" t="s">
        <v>1</v>
      </c>
      <c r="G629" s="36"/>
      <c r="H629" s="36"/>
      <c r="I629" s="36"/>
      <c r="J629" s="36"/>
      <c r="K629" s="36"/>
      <c r="L629" s="36"/>
      <c r="M629" s="36"/>
      <c r="N629" s="3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</row>
    <row r="630" spans="1:28" ht="18" customHeight="1">
      <c r="A630" s="1">
        <f t="shared" si="9"/>
        <v>21</v>
      </c>
      <c r="B630" s="1">
        <v>252610390</v>
      </c>
      <c r="C630" s="108" t="s">
        <v>1734</v>
      </c>
      <c r="D630" s="33"/>
      <c r="E630" s="93"/>
      <c r="F630" s="109" t="s">
        <v>1</v>
      </c>
      <c r="G630" s="36"/>
      <c r="H630" s="36"/>
      <c r="I630" s="36"/>
      <c r="J630" s="36"/>
      <c r="K630" s="36"/>
      <c r="L630" s="36"/>
      <c r="M630" s="36"/>
      <c r="N630" s="3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</row>
    <row r="631" spans="1:28" ht="18" customHeight="1">
      <c r="A631" s="1">
        <f t="shared" si="9"/>
        <v>22</v>
      </c>
      <c r="B631" s="1">
        <v>252610256</v>
      </c>
      <c r="C631" s="108" t="s">
        <v>1735</v>
      </c>
      <c r="D631" s="33"/>
      <c r="E631" s="93"/>
      <c r="F631" s="109" t="s">
        <v>1</v>
      </c>
      <c r="G631" s="36"/>
      <c r="H631" s="36"/>
      <c r="I631" s="36"/>
      <c r="J631" s="36"/>
      <c r="K631" s="36"/>
      <c r="L631" s="36"/>
      <c r="M631" s="36"/>
      <c r="N631" s="3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</row>
    <row r="632" spans="1:28" ht="18" customHeight="1">
      <c r="A632" s="1">
        <f t="shared" si="9"/>
        <v>23</v>
      </c>
      <c r="B632" s="1">
        <v>252610351</v>
      </c>
      <c r="C632" s="108" t="s">
        <v>1737</v>
      </c>
      <c r="D632" s="33"/>
      <c r="E632" s="93"/>
      <c r="F632" s="109" t="s">
        <v>1</v>
      </c>
      <c r="G632" s="36"/>
      <c r="H632" s="36"/>
      <c r="I632" s="36"/>
      <c r="J632" s="36"/>
      <c r="K632" s="36"/>
      <c r="L632" s="36"/>
      <c r="M632" s="36"/>
      <c r="N632" s="3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</row>
    <row r="633" spans="1:28" ht="18" customHeight="1">
      <c r="A633" s="1">
        <f t="shared" si="9"/>
        <v>24</v>
      </c>
      <c r="B633" s="1">
        <v>252610258</v>
      </c>
      <c r="C633" s="108" t="s">
        <v>1738</v>
      </c>
      <c r="D633" s="33"/>
      <c r="E633" s="93"/>
      <c r="F633" s="109" t="s">
        <v>1</v>
      </c>
      <c r="G633" s="36"/>
      <c r="H633" s="36"/>
      <c r="I633" s="36"/>
      <c r="J633" s="36"/>
      <c r="K633" s="36"/>
      <c r="L633" s="36"/>
      <c r="M633" s="36"/>
      <c r="N633" s="3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</row>
    <row r="634" spans="1:28" ht="18" customHeight="1">
      <c r="A634" s="1">
        <f t="shared" si="9"/>
        <v>25</v>
      </c>
      <c r="B634" s="1">
        <v>252610067</v>
      </c>
      <c r="C634" s="108" t="s">
        <v>1741</v>
      </c>
      <c r="D634" s="33"/>
      <c r="E634" s="93"/>
      <c r="F634" s="109" t="s">
        <v>3</v>
      </c>
      <c r="G634" s="85"/>
      <c r="H634" s="36"/>
      <c r="I634" s="36"/>
      <c r="J634" s="36"/>
      <c r="K634" s="36"/>
      <c r="L634" s="36"/>
      <c r="M634" s="36"/>
      <c r="N634" s="3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</row>
    <row r="635" spans="1:28" ht="18" customHeight="1">
      <c r="A635" s="1">
        <f t="shared" si="9"/>
        <v>26</v>
      </c>
      <c r="B635" s="1">
        <v>252610027</v>
      </c>
      <c r="C635" s="108" t="s">
        <v>1743</v>
      </c>
      <c r="D635" s="33"/>
      <c r="E635" s="93"/>
      <c r="F635" s="109" t="s">
        <v>3</v>
      </c>
      <c r="G635" s="90"/>
      <c r="H635" s="40"/>
      <c r="I635" s="36"/>
      <c r="J635" s="36"/>
      <c r="K635" s="36"/>
      <c r="L635" s="36"/>
      <c r="M635" s="36"/>
      <c r="N635" s="3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</row>
    <row r="636" spans="1:28" ht="18" customHeight="1">
      <c r="A636" s="83">
        <f t="shared" si="9"/>
        <v>27</v>
      </c>
      <c r="B636" s="83">
        <v>252610122</v>
      </c>
      <c r="C636" s="112" t="s">
        <v>1745</v>
      </c>
      <c r="D636" s="33"/>
      <c r="E636" s="93"/>
      <c r="F636" s="109" t="s">
        <v>3</v>
      </c>
      <c r="G636" s="36"/>
      <c r="H636" s="89"/>
      <c r="I636" s="85"/>
      <c r="J636" s="85"/>
      <c r="K636" s="85"/>
      <c r="L636" s="85"/>
      <c r="M636" s="85"/>
      <c r="N636" s="85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</row>
    <row r="637" spans="1:28" ht="18" customHeight="1">
      <c r="A637" s="123">
        <f t="shared" si="9"/>
        <v>28</v>
      </c>
      <c r="B637" s="123">
        <v>252610531</v>
      </c>
      <c r="C637" s="108" t="s">
        <v>1747</v>
      </c>
      <c r="D637" s="33"/>
      <c r="E637" s="93"/>
      <c r="F637" s="109" t="s">
        <v>3</v>
      </c>
      <c r="G637" s="39"/>
      <c r="H637" s="153"/>
      <c r="I637" s="78"/>
      <c r="J637" s="78"/>
      <c r="K637" s="78"/>
      <c r="L637" s="78"/>
      <c r="M637" s="78"/>
      <c r="N637" s="78"/>
      <c r="O637" s="21"/>
      <c r="P637" s="21"/>
      <c r="Q637" s="21"/>
      <c r="R637" s="78" t="s">
        <v>982</v>
      </c>
      <c r="S637" s="21"/>
      <c r="T637" s="21"/>
      <c r="U637" s="21"/>
      <c r="V637" s="21"/>
      <c r="W637" s="21"/>
      <c r="X637" s="21"/>
      <c r="Y637" s="21"/>
      <c r="Z637" s="21"/>
      <c r="AA637" s="21"/>
      <c r="AB637" s="21"/>
    </row>
    <row r="638" spans="1:28" ht="18" customHeight="1">
      <c r="A638" s="1">
        <f t="shared" si="9"/>
        <v>29</v>
      </c>
      <c r="B638" s="1">
        <v>252610261</v>
      </c>
      <c r="C638" s="108" t="s">
        <v>1749</v>
      </c>
      <c r="D638" s="33"/>
      <c r="E638" s="93"/>
      <c r="F638" s="109" t="s">
        <v>3</v>
      </c>
      <c r="G638" s="36"/>
      <c r="H638" s="40"/>
      <c r="I638" s="36"/>
      <c r="J638" s="36"/>
      <c r="K638" s="36"/>
      <c r="L638" s="36"/>
      <c r="M638" s="36"/>
      <c r="N638" s="36"/>
      <c r="O638" s="6"/>
      <c r="P638" s="6"/>
      <c r="Q638" s="6"/>
      <c r="R638" s="8"/>
      <c r="S638" s="6"/>
      <c r="T638" s="6"/>
      <c r="U638" s="6"/>
      <c r="V638" s="6"/>
      <c r="W638" s="6"/>
      <c r="X638" s="6"/>
      <c r="Y638" s="6"/>
      <c r="Z638" s="6"/>
      <c r="AA638" s="6"/>
      <c r="AB638" s="6"/>
    </row>
    <row r="639" spans="1:28" ht="18" customHeight="1">
      <c r="A639" s="1">
        <f t="shared" si="9"/>
        <v>30</v>
      </c>
      <c r="B639" s="1">
        <v>252610396</v>
      </c>
      <c r="C639" s="108" t="s">
        <v>1750</v>
      </c>
      <c r="D639" s="33"/>
      <c r="E639" s="93"/>
      <c r="F639" s="109" t="s">
        <v>1</v>
      </c>
      <c r="G639" s="36"/>
      <c r="H639" s="40"/>
      <c r="I639" s="36"/>
      <c r="J639" s="36"/>
      <c r="K639" s="36"/>
      <c r="L639" s="36"/>
      <c r="M639" s="36"/>
      <c r="N639" s="3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</row>
    <row r="640" spans="1:28" ht="18" customHeight="1">
      <c r="A640" s="1">
        <f t="shared" si="9"/>
        <v>31</v>
      </c>
      <c r="B640" s="1">
        <v>252610401</v>
      </c>
      <c r="C640" s="108" t="s">
        <v>1752</v>
      </c>
      <c r="D640" s="33"/>
      <c r="E640" s="93"/>
      <c r="F640" s="109" t="s">
        <v>1</v>
      </c>
      <c r="G640" s="154"/>
      <c r="H640" s="36"/>
      <c r="I640" s="36"/>
      <c r="J640" s="36"/>
      <c r="K640" s="36"/>
      <c r="L640" s="36"/>
      <c r="M640" s="36"/>
      <c r="N640" s="3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</row>
    <row r="641" spans="1:28" ht="18" customHeight="1">
      <c r="A641" s="1">
        <f t="shared" si="9"/>
        <v>32</v>
      </c>
      <c r="B641" s="1">
        <v>252610485</v>
      </c>
      <c r="C641" s="108" t="s">
        <v>1754</v>
      </c>
      <c r="D641" s="33"/>
      <c r="E641" s="93"/>
      <c r="F641" s="109" t="s">
        <v>3</v>
      </c>
      <c r="G641" s="36"/>
      <c r="H641" s="36"/>
      <c r="I641" s="36"/>
      <c r="J641" s="36"/>
      <c r="K641" s="36"/>
      <c r="L641" s="36"/>
      <c r="M641" s="36"/>
      <c r="N641" s="3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</row>
    <row r="642" spans="1:28" ht="18" customHeight="1">
      <c r="A642" s="1">
        <f t="shared" si="9"/>
        <v>33</v>
      </c>
      <c r="B642" s="1">
        <v>252610266</v>
      </c>
      <c r="C642" s="108" t="s">
        <v>1755</v>
      </c>
      <c r="D642" s="33"/>
      <c r="E642" s="93"/>
      <c r="F642" s="109" t="s">
        <v>3</v>
      </c>
      <c r="G642" s="36"/>
      <c r="H642" s="36"/>
      <c r="I642" s="36"/>
      <c r="J642" s="36"/>
      <c r="K642" s="36"/>
      <c r="L642" s="36"/>
      <c r="M642" s="36"/>
      <c r="N642" s="3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</row>
    <row r="643" spans="1:28" ht="18" customHeight="1">
      <c r="A643" s="1">
        <f t="shared" si="9"/>
        <v>34</v>
      </c>
      <c r="B643" s="1">
        <v>252610036</v>
      </c>
      <c r="C643" s="108" t="s">
        <v>1757</v>
      </c>
      <c r="D643" s="33"/>
      <c r="E643" s="93"/>
      <c r="F643" s="109" t="s">
        <v>3</v>
      </c>
      <c r="G643" s="36"/>
      <c r="H643" s="36"/>
      <c r="I643" s="36"/>
      <c r="J643" s="36"/>
      <c r="K643" s="36"/>
      <c r="L643" s="36"/>
      <c r="M643" s="36"/>
      <c r="N643" s="3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</row>
    <row r="644" spans="1:28" ht="18" customHeight="1">
      <c r="A644" s="1">
        <f t="shared" si="9"/>
        <v>35</v>
      </c>
      <c r="B644" s="1">
        <v>252610175</v>
      </c>
      <c r="C644" s="108" t="s">
        <v>1759</v>
      </c>
      <c r="D644" s="33"/>
      <c r="E644" s="93"/>
      <c r="F644" s="109" t="s">
        <v>3</v>
      </c>
      <c r="G644" s="36"/>
      <c r="H644" s="36"/>
      <c r="I644" s="36"/>
      <c r="J644" s="36"/>
      <c r="K644" s="36"/>
      <c r="L644" s="36"/>
      <c r="M644" s="36"/>
      <c r="N644" s="3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</row>
    <row r="645" spans="1:28" ht="18" customHeight="1">
      <c r="A645" s="1">
        <f t="shared" si="9"/>
        <v>36</v>
      </c>
      <c r="B645" s="1">
        <v>252610134</v>
      </c>
      <c r="C645" s="108" t="s">
        <v>1761</v>
      </c>
      <c r="D645" s="33"/>
      <c r="E645" s="93"/>
      <c r="F645" s="109" t="s">
        <v>1</v>
      </c>
      <c r="G645" s="36"/>
      <c r="H645" s="36"/>
      <c r="I645" s="36"/>
      <c r="J645" s="36"/>
      <c r="K645" s="36"/>
      <c r="L645" s="36"/>
      <c r="M645" s="36"/>
      <c r="N645" s="3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</row>
    <row r="646" spans="1:28" ht="18" customHeight="1">
      <c r="A646" s="1">
        <f t="shared" si="9"/>
        <v>37</v>
      </c>
      <c r="B646" s="1">
        <v>252610362</v>
      </c>
      <c r="C646" s="108" t="s">
        <v>1763</v>
      </c>
      <c r="D646" s="33"/>
      <c r="E646" s="93"/>
      <c r="F646" s="109" t="s">
        <v>1</v>
      </c>
      <c r="G646" s="36"/>
      <c r="H646" s="36"/>
      <c r="I646" s="36"/>
      <c r="J646" s="36"/>
      <c r="K646" s="36"/>
      <c r="L646" s="36"/>
      <c r="M646" s="36"/>
      <c r="N646" s="3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</row>
    <row r="647" spans="1:28" ht="18" customHeight="1">
      <c r="A647" s="1">
        <f t="shared" si="9"/>
        <v>38</v>
      </c>
      <c r="B647" s="1">
        <v>252610446</v>
      </c>
      <c r="C647" s="108" t="s">
        <v>1765</v>
      </c>
      <c r="D647" s="33"/>
      <c r="E647" s="93"/>
      <c r="F647" s="109" t="s">
        <v>3</v>
      </c>
      <c r="G647" s="36"/>
      <c r="H647" s="36"/>
      <c r="I647" s="36"/>
      <c r="J647" s="36"/>
      <c r="K647" s="36"/>
      <c r="L647" s="36"/>
      <c r="M647" s="36"/>
      <c r="N647" s="3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</row>
    <row r="648" spans="1:28" ht="18" customHeight="1">
      <c r="A648" s="1">
        <f t="shared" si="9"/>
        <v>39</v>
      </c>
      <c r="B648" s="1">
        <v>252610494</v>
      </c>
      <c r="C648" s="108" t="s">
        <v>1767</v>
      </c>
      <c r="D648" s="33"/>
      <c r="E648" s="93"/>
      <c r="F648" s="109" t="s">
        <v>3</v>
      </c>
      <c r="G648" s="36"/>
      <c r="H648" s="36"/>
      <c r="I648" s="36"/>
      <c r="J648" s="36"/>
      <c r="K648" s="36"/>
      <c r="L648" s="36"/>
      <c r="M648" s="36"/>
      <c r="N648" s="3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</row>
    <row r="649" spans="1:28" ht="18" customHeight="1">
      <c r="A649" s="1">
        <f t="shared" si="9"/>
        <v>40</v>
      </c>
      <c r="B649" s="1">
        <v>252610223</v>
      </c>
      <c r="C649" s="108" t="s">
        <v>1769</v>
      </c>
      <c r="D649" s="33"/>
      <c r="E649" s="93"/>
      <c r="F649" s="109" t="s">
        <v>1</v>
      </c>
      <c r="G649" s="36"/>
      <c r="H649" s="36"/>
      <c r="I649" s="36"/>
      <c r="J649" s="36"/>
      <c r="K649" s="36"/>
      <c r="L649" s="36"/>
      <c r="M649" s="36"/>
      <c r="N649" s="3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</row>
    <row r="650" spans="1:28" ht="18" customHeight="1">
      <c r="A650" s="1">
        <f t="shared" si="9"/>
        <v>41</v>
      </c>
      <c r="B650" s="1">
        <v>252610139</v>
      </c>
      <c r="C650" s="108" t="s">
        <v>1771</v>
      </c>
      <c r="D650" s="33"/>
      <c r="E650" s="93"/>
      <c r="F650" s="109" t="s">
        <v>3</v>
      </c>
      <c r="G650" s="36"/>
      <c r="H650" s="36"/>
      <c r="I650" s="36"/>
      <c r="J650" s="36"/>
      <c r="K650" s="36"/>
      <c r="L650" s="36"/>
      <c r="M650" s="36"/>
      <c r="N650" s="3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</row>
    <row r="651" spans="1:28" ht="18" customHeight="1">
      <c r="A651" s="1">
        <f t="shared" si="9"/>
        <v>42</v>
      </c>
      <c r="B651" s="1">
        <v>252610447</v>
      </c>
      <c r="C651" s="108" t="s">
        <v>1773</v>
      </c>
      <c r="D651" s="33"/>
      <c r="E651" s="93"/>
      <c r="F651" s="109" t="s">
        <v>3</v>
      </c>
      <c r="G651" s="36"/>
      <c r="H651" s="36"/>
      <c r="I651" s="36"/>
      <c r="J651" s="36"/>
      <c r="K651" s="36"/>
      <c r="L651" s="36"/>
      <c r="M651" s="36"/>
      <c r="N651" s="3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</row>
    <row r="652" spans="1:28" ht="18" customHeight="1">
      <c r="A652" s="1">
        <f t="shared" si="9"/>
        <v>43</v>
      </c>
      <c r="B652" s="1">
        <v>252610315</v>
      </c>
      <c r="C652" s="108" t="s">
        <v>1775</v>
      </c>
      <c r="D652" s="33"/>
      <c r="E652" s="93"/>
      <c r="F652" s="109" t="s">
        <v>3</v>
      </c>
      <c r="G652" s="36"/>
      <c r="H652" s="36"/>
      <c r="I652" s="36"/>
      <c r="J652" s="36"/>
      <c r="K652" s="36"/>
      <c r="L652" s="36"/>
      <c r="M652" s="36"/>
      <c r="N652" s="3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</row>
    <row r="653" spans="1:28" ht="18" customHeight="1">
      <c r="A653" s="1">
        <f t="shared" si="9"/>
        <v>44</v>
      </c>
      <c r="B653" s="1">
        <v>252610272</v>
      </c>
      <c r="C653" s="108" t="s">
        <v>1777</v>
      </c>
      <c r="D653" s="33"/>
      <c r="E653" s="93"/>
      <c r="F653" s="109" t="s">
        <v>3</v>
      </c>
      <c r="G653" s="36"/>
      <c r="H653" s="36"/>
      <c r="I653" s="36"/>
      <c r="J653" s="36"/>
      <c r="K653" s="36"/>
      <c r="L653" s="36"/>
      <c r="M653" s="36"/>
      <c r="N653" s="3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</row>
    <row r="654" spans="1:28" ht="18" customHeight="1">
      <c r="A654" s="1"/>
      <c r="B654" s="1"/>
      <c r="C654" s="108"/>
      <c r="D654" s="33"/>
      <c r="E654" s="93"/>
      <c r="F654" s="102"/>
      <c r="G654" s="36"/>
      <c r="H654" s="36"/>
      <c r="I654" s="36"/>
      <c r="J654" s="36"/>
      <c r="K654" s="36"/>
      <c r="L654" s="36"/>
      <c r="M654" s="36"/>
      <c r="N654" s="3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</row>
    <row r="655" spans="1:28" ht="18" customHeight="1">
      <c r="A655" s="1"/>
      <c r="B655" s="1"/>
      <c r="C655" s="108"/>
      <c r="D655" s="33"/>
      <c r="E655" s="93"/>
      <c r="F655" s="102"/>
      <c r="G655" s="36"/>
      <c r="H655" s="36"/>
      <c r="I655" s="36"/>
      <c r="J655" s="36"/>
      <c r="K655" s="36"/>
      <c r="L655" s="36"/>
      <c r="M655" s="36"/>
      <c r="N655" s="3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</row>
    <row r="656" spans="1:28" ht="18" customHeight="1">
      <c r="A656" s="1"/>
      <c r="B656" s="1"/>
      <c r="C656" s="108"/>
      <c r="D656" s="33"/>
      <c r="E656" s="93"/>
      <c r="F656" s="102"/>
      <c r="G656" s="90"/>
      <c r="H656" s="36"/>
      <c r="I656" s="36"/>
      <c r="J656" s="36"/>
      <c r="K656" s="36"/>
      <c r="L656" s="36"/>
      <c r="M656" s="36"/>
      <c r="N656" s="3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</row>
    <row r="657" spans="1:28" ht="15.8" customHeight="1">
      <c r="A657" s="79"/>
      <c r="B657" s="79"/>
      <c r="C657" s="20"/>
      <c r="D657" s="20"/>
      <c r="E657" s="20"/>
      <c r="F657" s="80" t="s">
        <v>1</v>
      </c>
      <c r="G657" s="80">
        <f>COUNTIF(F610:F656,"L")</f>
        <v>17</v>
      </c>
      <c r="H657" s="20"/>
      <c r="I657" s="20"/>
      <c r="J657" s="20"/>
      <c r="K657" s="20"/>
      <c r="L657" s="20"/>
      <c r="M657" s="20"/>
      <c r="N657" s="20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</row>
    <row r="658" spans="1:28" ht="15.8" customHeight="1">
      <c r="A658" s="79"/>
      <c r="B658" s="79"/>
      <c r="C658" s="20"/>
      <c r="D658" s="20"/>
      <c r="E658" s="20"/>
      <c r="F658" s="30" t="s">
        <v>3</v>
      </c>
      <c r="G658" s="30">
        <f>COUNTIF(F610:F656,"P")</f>
        <v>27</v>
      </c>
      <c r="H658" s="20"/>
      <c r="I658" s="20"/>
      <c r="J658" s="20"/>
      <c r="K658" s="20"/>
      <c r="L658" s="20"/>
      <c r="M658" s="20"/>
      <c r="N658" s="20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</row>
    <row r="659" spans="1:28" ht="15.8" customHeight="1">
      <c r="A659" s="20" t="s">
        <v>275</v>
      </c>
      <c r="B659" s="79"/>
      <c r="C659" s="20"/>
      <c r="D659" s="20"/>
      <c r="E659" s="20"/>
      <c r="F659" s="81" t="s">
        <v>251</v>
      </c>
      <c r="G659" s="81">
        <f>SUM(G657:G658)</f>
        <v>44</v>
      </c>
      <c r="H659" s="6"/>
      <c r="I659" s="82" t="s">
        <v>254</v>
      </c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</row>
    <row r="660" spans="1:28" ht="15.8" customHeight="1">
      <c r="A660" s="20" t="s">
        <v>280</v>
      </c>
      <c r="B660" s="79"/>
      <c r="C660" s="20"/>
      <c r="D660" s="20"/>
      <c r="E660" s="20" t="s">
        <v>281</v>
      </c>
      <c r="F660" s="94"/>
      <c r="G660" s="6"/>
      <c r="H660" s="6"/>
      <c r="I660" s="6" t="s">
        <v>256</v>
      </c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</row>
    <row r="661" spans="1:28" ht="15.8" customHeight="1">
      <c r="A661" s="20"/>
      <c r="B661" s="6"/>
      <c r="C661" s="20"/>
      <c r="D661" s="20"/>
      <c r="E661" s="20"/>
      <c r="F661" s="79"/>
      <c r="G661" s="20"/>
      <c r="H661" s="20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</row>
    <row r="662" spans="1:28" ht="15.8" customHeight="1">
      <c r="A662" s="20"/>
      <c r="B662" s="6"/>
      <c r="C662" s="20"/>
      <c r="D662" s="20"/>
      <c r="E662" s="20"/>
      <c r="F662" s="79"/>
      <c r="G662" s="20"/>
      <c r="H662" s="20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</row>
    <row r="663" spans="1:28" ht="15.8" customHeight="1">
      <c r="A663" s="24" t="s">
        <v>1787</v>
      </c>
      <c r="B663" s="6"/>
      <c r="C663" s="6"/>
      <c r="D663" s="6"/>
      <c r="E663" s="86" t="s">
        <v>300</v>
      </c>
      <c r="F663" s="94"/>
      <c r="G663" s="6"/>
      <c r="H663" s="20"/>
      <c r="I663" s="87"/>
      <c r="J663" s="87"/>
      <c r="K663" s="87"/>
      <c r="L663" s="87"/>
      <c r="M663" s="87"/>
      <c r="N663" s="87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</row>
    <row r="664" spans="1:28" ht="15.8" customHeight="1">
      <c r="A664" s="41" t="s">
        <v>1788</v>
      </c>
      <c r="B664" s="41"/>
      <c r="C664" s="20"/>
      <c r="D664" s="20"/>
      <c r="E664" s="20" t="s">
        <v>308</v>
      </c>
      <c r="F664" s="79"/>
      <c r="G664" s="20"/>
      <c r="H664" s="20" t="s">
        <v>266</v>
      </c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</row>
    <row r="665" spans="1:28" ht="15.8" customHeight="1">
      <c r="A665" s="6"/>
      <c r="B665" s="6"/>
      <c r="C665" s="6"/>
      <c r="D665" s="6"/>
      <c r="E665" s="6"/>
      <c r="F665" s="94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</row>
    <row r="666" spans="1:28" ht="15.8" customHeight="1">
      <c r="A666" s="16" t="s">
        <v>79</v>
      </c>
      <c r="B666" s="16"/>
      <c r="C666" s="4" t="s">
        <v>1789</v>
      </c>
      <c r="D666" s="16"/>
      <c r="E666" s="22"/>
      <c r="F666" s="23"/>
      <c r="G666" s="17"/>
      <c r="H666" s="19" t="s">
        <v>82</v>
      </c>
      <c r="I666" s="17"/>
      <c r="J666" s="17"/>
      <c r="K666" s="17"/>
      <c r="L666" s="17"/>
      <c r="M666" s="20"/>
      <c r="N666" s="20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</row>
    <row r="667" spans="1:28" ht="15.8" customHeight="1">
      <c r="A667" s="20"/>
      <c r="B667" s="24"/>
      <c r="C667" s="24"/>
      <c r="D667" s="24"/>
      <c r="E667" s="25"/>
      <c r="F667" s="14"/>
      <c r="G667" s="20"/>
      <c r="H667" s="26"/>
      <c r="I667" s="27"/>
      <c r="J667" s="27"/>
      <c r="K667" s="27"/>
      <c r="L667" s="27"/>
      <c r="M667" s="27"/>
      <c r="N667" s="27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</row>
    <row r="668" spans="1:28" ht="15.8" customHeight="1">
      <c r="A668" s="176" t="s">
        <v>84</v>
      </c>
      <c r="B668" s="177"/>
      <c r="C668" s="178" t="s">
        <v>85</v>
      </c>
      <c r="D668" s="179"/>
      <c r="E668" s="180"/>
      <c r="F668" s="184" t="s">
        <v>86</v>
      </c>
      <c r="G668" s="176" t="s">
        <v>87</v>
      </c>
      <c r="H668" s="186"/>
      <c r="I668" s="186"/>
      <c r="J668" s="186"/>
      <c r="K668" s="186"/>
      <c r="L668" s="186"/>
      <c r="M668" s="177"/>
      <c r="N668" s="184" t="s">
        <v>88</v>
      </c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</row>
    <row r="669" spans="1:28" ht="15.8" customHeight="1">
      <c r="A669" s="28" t="s">
        <v>90</v>
      </c>
      <c r="B669" s="28" t="s">
        <v>91</v>
      </c>
      <c r="C669" s="199"/>
      <c r="D669" s="200"/>
      <c r="E669" s="201"/>
      <c r="F669" s="185"/>
      <c r="G669" s="28"/>
      <c r="H669" s="28"/>
      <c r="I669" s="28"/>
      <c r="J669" s="28"/>
      <c r="K669" s="28"/>
      <c r="L669" s="28"/>
      <c r="M669" s="28"/>
      <c r="N669" s="185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</row>
    <row r="670" spans="1:28" ht="18" customHeight="1">
      <c r="A670" s="1">
        <v>1</v>
      </c>
      <c r="B670" s="31">
        <v>252610502</v>
      </c>
      <c r="C670" s="108" t="s">
        <v>1792</v>
      </c>
      <c r="D670" s="33"/>
      <c r="E670" s="93"/>
      <c r="F670" s="109" t="s">
        <v>3</v>
      </c>
      <c r="G670" s="36"/>
      <c r="H670" s="36"/>
      <c r="I670" s="36"/>
      <c r="J670" s="36"/>
      <c r="K670" s="36"/>
      <c r="L670" s="36"/>
      <c r="M670" s="36"/>
      <c r="N670" s="3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</row>
    <row r="671" spans="1:28" ht="18" customHeight="1">
      <c r="A671" s="1">
        <f t="shared" ref="A671:A713" si="10">A670+1</f>
        <v>2</v>
      </c>
      <c r="B671" s="1">
        <v>252610413</v>
      </c>
      <c r="C671" s="108" t="s">
        <v>1794</v>
      </c>
      <c r="D671" s="33"/>
      <c r="E671" s="93"/>
      <c r="F671" s="109" t="s">
        <v>3</v>
      </c>
      <c r="G671" s="36"/>
      <c r="H671" s="36"/>
      <c r="I671" s="36"/>
      <c r="J671" s="36"/>
      <c r="K671" s="36"/>
      <c r="L671" s="36"/>
      <c r="M671" s="36"/>
      <c r="N671" s="3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</row>
    <row r="672" spans="1:28" ht="18" customHeight="1">
      <c r="A672" s="1">
        <f t="shared" si="10"/>
        <v>3</v>
      </c>
      <c r="B672" s="1">
        <v>252610098</v>
      </c>
      <c r="C672" s="108" t="s">
        <v>1795</v>
      </c>
      <c r="D672" s="33"/>
      <c r="E672" s="93"/>
      <c r="F672" s="109" t="s">
        <v>1</v>
      </c>
      <c r="G672" s="36"/>
      <c r="H672" s="36"/>
      <c r="I672" s="36"/>
      <c r="J672" s="36"/>
      <c r="K672" s="36"/>
      <c r="L672" s="36"/>
      <c r="M672" s="36"/>
      <c r="N672" s="3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</row>
    <row r="673" spans="1:28" ht="18" customHeight="1">
      <c r="A673" s="1">
        <f t="shared" si="10"/>
        <v>4</v>
      </c>
      <c r="B673" s="1">
        <v>252610323</v>
      </c>
      <c r="C673" s="108" t="s">
        <v>1796</v>
      </c>
      <c r="D673" s="33"/>
      <c r="E673" s="93"/>
      <c r="F673" s="109" t="s">
        <v>3</v>
      </c>
      <c r="G673" s="36"/>
      <c r="H673" s="36"/>
      <c r="I673" s="36"/>
      <c r="J673" s="36"/>
      <c r="K673" s="36"/>
      <c r="L673" s="36"/>
      <c r="M673" s="36"/>
      <c r="N673" s="3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</row>
    <row r="674" spans="1:28" ht="18" customHeight="1">
      <c r="A674" s="1">
        <f t="shared" si="10"/>
        <v>5</v>
      </c>
      <c r="B674" s="1">
        <v>252610458</v>
      </c>
      <c r="C674" s="108" t="s">
        <v>1798</v>
      </c>
      <c r="D674" s="33"/>
      <c r="E674" s="93"/>
      <c r="F674" s="109" t="s">
        <v>3</v>
      </c>
      <c r="G674" s="36"/>
      <c r="H674" s="36"/>
      <c r="I674" s="36"/>
      <c r="J674" s="36"/>
      <c r="K674" s="36"/>
      <c r="L674" s="36"/>
      <c r="M674" s="36"/>
      <c r="N674" s="3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</row>
    <row r="675" spans="1:28" ht="18" customHeight="1">
      <c r="A675" s="1">
        <f t="shared" si="10"/>
        <v>6</v>
      </c>
      <c r="B675" s="1">
        <v>252610181</v>
      </c>
      <c r="C675" s="108" t="s">
        <v>1800</v>
      </c>
      <c r="D675" s="33"/>
      <c r="E675" s="93"/>
      <c r="F675" s="109" t="s">
        <v>1</v>
      </c>
      <c r="G675" s="36"/>
      <c r="H675" s="36"/>
      <c r="I675" s="36"/>
      <c r="J675" s="36"/>
      <c r="K675" s="36"/>
      <c r="L675" s="36"/>
      <c r="M675" s="36"/>
      <c r="N675" s="3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</row>
    <row r="676" spans="1:28" ht="18" customHeight="1">
      <c r="A676" s="1">
        <f t="shared" si="10"/>
        <v>7</v>
      </c>
      <c r="B676" s="1">
        <v>252610233</v>
      </c>
      <c r="C676" s="108" t="s">
        <v>1803</v>
      </c>
      <c r="D676" s="33"/>
      <c r="E676" s="93"/>
      <c r="F676" s="109" t="s">
        <v>3</v>
      </c>
      <c r="G676" s="36"/>
      <c r="H676" s="36"/>
      <c r="I676" s="36"/>
      <c r="J676" s="36"/>
      <c r="K676" s="36"/>
      <c r="L676" s="36"/>
      <c r="M676" s="36"/>
      <c r="N676" s="3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</row>
    <row r="677" spans="1:28" ht="18" customHeight="1">
      <c r="A677" s="1">
        <f t="shared" si="10"/>
        <v>8</v>
      </c>
      <c r="B677" s="1">
        <v>252610372</v>
      </c>
      <c r="C677" s="108" t="s">
        <v>1805</v>
      </c>
      <c r="D677" s="33"/>
      <c r="E677" s="93"/>
      <c r="F677" s="109" t="s">
        <v>3</v>
      </c>
      <c r="G677" s="36"/>
      <c r="H677" s="36"/>
      <c r="I677" s="36"/>
      <c r="J677" s="36"/>
      <c r="K677" s="36"/>
      <c r="L677" s="36"/>
      <c r="M677" s="36"/>
      <c r="N677" s="3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</row>
    <row r="678" spans="1:28" ht="18" customHeight="1">
      <c r="A678" s="1">
        <f t="shared" si="10"/>
        <v>9</v>
      </c>
      <c r="B678" s="1">
        <v>252610184</v>
      </c>
      <c r="C678" s="108" t="s">
        <v>1807</v>
      </c>
      <c r="D678" s="33"/>
      <c r="E678" s="93"/>
      <c r="F678" s="109" t="s">
        <v>3</v>
      </c>
      <c r="G678" s="36"/>
      <c r="H678" s="36"/>
      <c r="I678" s="36"/>
      <c r="J678" s="36"/>
      <c r="K678" s="36"/>
      <c r="L678" s="36"/>
      <c r="M678" s="36"/>
      <c r="N678" s="3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</row>
    <row r="679" spans="1:28" ht="18" customHeight="1">
      <c r="A679" s="1">
        <f t="shared" si="10"/>
        <v>10</v>
      </c>
      <c r="B679" s="1">
        <v>252610417</v>
      </c>
      <c r="C679" s="108" t="s">
        <v>1810</v>
      </c>
      <c r="D679" s="33"/>
      <c r="E679" s="93"/>
      <c r="F679" s="109" t="s">
        <v>3</v>
      </c>
      <c r="G679" s="36"/>
      <c r="H679" s="36"/>
      <c r="I679" s="36"/>
      <c r="J679" s="36"/>
      <c r="K679" s="36"/>
      <c r="L679" s="36"/>
      <c r="M679" s="36"/>
      <c r="N679" s="3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</row>
    <row r="680" spans="1:28" ht="18" customHeight="1">
      <c r="A680" s="1">
        <f t="shared" si="10"/>
        <v>11</v>
      </c>
      <c r="B680" s="1">
        <v>252610237</v>
      </c>
      <c r="C680" s="108" t="s">
        <v>1811</v>
      </c>
      <c r="D680" s="33"/>
      <c r="E680" s="93"/>
      <c r="F680" s="109" t="s">
        <v>1</v>
      </c>
      <c r="G680" s="36"/>
      <c r="H680" s="36"/>
      <c r="I680" s="36"/>
      <c r="J680" s="36"/>
      <c r="K680" s="36"/>
      <c r="L680" s="36"/>
      <c r="M680" s="36"/>
      <c r="N680" s="3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</row>
    <row r="681" spans="1:28" ht="18" customHeight="1">
      <c r="A681" s="1">
        <f t="shared" si="10"/>
        <v>12</v>
      </c>
      <c r="B681" s="1">
        <v>252610421</v>
      </c>
      <c r="C681" s="108" t="s">
        <v>1813</v>
      </c>
      <c r="D681" s="33"/>
      <c r="E681" s="93"/>
      <c r="F681" s="109" t="s">
        <v>3</v>
      </c>
      <c r="G681" s="36"/>
      <c r="H681" s="36"/>
      <c r="I681" s="36"/>
      <c r="J681" s="36"/>
      <c r="K681" s="36"/>
      <c r="L681" s="36"/>
      <c r="M681" s="36"/>
      <c r="N681" s="3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</row>
    <row r="682" spans="1:28" ht="18" customHeight="1">
      <c r="A682" s="1">
        <f t="shared" si="10"/>
        <v>13</v>
      </c>
      <c r="B682" s="1">
        <v>252610282</v>
      </c>
      <c r="C682" s="108" t="s">
        <v>1815</v>
      </c>
      <c r="D682" s="33"/>
      <c r="E682" s="93"/>
      <c r="F682" s="109" t="s">
        <v>1</v>
      </c>
      <c r="G682" s="36"/>
      <c r="H682" s="36"/>
      <c r="I682" s="36"/>
      <c r="J682" s="36"/>
      <c r="K682" s="36"/>
      <c r="L682" s="36"/>
      <c r="M682" s="36"/>
      <c r="N682" s="3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</row>
    <row r="683" spans="1:28" ht="18" customHeight="1">
      <c r="A683" s="1">
        <f t="shared" si="10"/>
        <v>14</v>
      </c>
      <c r="B683" s="1">
        <v>252610191</v>
      </c>
      <c r="C683" s="108" t="s">
        <v>1817</v>
      </c>
      <c r="D683" s="33"/>
      <c r="E683" s="93"/>
      <c r="F683" s="109" t="s">
        <v>3</v>
      </c>
      <c r="G683" s="36"/>
      <c r="H683" s="36"/>
      <c r="I683" s="36"/>
      <c r="J683" s="36"/>
      <c r="K683" s="36"/>
      <c r="L683" s="36"/>
      <c r="M683" s="36"/>
      <c r="N683" s="3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</row>
    <row r="684" spans="1:28" ht="18" customHeight="1">
      <c r="A684" s="1">
        <f t="shared" si="10"/>
        <v>15</v>
      </c>
      <c r="B684" s="1">
        <v>252610336</v>
      </c>
      <c r="C684" s="108" t="s">
        <v>1820</v>
      </c>
      <c r="D684" s="33"/>
      <c r="E684" s="93"/>
      <c r="F684" s="109" t="s">
        <v>1</v>
      </c>
      <c r="G684" s="36"/>
      <c r="H684" s="36"/>
      <c r="I684" s="36"/>
      <c r="J684" s="36"/>
      <c r="K684" s="36"/>
      <c r="L684" s="36"/>
      <c r="M684" s="36"/>
      <c r="N684" s="3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</row>
    <row r="685" spans="1:28" ht="18" customHeight="1">
      <c r="A685" s="1">
        <f t="shared" si="10"/>
        <v>16</v>
      </c>
      <c r="B685" s="1">
        <v>252610246</v>
      </c>
      <c r="C685" s="108" t="s">
        <v>1822</v>
      </c>
      <c r="D685" s="33"/>
      <c r="E685" s="93"/>
      <c r="F685" s="109" t="s">
        <v>1</v>
      </c>
      <c r="G685" s="36"/>
      <c r="H685" s="36"/>
      <c r="I685" s="36"/>
      <c r="J685" s="36"/>
      <c r="K685" s="36"/>
      <c r="L685" s="36"/>
      <c r="M685" s="36"/>
      <c r="N685" s="3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</row>
    <row r="686" spans="1:28" ht="18" customHeight="1">
      <c r="A686" s="1">
        <f t="shared" si="10"/>
        <v>17</v>
      </c>
      <c r="B686" s="1">
        <v>252610290</v>
      </c>
      <c r="C686" s="108" t="s">
        <v>1824</v>
      </c>
      <c r="D686" s="33"/>
      <c r="E686" s="93"/>
      <c r="F686" s="109" t="s">
        <v>3</v>
      </c>
      <c r="G686" s="36"/>
      <c r="H686" s="36"/>
      <c r="I686" s="36"/>
      <c r="J686" s="36"/>
      <c r="K686" s="36"/>
      <c r="L686" s="36"/>
      <c r="M686" s="36"/>
      <c r="N686" s="3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</row>
    <row r="687" spans="1:28" ht="18" customHeight="1">
      <c r="A687" s="1">
        <f t="shared" si="10"/>
        <v>18</v>
      </c>
      <c r="B687" s="1">
        <v>252610249</v>
      </c>
      <c r="C687" s="108" t="s">
        <v>1826</v>
      </c>
      <c r="D687" s="33"/>
      <c r="E687" s="93"/>
      <c r="F687" s="109" t="s">
        <v>3</v>
      </c>
      <c r="G687" s="36"/>
      <c r="H687" s="36"/>
      <c r="I687" s="36"/>
      <c r="J687" s="36"/>
      <c r="K687" s="36"/>
      <c r="L687" s="36"/>
      <c r="M687" s="36"/>
      <c r="N687" s="3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</row>
    <row r="688" spans="1:28" ht="18" customHeight="1">
      <c r="A688" s="1">
        <f t="shared" si="10"/>
        <v>19</v>
      </c>
      <c r="B688" s="1">
        <v>252610428</v>
      </c>
      <c r="C688" s="108" t="s">
        <v>1828</v>
      </c>
      <c r="D688" s="33"/>
      <c r="E688" s="93"/>
      <c r="F688" s="109" t="s">
        <v>3</v>
      </c>
      <c r="G688" s="36"/>
      <c r="H688" s="36"/>
      <c r="I688" s="36"/>
      <c r="J688" s="36"/>
      <c r="K688" s="36"/>
      <c r="L688" s="36"/>
      <c r="M688" s="36"/>
      <c r="N688" s="1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</row>
    <row r="689" spans="1:28" ht="18" customHeight="1">
      <c r="A689" s="1">
        <f t="shared" si="10"/>
        <v>20</v>
      </c>
      <c r="B689" s="1">
        <v>252610114</v>
      </c>
      <c r="C689" s="108" t="s">
        <v>1831</v>
      </c>
      <c r="D689" s="33"/>
      <c r="E689" s="93"/>
      <c r="F689" s="109" t="s">
        <v>3</v>
      </c>
      <c r="G689" s="36"/>
      <c r="H689" s="36"/>
      <c r="I689" s="36"/>
      <c r="J689" s="36"/>
      <c r="K689" s="36"/>
      <c r="L689" s="36"/>
      <c r="M689" s="36"/>
      <c r="N689" s="3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</row>
    <row r="690" spans="1:28" ht="18" customHeight="1">
      <c r="A690" s="1">
        <f t="shared" si="10"/>
        <v>21</v>
      </c>
      <c r="B690" s="1">
        <v>252610430</v>
      </c>
      <c r="C690" s="108" t="s">
        <v>1833</v>
      </c>
      <c r="D690" s="33"/>
      <c r="E690" s="93"/>
      <c r="F690" s="109" t="s">
        <v>3</v>
      </c>
      <c r="G690" s="36"/>
      <c r="H690" s="36"/>
      <c r="I690" s="36"/>
      <c r="J690" s="36"/>
      <c r="K690" s="36"/>
      <c r="L690" s="36"/>
      <c r="M690" s="36"/>
      <c r="N690" s="3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</row>
    <row r="691" spans="1:28" ht="18" customHeight="1">
      <c r="A691" s="1">
        <f t="shared" si="10"/>
        <v>22</v>
      </c>
      <c r="B691" s="1">
        <v>252610384</v>
      </c>
      <c r="C691" s="108" t="s">
        <v>1835</v>
      </c>
      <c r="D691" s="33"/>
      <c r="E691" s="93"/>
      <c r="F691" s="109" t="s">
        <v>3</v>
      </c>
      <c r="G691" s="36"/>
      <c r="H691" s="36"/>
      <c r="I691" s="36"/>
      <c r="J691" s="36"/>
      <c r="K691" s="36"/>
      <c r="L691" s="36"/>
      <c r="M691" s="36"/>
      <c r="N691" s="3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</row>
    <row r="692" spans="1:28" ht="18" customHeight="1">
      <c r="A692" s="1">
        <f t="shared" si="10"/>
        <v>23</v>
      </c>
      <c r="B692" s="1">
        <v>252610474</v>
      </c>
      <c r="C692" s="108" t="s">
        <v>1838</v>
      </c>
      <c r="D692" s="33"/>
      <c r="E692" s="93"/>
      <c r="F692" s="109" t="s">
        <v>1</v>
      </c>
      <c r="G692" s="36"/>
      <c r="H692" s="36"/>
      <c r="I692" s="36"/>
      <c r="J692" s="36"/>
      <c r="K692" s="36"/>
      <c r="L692" s="36"/>
      <c r="M692" s="36"/>
      <c r="N692" s="3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</row>
    <row r="693" spans="1:28" ht="18" customHeight="1">
      <c r="A693" s="1">
        <f t="shared" si="10"/>
        <v>24</v>
      </c>
      <c r="B693" s="1">
        <v>252610295</v>
      </c>
      <c r="C693" s="108" t="s">
        <v>1840</v>
      </c>
      <c r="D693" s="33"/>
      <c r="E693" s="93"/>
      <c r="F693" s="109" t="s">
        <v>3</v>
      </c>
      <c r="G693" s="36"/>
      <c r="H693" s="36"/>
      <c r="I693" s="36"/>
      <c r="J693" s="36"/>
      <c r="K693" s="36"/>
      <c r="L693" s="36"/>
      <c r="M693" s="36"/>
      <c r="N693" s="3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</row>
    <row r="694" spans="1:28" ht="18" customHeight="1">
      <c r="A694" s="1">
        <f t="shared" si="10"/>
        <v>25</v>
      </c>
      <c r="B694" s="1">
        <v>252610021</v>
      </c>
      <c r="C694" s="108" t="s">
        <v>1842</v>
      </c>
      <c r="D694" s="33"/>
      <c r="E694" s="93"/>
      <c r="F694" s="109" t="s">
        <v>3</v>
      </c>
      <c r="G694" s="36"/>
      <c r="H694" s="36"/>
      <c r="I694" s="36"/>
      <c r="J694" s="36"/>
      <c r="K694" s="36"/>
      <c r="L694" s="36"/>
      <c r="M694" s="36"/>
      <c r="N694" s="3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</row>
    <row r="695" spans="1:28" ht="18" customHeight="1">
      <c r="A695" s="1">
        <f t="shared" si="10"/>
        <v>26</v>
      </c>
      <c r="B695" s="1">
        <v>252610061</v>
      </c>
      <c r="C695" s="108" t="s">
        <v>1844</v>
      </c>
      <c r="D695" s="33"/>
      <c r="E695" s="93"/>
      <c r="F695" s="109" t="s">
        <v>1</v>
      </c>
      <c r="G695" s="36"/>
      <c r="H695" s="36"/>
      <c r="I695" s="36"/>
      <c r="J695" s="36"/>
      <c r="K695" s="36"/>
      <c r="L695" s="36"/>
      <c r="M695" s="36"/>
      <c r="N695" s="3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</row>
    <row r="696" spans="1:28" ht="18" customHeight="1">
      <c r="A696" s="83">
        <f t="shared" si="10"/>
        <v>27</v>
      </c>
      <c r="B696" s="83">
        <v>252610523</v>
      </c>
      <c r="C696" s="108" t="s">
        <v>1847</v>
      </c>
      <c r="D696" s="33"/>
      <c r="E696" s="93"/>
      <c r="F696" s="109" t="s">
        <v>3</v>
      </c>
      <c r="G696" s="85"/>
      <c r="H696" s="85"/>
      <c r="I696" s="85"/>
      <c r="J696" s="85"/>
      <c r="K696" s="85"/>
      <c r="L696" s="85"/>
      <c r="M696" s="85"/>
      <c r="N696" s="85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</row>
    <row r="697" spans="1:28" ht="18" customHeight="1">
      <c r="A697" s="1">
        <f t="shared" si="10"/>
        <v>28</v>
      </c>
      <c r="B697" s="1">
        <v>252610348</v>
      </c>
      <c r="C697" s="108" t="s">
        <v>1849</v>
      </c>
      <c r="D697" s="33"/>
      <c r="E697" s="93"/>
      <c r="F697" s="109" t="s">
        <v>1</v>
      </c>
      <c r="G697" s="36"/>
      <c r="H697" s="36"/>
      <c r="I697" s="36"/>
      <c r="J697" s="36"/>
      <c r="K697" s="36"/>
      <c r="L697" s="36"/>
      <c r="M697" s="36"/>
      <c r="N697" s="3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</row>
    <row r="698" spans="1:28" ht="18" customHeight="1">
      <c r="A698" s="1">
        <f t="shared" si="10"/>
        <v>29</v>
      </c>
      <c r="B698" s="1">
        <v>252610393</v>
      </c>
      <c r="C698" s="108" t="s">
        <v>1851</v>
      </c>
      <c r="D698" s="33"/>
      <c r="E698" s="93"/>
      <c r="F698" s="109" t="s">
        <v>1</v>
      </c>
      <c r="G698" s="36"/>
      <c r="H698" s="36"/>
      <c r="I698" s="36"/>
      <c r="J698" s="36"/>
      <c r="K698" s="36"/>
      <c r="L698" s="36"/>
      <c r="M698" s="36"/>
      <c r="N698" s="3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</row>
    <row r="699" spans="1:28" ht="18" customHeight="1">
      <c r="A699" s="1">
        <f t="shared" si="10"/>
        <v>30</v>
      </c>
      <c r="B699" s="1">
        <v>252610260</v>
      </c>
      <c r="C699" s="108" t="s">
        <v>1853</v>
      </c>
      <c r="D699" s="33"/>
      <c r="E699" s="93"/>
      <c r="F699" s="109" t="s">
        <v>3</v>
      </c>
      <c r="G699" s="36"/>
      <c r="H699" s="36"/>
      <c r="I699" s="36"/>
      <c r="J699" s="36"/>
      <c r="K699" s="36"/>
      <c r="L699" s="36"/>
      <c r="M699" s="36"/>
      <c r="N699" s="3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</row>
    <row r="700" spans="1:28" ht="18" customHeight="1">
      <c r="A700" s="1">
        <f t="shared" si="10"/>
        <v>31</v>
      </c>
      <c r="B700" s="1">
        <v>252610073</v>
      </c>
      <c r="C700" s="108" t="s">
        <v>1855</v>
      </c>
      <c r="D700" s="33"/>
      <c r="E700" s="93"/>
      <c r="F700" s="109" t="s">
        <v>3</v>
      </c>
      <c r="G700" s="36"/>
      <c r="H700" s="36"/>
      <c r="I700" s="36"/>
      <c r="J700" s="36"/>
      <c r="K700" s="36"/>
      <c r="L700" s="36"/>
      <c r="M700" s="36"/>
      <c r="N700" s="3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</row>
    <row r="701" spans="1:28" ht="18" customHeight="1">
      <c r="A701" s="1">
        <f t="shared" si="10"/>
        <v>32</v>
      </c>
      <c r="B701" s="1">
        <v>252610172</v>
      </c>
      <c r="C701" s="108" t="s">
        <v>1857</v>
      </c>
      <c r="D701" s="33"/>
      <c r="E701" s="93"/>
      <c r="F701" s="109" t="s">
        <v>1</v>
      </c>
      <c r="G701" s="36"/>
      <c r="H701" s="36"/>
      <c r="I701" s="36"/>
      <c r="J701" s="36"/>
      <c r="K701" s="36"/>
      <c r="L701" s="36"/>
      <c r="M701" s="36"/>
      <c r="N701" s="3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</row>
    <row r="702" spans="1:28" ht="18" customHeight="1">
      <c r="A702" s="1">
        <f t="shared" si="10"/>
        <v>33</v>
      </c>
      <c r="B702" s="1">
        <v>252610263</v>
      </c>
      <c r="C702" s="108" t="s">
        <v>1860</v>
      </c>
      <c r="D702" s="33"/>
      <c r="E702" s="93"/>
      <c r="F702" s="109" t="s">
        <v>1</v>
      </c>
      <c r="G702" s="36"/>
      <c r="H702" s="36"/>
      <c r="I702" s="36"/>
      <c r="J702" s="36"/>
      <c r="K702" s="36"/>
      <c r="L702" s="36"/>
      <c r="M702" s="36"/>
      <c r="N702" s="3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</row>
    <row r="703" spans="1:28" ht="18" customHeight="1">
      <c r="A703" s="1">
        <f t="shared" si="10"/>
        <v>34</v>
      </c>
      <c r="B703" s="1">
        <v>252610308</v>
      </c>
      <c r="C703" s="108" t="s">
        <v>1862</v>
      </c>
      <c r="D703" s="33"/>
      <c r="E703" s="93"/>
      <c r="F703" s="109" t="s">
        <v>3</v>
      </c>
      <c r="G703" s="36"/>
      <c r="H703" s="36"/>
      <c r="I703" s="36"/>
      <c r="J703" s="36"/>
      <c r="K703" s="36"/>
      <c r="L703" s="36"/>
      <c r="M703" s="36"/>
      <c r="N703" s="3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</row>
    <row r="704" spans="1:28" ht="18" customHeight="1">
      <c r="A704" s="1">
        <f t="shared" si="10"/>
        <v>35</v>
      </c>
      <c r="B704" s="1">
        <v>252610398</v>
      </c>
      <c r="C704" s="108" t="s">
        <v>1864</v>
      </c>
      <c r="D704" s="33"/>
      <c r="E704" s="93"/>
      <c r="F704" s="109" t="s">
        <v>1</v>
      </c>
      <c r="G704" s="36"/>
      <c r="H704" s="36"/>
      <c r="I704" s="36"/>
      <c r="J704" s="36"/>
      <c r="K704" s="36"/>
      <c r="L704" s="36"/>
      <c r="M704" s="36"/>
      <c r="N704" s="3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</row>
    <row r="705" spans="1:28" ht="18" customHeight="1">
      <c r="A705" s="1">
        <f t="shared" si="10"/>
        <v>36</v>
      </c>
      <c r="B705" s="1">
        <v>252610211</v>
      </c>
      <c r="C705" s="108" t="s">
        <v>1866</v>
      </c>
      <c r="D705" s="33"/>
      <c r="E705" s="93"/>
      <c r="F705" s="109" t="s">
        <v>1</v>
      </c>
      <c r="G705" s="36"/>
      <c r="H705" s="36"/>
      <c r="I705" s="36"/>
      <c r="J705" s="36"/>
      <c r="K705" s="36"/>
      <c r="L705" s="36"/>
      <c r="M705" s="36"/>
      <c r="N705" s="3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</row>
    <row r="706" spans="1:28" ht="18" customHeight="1">
      <c r="A706" s="123">
        <f t="shared" si="10"/>
        <v>37</v>
      </c>
      <c r="B706" s="123">
        <v>252610035</v>
      </c>
      <c r="C706" s="108" t="s">
        <v>1867</v>
      </c>
      <c r="D706" s="33"/>
      <c r="E706" s="93"/>
      <c r="F706" s="109" t="s">
        <v>1</v>
      </c>
      <c r="G706" s="78"/>
      <c r="H706" s="78"/>
      <c r="I706" s="78"/>
      <c r="J706" s="78"/>
      <c r="K706" s="78"/>
      <c r="L706" s="78"/>
      <c r="M706" s="78"/>
      <c r="N706" s="78"/>
      <c r="O706" s="21"/>
      <c r="P706" s="21"/>
      <c r="Q706" s="78" t="s">
        <v>982</v>
      </c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</row>
    <row r="707" spans="1:28" ht="18" customHeight="1">
      <c r="A707" s="1">
        <f t="shared" si="10"/>
        <v>38</v>
      </c>
      <c r="B707" s="1">
        <v>252610267</v>
      </c>
      <c r="C707" s="108" t="s">
        <v>1870</v>
      </c>
      <c r="D707" s="33"/>
      <c r="E707" s="93"/>
      <c r="F707" s="109" t="s">
        <v>3</v>
      </c>
      <c r="G707" s="36"/>
      <c r="H707" s="36"/>
      <c r="I707" s="36"/>
      <c r="J707" s="36"/>
      <c r="K707" s="36"/>
      <c r="L707" s="36"/>
      <c r="M707" s="36"/>
      <c r="N707" s="3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</row>
    <row r="708" spans="1:28" ht="18" customHeight="1">
      <c r="A708" s="1">
        <f t="shared" si="10"/>
        <v>39</v>
      </c>
      <c r="B708" s="1">
        <v>252610488</v>
      </c>
      <c r="C708" s="108" t="s">
        <v>1871</v>
      </c>
      <c r="D708" s="33"/>
      <c r="E708" s="93"/>
      <c r="F708" s="109" t="s">
        <v>3</v>
      </c>
      <c r="G708" s="36"/>
      <c r="H708" s="36"/>
      <c r="I708" s="36"/>
      <c r="J708" s="36"/>
      <c r="K708" s="36"/>
      <c r="L708" s="36"/>
      <c r="M708" s="36"/>
      <c r="N708" s="3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</row>
    <row r="709" spans="1:28" ht="18" customHeight="1">
      <c r="A709" s="1">
        <f t="shared" si="10"/>
        <v>40</v>
      </c>
      <c r="B709" s="1">
        <v>252610132</v>
      </c>
      <c r="C709" s="108" t="s">
        <v>1873</v>
      </c>
      <c r="D709" s="33"/>
      <c r="E709" s="93"/>
      <c r="F709" s="109" t="s">
        <v>3</v>
      </c>
      <c r="G709" s="36"/>
      <c r="H709" s="36"/>
      <c r="I709" s="36"/>
      <c r="J709" s="36"/>
      <c r="K709" s="36"/>
      <c r="L709" s="36"/>
      <c r="M709" s="36"/>
      <c r="N709" s="3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</row>
    <row r="710" spans="1:28" ht="18" customHeight="1">
      <c r="A710" s="1">
        <f t="shared" si="10"/>
        <v>41</v>
      </c>
      <c r="B710" s="1">
        <v>252610136</v>
      </c>
      <c r="C710" s="108" t="s">
        <v>1876</v>
      </c>
      <c r="D710" s="33"/>
      <c r="E710" s="93"/>
      <c r="F710" s="109" t="s">
        <v>3</v>
      </c>
      <c r="G710" s="36"/>
      <c r="H710" s="36"/>
      <c r="I710" s="36"/>
      <c r="J710" s="36"/>
      <c r="K710" s="36"/>
      <c r="L710" s="36"/>
      <c r="M710" s="36"/>
      <c r="N710" s="3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</row>
    <row r="711" spans="1:28" ht="18" customHeight="1">
      <c r="A711" s="1">
        <f t="shared" si="10"/>
        <v>42</v>
      </c>
      <c r="B711" s="1">
        <v>252610225</v>
      </c>
      <c r="C711" s="108" t="s">
        <v>1878</v>
      </c>
      <c r="D711" s="33"/>
      <c r="E711" s="93"/>
      <c r="F711" s="109" t="s">
        <v>3</v>
      </c>
      <c r="G711" s="36"/>
      <c r="H711" s="36"/>
      <c r="I711" s="36"/>
      <c r="J711" s="36"/>
      <c r="K711" s="36"/>
      <c r="L711" s="36"/>
      <c r="M711" s="36"/>
      <c r="N711" s="3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</row>
    <row r="712" spans="1:28" ht="18" customHeight="1">
      <c r="A712" s="1">
        <f t="shared" si="10"/>
        <v>43</v>
      </c>
      <c r="B712" s="1">
        <v>252610544</v>
      </c>
      <c r="C712" s="108" t="s">
        <v>1880</v>
      </c>
      <c r="D712" s="33"/>
      <c r="E712" s="93"/>
      <c r="F712" s="109" t="s">
        <v>3</v>
      </c>
      <c r="G712" s="36"/>
      <c r="H712" s="36"/>
      <c r="I712" s="36"/>
      <c r="J712" s="36"/>
      <c r="K712" s="36"/>
      <c r="L712" s="36"/>
      <c r="M712" s="36"/>
      <c r="N712" s="3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</row>
    <row r="713" spans="1:28" ht="18" customHeight="1">
      <c r="A713" s="1">
        <f t="shared" si="10"/>
        <v>44</v>
      </c>
      <c r="B713" s="1">
        <v>252610366</v>
      </c>
      <c r="C713" s="108" t="s">
        <v>1882</v>
      </c>
      <c r="D713" s="33"/>
      <c r="E713" s="93"/>
      <c r="F713" s="109" t="s">
        <v>3</v>
      </c>
      <c r="G713" s="36"/>
      <c r="H713" s="36"/>
      <c r="I713" s="36"/>
      <c r="J713" s="36"/>
      <c r="K713" s="36"/>
      <c r="L713" s="36"/>
      <c r="M713" s="36"/>
      <c r="N713" s="3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</row>
    <row r="714" spans="1:28" ht="18" customHeight="1">
      <c r="A714" s="1"/>
      <c r="B714" s="1"/>
      <c r="C714" s="108"/>
      <c r="D714" s="33"/>
      <c r="E714" s="93"/>
      <c r="F714" s="102"/>
      <c r="G714" s="36"/>
      <c r="H714" s="36"/>
      <c r="I714" s="36"/>
      <c r="J714" s="36"/>
      <c r="K714" s="36"/>
      <c r="L714" s="36"/>
      <c r="M714" s="36"/>
      <c r="N714" s="3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</row>
    <row r="715" spans="1:28" ht="18" customHeight="1">
      <c r="A715" s="1"/>
      <c r="B715" s="1"/>
      <c r="C715" s="108"/>
      <c r="D715" s="33"/>
      <c r="E715" s="93"/>
      <c r="F715" s="102"/>
      <c r="G715" s="36"/>
      <c r="H715" s="36"/>
      <c r="I715" s="36"/>
      <c r="J715" s="36"/>
      <c r="K715" s="36"/>
      <c r="L715" s="36"/>
      <c r="M715" s="36"/>
      <c r="N715" s="3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</row>
    <row r="716" spans="1:28" ht="18" customHeight="1">
      <c r="A716" s="1"/>
      <c r="B716" s="1"/>
      <c r="C716" s="108"/>
      <c r="D716" s="33"/>
      <c r="E716" s="93"/>
      <c r="F716" s="102"/>
      <c r="G716" s="90"/>
      <c r="H716" s="36"/>
      <c r="I716" s="36"/>
      <c r="J716" s="36"/>
      <c r="K716" s="36"/>
      <c r="L716" s="36"/>
      <c r="M716" s="36"/>
      <c r="N716" s="3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</row>
    <row r="717" spans="1:28" ht="15.8" customHeight="1">
      <c r="A717" s="79"/>
      <c r="B717" s="79"/>
      <c r="C717" s="20"/>
      <c r="D717" s="20"/>
      <c r="E717" s="20"/>
      <c r="F717" s="80" t="s">
        <v>1</v>
      </c>
      <c r="G717" s="80">
        <f>COUNTIF(F670:F716,"L")</f>
        <v>15</v>
      </c>
      <c r="H717" s="20"/>
      <c r="I717" s="20"/>
      <c r="J717" s="20"/>
      <c r="K717" s="20"/>
      <c r="L717" s="20"/>
      <c r="M717" s="20"/>
      <c r="N717" s="20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</row>
    <row r="718" spans="1:28" ht="15.8" customHeight="1">
      <c r="A718" s="79"/>
      <c r="B718" s="79"/>
      <c r="C718" s="20"/>
      <c r="D718" s="20"/>
      <c r="E718" s="20"/>
      <c r="F718" s="30" t="s">
        <v>3</v>
      </c>
      <c r="G718" s="30">
        <f>COUNTIF(F670:F716,"P")</f>
        <v>29</v>
      </c>
      <c r="H718" s="20"/>
      <c r="I718" s="20"/>
      <c r="J718" s="20"/>
      <c r="K718" s="20"/>
      <c r="L718" s="20"/>
      <c r="M718" s="20"/>
      <c r="N718" s="20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</row>
    <row r="719" spans="1:28" ht="15.8" customHeight="1">
      <c r="A719" s="20" t="s">
        <v>275</v>
      </c>
      <c r="B719" s="79"/>
      <c r="C719" s="20"/>
      <c r="D719" s="20"/>
      <c r="E719" s="20"/>
      <c r="F719" s="81" t="s">
        <v>251</v>
      </c>
      <c r="G719" s="81">
        <f>SUM(G717:G718)</f>
        <v>44</v>
      </c>
      <c r="H719" s="6"/>
      <c r="I719" s="82" t="s">
        <v>254</v>
      </c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</row>
    <row r="720" spans="1:28" ht="15.8" customHeight="1">
      <c r="A720" s="20" t="s">
        <v>280</v>
      </c>
      <c r="B720" s="79"/>
      <c r="C720" s="20"/>
      <c r="D720" s="20"/>
      <c r="E720" s="20" t="s">
        <v>281</v>
      </c>
      <c r="F720" s="94"/>
      <c r="G720" s="6"/>
      <c r="H720" s="6"/>
      <c r="I720" s="6" t="s">
        <v>256</v>
      </c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</row>
    <row r="721" spans="1:28" ht="15.8" customHeight="1">
      <c r="A721" s="20"/>
      <c r="B721" s="6"/>
      <c r="C721" s="20"/>
      <c r="D721" s="20"/>
      <c r="E721" s="20"/>
      <c r="F721" s="79"/>
      <c r="G721" s="20"/>
      <c r="H721" s="20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</row>
    <row r="722" spans="1:28" ht="15.8" customHeight="1">
      <c r="A722" s="20"/>
      <c r="B722" s="6"/>
      <c r="C722" s="20"/>
      <c r="D722" s="20"/>
      <c r="E722" s="20"/>
      <c r="F722" s="79"/>
      <c r="G722" s="20"/>
      <c r="H722" s="20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</row>
    <row r="723" spans="1:28" ht="15.8" customHeight="1">
      <c r="A723" s="16" t="s">
        <v>1887</v>
      </c>
      <c r="B723" s="6"/>
      <c r="C723" s="6"/>
      <c r="D723" s="6"/>
      <c r="E723" s="86" t="s">
        <v>300</v>
      </c>
      <c r="F723" s="94"/>
      <c r="G723" s="6"/>
      <c r="H723" s="20"/>
      <c r="I723" s="87"/>
      <c r="J723" s="87"/>
      <c r="K723" s="87"/>
      <c r="L723" s="87"/>
      <c r="M723" s="87"/>
      <c r="N723" s="87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</row>
    <row r="724" spans="1:28" ht="15.8" customHeight="1">
      <c r="A724" s="41" t="s">
        <v>1888</v>
      </c>
      <c r="B724" s="41"/>
      <c r="C724" s="20"/>
      <c r="D724" s="20"/>
      <c r="E724" s="20" t="s">
        <v>308</v>
      </c>
      <c r="F724" s="79"/>
      <c r="G724" s="20"/>
      <c r="H724" s="20" t="s">
        <v>266</v>
      </c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</row>
    <row r="725" spans="1:28" ht="15.8" customHeight="1">
      <c r="A725" s="6"/>
      <c r="B725" s="6"/>
      <c r="C725" s="6"/>
      <c r="D725" s="6"/>
      <c r="E725" s="6"/>
      <c r="F725" s="94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</row>
    <row r="726" spans="1:28" ht="15.8" customHeight="1">
      <c r="A726" s="6"/>
      <c r="B726" s="6"/>
      <c r="C726" s="6"/>
      <c r="D726" s="6"/>
      <c r="E726" s="6"/>
      <c r="F726" s="94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</row>
    <row r="727" spans="1:28" ht="15.8" customHeight="1">
      <c r="A727" s="6"/>
      <c r="B727" s="6"/>
      <c r="C727" s="6"/>
      <c r="D727" s="6"/>
      <c r="E727" s="6"/>
      <c r="F727" s="94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</row>
    <row r="728" spans="1:28" ht="15.8" customHeight="1">
      <c r="A728" s="6"/>
      <c r="B728" s="6"/>
      <c r="C728" s="6"/>
      <c r="D728" s="6"/>
      <c r="E728" s="6"/>
      <c r="F728" s="94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</row>
    <row r="729" spans="1:28" ht="15.8" customHeight="1">
      <c r="A729" s="6"/>
      <c r="B729" s="6"/>
      <c r="C729" s="6"/>
      <c r="D729" s="6"/>
      <c r="E729" s="6"/>
      <c r="F729" s="94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</row>
    <row r="730" spans="1:28" ht="15.8" customHeight="1">
      <c r="A730" s="6"/>
      <c r="B730" s="6"/>
      <c r="C730" s="6"/>
      <c r="D730" s="6"/>
      <c r="E730" s="6"/>
      <c r="F730" s="94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</row>
    <row r="731" spans="1:28" ht="15.8" customHeight="1">
      <c r="A731" s="6"/>
      <c r="B731" s="6"/>
      <c r="C731" s="6"/>
      <c r="D731" s="6"/>
      <c r="E731" s="6"/>
      <c r="F731" s="94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</row>
    <row r="732" spans="1:28" ht="15.8" customHeight="1">
      <c r="A732" s="6"/>
      <c r="B732" s="6"/>
      <c r="C732" s="6"/>
      <c r="D732" s="6"/>
      <c r="E732" s="6"/>
      <c r="F732" s="94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</row>
    <row r="733" spans="1:28" ht="15.8" customHeight="1">
      <c r="A733" s="6"/>
      <c r="B733" s="6"/>
      <c r="C733" s="6"/>
      <c r="D733" s="6"/>
      <c r="E733" s="6"/>
      <c r="F733" s="94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</row>
    <row r="734" spans="1:28" ht="15.8" customHeight="1">
      <c r="A734" s="6"/>
      <c r="B734" s="6"/>
      <c r="C734" s="6"/>
      <c r="D734" s="6"/>
      <c r="E734" s="6"/>
      <c r="F734" s="94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</row>
    <row r="735" spans="1:28" ht="15.8" customHeight="1">
      <c r="A735" s="6"/>
      <c r="B735" s="6"/>
      <c r="C735" s="6"/>
      <c r="D735" s="6"/>
      <c r="E735" s="6"/>
      <c r="F735" s="94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</row>
    <row r="736" spans="1:28" ht="15.8" customHeight="1">
      <c r="A736" s="6"/>
      <c r="B736" s="6"/>
      <c r="C736" s="6"/>
      <c r="D736" s="6"/>
      <c r="E736" s="6"/>
      <c r="F736" s="94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</row>
    <row r="737" spans="1:28" ht="15.8" customHeight="1">
      <c r="A737" s="6"/>
      <c r="B737" s="6"/>
      <c r="C737" s="6"/>
      <c r="D737" s="6"/>
      <c r="E737" s="6"/>
      <c r="F737" s="94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</row>
    <row r="738" spans="1:28" ht="15.8" customHeight="1">
      <c r="A738" s="6"/>
      <c r="B738" s="6"/>
      <c r="C738" s="6"/>
      <c r="D738" s="6"/>
      <c r="E738" s="6"/>
      <c r="F738" s="94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</row>
    <row r="739" spans="1:28" ht="15.8" customHeight="1">
      <c r="A739" s="6"/>
      <c r="B739" s="6"/>
      <c r="C739" s="6"/>
      <c r="D739" s="6"/>
      <c r="E739" s="6"/>
      <c r="F739" s="94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</row>
    <row r="740" spans="1:28" ht="15.8" customHeight="1">
      <c r="A740" s="6"/>
      <c r="B740" s="6"/>
      <c r="C740" s="6"/>
      <c r="D740" s="6"/>
      <c r="E740" s="6"/>
      <c r="F740" s="94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</row>
    <row r="741" spans="1:28" ht="15.8" customHeight="1">
      <c r="A741" s="6"/>
      <c r="B741" s="6"/>
      <c r="C741" s="6"/>
      <c r="D741" s="6"/>
      <c r="E741" s="6"/>
      <c r="F741" s="94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</row>
    <row r="742" spans="1:28" ht="15.8" customHeight="1">
      <c r="A742" s="6"/>
      <c r="B742" s="6"/>
      <c r="C742" s="6"/>
      <c r="D742" s="6"/>
      <c r="E742" s="6"/>
      <c r="F742" s="94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</row>
    <row r="743" spans="1:28" ht="15.8" customHeight="1">
      <c r="A743" s="6"/>
      <c r="B743" s="6"/>
      <c r="C743" s="6"/>
      <c r="D743" s="6"/>
      <c r="E743" s="6"/>
      <c r="F743" s="94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</row>
    <row r="744" spans="1:28" ht="15.8" customHeight="1">
      <c r="A744" s="6"/>
      <c r="B744" s="6"/>
      <c r="C744" s="6"/>
      <c r="D744" s="6"/>
      <c r="E744" s="6"/>
      <c r="F744" s="94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</row>
    <row r="745" spans="1:28" ht="15.8" customHeight="1">
      <c r="A745" s="6"/>
      <c r="B745" s="6"/>
      <c r="C745" s="6"/>
      <c r="D745" s="6"/>
      <c r="E745" s="6"/>
      <c r="F745" s="94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</row>
    <row r="746" spans="1:28" ht="15.8" customHeight="1">
      <c r="A746" s="6"/>
      <c r="B746" s="6"/>
      <c r="C746" s="6"/>
      <c r="D746" s="6"/>
      <c r="E746" s="6"/>
      <c r="F746" s="94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</row>
    <row r="747" spans="1:28" ht="15.8" customHeight="1">
      <c r="A747" s="6"/>
      <c r="B747" s="6"/>
      <c r="C747" s="6"/>
      <c r="D747" s="6"/>
      <c r="E747" s="6"/>
      <c r="F747" s="94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</row>
    <row r="748" spans="1:28" ht="15.8" customHeight="1">
      <c r="A748" s="6"/>
      <c r="B748" s="6"/>
      <c r="C748" s="6"/>
      <c r="D748" s="6"/>
      <c r="E748" s="6"/>
      <c r="F748" s="94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</row>
    <row r="749" spans="1:28" ht="15.8" customHeight="1">
      <c r="A749" s="6"/>
      <c r="B749" s="6"/>
      <c r="C749" s="6"/>
      <c r="D749" s="6"/>
      <c r="E749" s="6"/>
      <c r="F749" s="94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</row>
    <row r="750" spans="1:28" ht="15.8" customHeight="1">
      <c r="A750" s="6"/>
      <c r="B750" s="6"/>
      <c r="C750" s="6"/>
      <c r="D750" s="6"/>
      <c r="E750" s="6"/>
      <c r="F750" s="94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</row>
    <row r="751" spans="1:28" ht="15.8" customHeight="1">
      <c r="A751" s="6"/>
      <c r="B751" s="6"/>
      <c r="C751" s="6"/>
      <c r="D751" s="6"/>
      <c r="E751" s="6"/>
      <c r="F751" s="94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</row>
    <row r="752" spans="1:28" ht="15.8" customHeight="1">
      <c r="A752" s="6"/>
      <c r="B752" s="6"/>
      <c r="C752" s="6"/>
      <c r="D752" s="6"/>
      <c r="E752" s="6"/>
      <c r="F752" s="94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</row>
    <row r="753" spans="1:28" ht="15.8" customHeight="1">
      <c r="A753" s="6"/>
      <c r="B753" s="6"/>
      <c r="C753" s="6"/>
      <c r="D753" s="6"/>
      <c r="E753" s="6"/>
      <c r="F753" s="94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</row>
    <row r="754" spans="1:28" ht="15.8" customHeight="1">
      <c r="A754" s="6"/>
      <c r="B754" s="6"/>
      <c r="C754" s="6"/>
      <c r="D754" s="6"/>
      <c r="E754" s="6"/>
      <c r="F754" s="94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</row>
    <row r="755" spans="1:28" ht="15.8" customHeight="1">
      <c r="A755" s="6"/>
      <c r="B755" s="6"/>
      <c r="C755" s="6"/>
      <c r="D755" s="6"/>
      <c r="E755" s="6"/>
      <c r="F755" s="94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</row>
    <row r="756" spans="1:28" ht="15.8" customHeight="1">
      <c r="A756" s="6"/>
      <c r="B756" s="6"/>
      <c r="C756" s="6"/>
      <c r="D756" s="6"/>
      <c r="E756" s="6"/>
      <c r="F756" s="94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</row>
    <row r="757" spans="1:28" ht="15.8" customHeight="1">
      <c r="A757" s="6"/>
      <c r="B757" s="6"/>
      <c r="C757" s="6"/>
      <c r="D757" s="6"/>
      <c r="E757" s="6"/>
      <c r="F757" s="94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</row>
    <row r="758" spans="1:28" ht="15.8" customHeight="1">
      <c r="A758" s="6"/>
      <c r="B758" s="6"/>
      <c r="C758" s="6"/>
      <c r="D758" s="6"/>
      <c r="E758" s="6"/>
      <c r="F758" s="94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</row>
    <row r="759" spans="1:28" ht="15.8" customHeight="1">
      <c r="A759" s="6"/>
      <c r="B759" s="6"/>
      <c r="C759" s="6"/>
      <c r="D759" s="6"/>
      <c r="E759" s="6"/>
      <c r="F759" s="94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</row>
    <row r="760" spans="1:28" ht="15.8" customHeight="1">
      <c r="A760" s="6"/>
      <c r="B760" s="6"/>
      <c r="C760" s="6"/>
      <c r="D760" s="6"/>
      <c r="E760" s="6"/>
      <c r="F760" s="94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</row>
    <row r="761" spans="1:28" ht="15.8" customHeight="1">
      <c r="A761" s="6"/>
      <c r="B761" s="6"/>
      <c r="C761" s="6"/>
      <c r="D761" s="6"/>
      <c r="E761" s="6"/>
      <c r="F761" s="94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</row>
    <row r="762" spans="1:28" ht="15.8" customHeight="1">
      <c r="A762" s="6"/>
      <c r="B762" s="6"/>
      <c r="C762" s="6"/>
      <c r="D762" s="6"/>
      <c r="E762" s="6"/>
      <c r="F762" s="94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</row>
    <row r="763" spans="1:28" ht="15.8" customHeight="1">
      <c r="A763" s="6"/>
      <c r="B763" s="6"/>
      <c r="C763" s="6"/>
      <c r="D763" s="6"/>
      <c r="E763" s="6"/>
      <c r="F763" s="94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</row>
    <row r="764" spans="1:28" ht="15.8" customHeight="1">
      <c r="A764" s="6"/>
      <c r="B764" s="6"/>
      <c r="C764" s="6"/>
      <c r="D764" s="6"/>
      <c r="E764" s="6"/>
      <c r="F764" s="94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</row>
    <row r="765" spans="1:28" ht="15.8" customHeight="1">
      <c r="A765" s="6"/>
      <c r="B765" s="6"/>
      <c r="C765" s="6"/>
      <c r="D765" s="6"/>
      <c r="E765" s="6"/>
      <c r="F765" s="94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</row>
    <row r="766" spans="1:28" ht="15.8" customHeight="1">
      <c r="A766" s="6"/>
      <c r="B766" s="6"/>
      <c r="C766" s="6"/>
      <c r="D766" s="6"/>
      <c r="E766" s="6"/>
      <c r="F766" s="94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</row>
    <row r="767" spans="1:28" ht="15.8" customHeight="1">
      <c r="A767" s="6"/>
      <c r="B767" s="6"/>
      <c r="C767" s="6"/>
      <c r="D767" s="6"/>
      <c r="E767" s="6"/>
      <c r="F767" s="94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</row>
    <row r="768" spans="1:28" ht="15.8" customHeight="1">
      <c r="A768" s="6"/>
      <c r="B768" s="6"/>
      <c r="C768" s="6"/>
      <c r="D768" s="6"/>
      <c r="E768" s="6"/>
      <c r="F768" s="94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</row>
    <row r="769" spans="1:28" ht="15.8" customHeight="1">
      <c r="A769" s="6"/>
      <c r="B769" s="6"/>
      <c r="C769" s="6"/>
      <c r="D769" s="6"/>
      <c r="E769" s="6"/>
      <c r="F769" s="94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</row>
    <row r="770" spans="1:28" ht="15.8" customHeight="1">
      <c r="A770" s="6"/>
      <c r="B770" s="6"/>
      <c r="C770" s="6"/>
      <c r="D770" s="6"/>
      <c r="E770" s="6"/>
      <c r="F770" s="94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</row>
    <row r="771" spans="1:28" ht="15.8" customHeight="1">
      <c r="A771" s="6"/>
      <c r="B771" s="6"/>
      <c r="C771" s="6"/>
      <c r="D771" s="6"/>
      <c r="E771" s="6"/>
      <c r="F771" s="94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</row>
    <row r="772" spans="1:28" ht="15.8" customHeight="1">
      <c r="A772" s="6"/>
      <c r="B772" s="6"/>
      <c r="C772" s="6"/>
      <c r="D772" s="6"/>
      <c r="E772" s="6"/>
      <c r="F772" s="94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</row>
    <row r="773" spans="1:28" ht="15.8" customHeight="1">
      <c r="A773" s="6"/>
      <c r="B773" s="6"/>
      <c r="C773" s="6"/>
      <c r="D773" s="6"/>
      <c r="E773" s="6"/>
      <c r="F773" s="94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</row>
    <row r="774" spans="1:28" ht="15.8" customHeight="1">
      <c r="A774" s="6"/>
      <c r="B774" s="6"/>
      <c r="C774" s="6"/>
      <c r="D774" s="6"/>
      <c r="E774" s="6"/>
      <c r="F774" s="94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</row>
    <row r="775" spans="1:28" ht="15.8" customHeight="1">
      <c r="A775" s="6"/>
      <c r="B775" s="6"/>
      <c r="C775" s="6"/>
      <c r="D775" s="6"/>
      <c r="E775" s="6"/>
      <c r="F775" s="94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</row>
    <row r="776" spans="1:28" ht="15.8" customHeight="1">
      <c r="A776" s="6"/>
      <c r="B776" s="6"/>
      <c r="C776" s="6"/>
      <c r="D776" s="6"/>
      <c r="E776" s="6"/>
      <c r="F776" s="94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</row>
    <row r="777" spans="1:28" ht="15.8" customHeight="1">
      <c r="A777" s="6"/>
      <c r="B777" s="6"/>
      <c r="C777" s="6"/>
      <c r="D777" s="6"/>
      <c r="E777" s="6"/>
      <c r="F777" s="94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</row>
    <row r="778" spans="1:28" ht="15.8" customHeight="1">
      <c r="A778" s="6"/>
      <c r="B778" s="6"/>
      <c r="C778" s="6"/>
      <c r="D778" s="6"/>
      <c r="E778" s="6"/>
      <c r="F778" s="94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</row>
    <row r="779" spans="1:28" ht="15.8" customHeight="1">
      <c r="A779" s="6"/>
      <c r="B779" s="6"/>
      <c r="C779" s="6"/>
      <c r="D779" s="6"/>
      <c r="E779" s="6"/>
      <c r="F779" s="94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</row>
    <row r="780" spans="1:28" ht="15.8" customHeight="1">
      <c r="A780" s="6"/>
      <c r="B780" s="6"/>
      <c r="C780" s="6"/>
      <c r="D780" s="6"/>
      <c r="E780" s="6"/>
      <c r="F780" s="94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</row>
    <row r="781" spans="1:28" ht="15.8" customHeight="1">
      <c r="A781" s="6"/>
      <c r="B781" s="6"/>
      <c r="C781" s="6"/>
      <c r="D781" s="6"/>
      <c r="E781" s="6"/>
      <c r="F781" s="94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</row>
    <row r="782" spans="1:28" ht="15.8" customHeight="1">
      <c r="A782" s="6"/>
      <c r="B782" s="6"/>
      <c r="C782" s="6"/>
      <c r="D782" s="6"/>
      <c r="E782" s="6"/>
      <c r="F782" s="94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</row>
    <row r="783" spans="1:28" ht="15.8" customHeight="1">
      <c r="A783" s="6"/>
      <c r="B783" s="6"/>
      <c r="C783" s="6"/>
      <c r="D783" s="6"/>
      <c r="E783" s="6"/>
      <c r="F783" s="94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</row>
    <row r="784" spans="1:28" ht="15.8" customHeight="1">
      <c r="A784" s="6"/>
      <c r="B784" s="6"/>
      <c r="C784" s="6"/>
      <c r="D784" s="6"/>
      <c r="E784" s="6"/>
      <c r="F784" s="94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</row>
    <row r="785" spans="1:28" ht="15.8" customHeight="1">
      <c r="A785" s="6"/>
      <c r="B785" s="6"/>
      <c r="C785" s="6"/>
      <c r="D785" s="6"/>
      <c r="E785" s="6"/>
      <c r="F785" s="94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</row>
    <row r="786" spans="1:28" ht="15.8" customHeight="1">
      <c r="A786" s="6"/>
      <c r="B786" s="6"/>
      <c r="C786" s="6"/>
      <c r="D786" s="6"/>
      <c r="E786" s="6"/>
      <c r="F786" s="94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</row>
    <row r="787" spans="1:28" ht="15.8" customHeight="1">
      <c r="A787" s="6"/>
      <c r="B787" s="6"/>
      <c r="C787" s="6"/>
      <c r="D787" s="6"/>
      <c r="E787" s="6"/>
      <c r="F787" s="94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</row>
    <row r="788" spans="1:28" ht="15.8" customHeight="1">
      <c r="A788" s="6"/>
      <c r="B788" s="6"/>
      <c r="C788" s="6"/>
      <c r="D788" s="6"/>
      <c r="E788" s="6"/>
      <c r="F788" s="94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</row>
    <row r="789" spans="1:28" ht="15.8" customHeight="1">
      <c r="A789" s="6"/>
      <c r="B789" s="6"/>
      <c r="C789" s="6"/>
      <c r="D789" s="6"/>
      <c r="E789" s="6"/>
      <c r="F789" s="94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</row>
    <row r="790" spans="1:28" ht="15.8" customHeight="1">
      <c r="A790" s="6"/>
      <c r="B790" s="6"/>
      <c r="C790" s="6"/>
      <c r="D790" s="6"/>
      <c r="E790" s="6"/>
      <c r="F790" s="94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</row>
    <row r="791" spans="1:28" ht="15.8" customHeight="1">
      <c r="A791" s="6"/>
      <c r="B791" s="6"/>
      <c r="C791" s="6"/>
      <c r="D791" s="6"/>
      <c r="E791" s="6"/>
      <c r="F791" s="94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</row>
    <row r="792" spans="1:28" ht="15.8" customHeight="1">
      <c r="A792" s="6"/>
      <c r="B792" s="6"/>
      <c r="C792" s="6"/>
      <c r="D792" s="6"/>
      <c r="E792" s="6"/>
      <c r="F792" s="94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</row>
    <row r="793" spans="1:28" ht="15.8" customHeight="1">
      <c r="A793" s="6"/>
      <c r="B793" s="6"/>
      <c r="C793" s="6"/>
      <c r="D793" s="6"/>
      <c r="E793" s="6"/>
      <c r="F793" s="94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</row>
    <row r="794" spans="1:28" ht="15.8" customHeight="1">
      <c r="A794" s="6"/>
      <c r="B794" s="6"/>
      <c r="C794" s="6"/>
      <c r="D794" s="6"/>
      <c r="E794" s="6"/>
      <c r="F794" s="94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</row>
    <row r="795" spans="1:28" ht="15.8" customHeight="1">
      <c r="A795" s="6"/>
      <c r="B795" s="6"/>
      <c r="C795" s="6"/>
      <c r="D795" s="6"/>
      <c r="E795" s="6"/>
      <c r="F795" s="94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</row>
    <row r="796" spans="1:28" ht="15.8" customHeight="1">
      <c r="A796" s="6"/>
      <c r="B796" s="6"/>
      <c r="C796" s="6"/>
      <c r="D796" s="6"/>
      <c r="E796" s="6"/>
      <c r="F796" s="94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</row>
    <row r="797" spans="1:28" ht="15.8" customHeight="1">
      <c r="A797" s="6"/>
      <c r="B797" s="6"/>
      <c r="C797" s="6"/>
      <c r="D797" s="6"/>
      <c r="E797" s="6"/>
      <c r="F797" s="94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</row>
    <row r="798" spans="1:28" ht="15.8" customHeight="1">
      <c r="A798" s="6"/>
      <c r="B798" s="6"/>
      <c r="C798" s="6"/>
      <c r="D798" s="6"/>
      <c r="E798" s="6"/>
      <c r="F798" s="94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</row>
    <row r="799" spans="1:28" ht="15.8" customHeight="1">
      <c r="A799" s="6"/>
      <c r="B799" s="6"/>
      <c r="C799" s="6"/>
      <c r="D799" s="6"/>
      <c r="E799" s="6"/>
      <c r="F799" s="94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</row>
    <row r="800" spans="1:28" ht="15.8" customHeight="1">
      <c r="A800" s="6"/>
      <c r="B800" s="6"/>
      <c r="C800" s="6"/>
      <c r="D800" s="6"/>
      <c r="E800" s="6"/>
      <c r="F800" s="94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</row>
    <row r="801" spans="1:28" ht="15.8" customHeight="1">
      <c r="A801" s="6"/>
      <c r="B801" s="6"/>
      <c r="C801" s="6"/>
      <c r="D801" s="6"/>
      <c r="E801" s="6"/>
      <c r="F801" s="94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</row>
    <row r="802" spans="1:28" ht="15.8" customHeight="1">
      <c r="A802" s="6"/>
      <c r="B802" s="6"/>
      <c r="C802" s="6"/>
      <c r="D802" s="6"/>
      <c r="E802" s="6"/>
      <c r="F802" s="94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</row>
    <row r="803" spans="1:28" ht="15.8" customHeight="1">
      <c r="A803" s="6"/>
      <c r="B803" s="6"/>
      <c r="C803" s="6"/>
      <c r="D803" s="6"/>
      <c r="E803" s="6"/>
      <c r="F803" s="94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</row>
    <row r="804" spans="1:28" ht="15.8" customHeight="1">
      <c r="A804" s="6"/>
      <c r="B804" s="6"/>
      <c r="C804" s="6"/>
      <c r="D804" s="6"/>
      <c r="E804" s="6"/>
      <c r="F804" s="94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</row>
    <row r="805" spans="1:28" ht="15.8" customHeight="1">
      <c r="A805" s="6"/>
      <c r="B805" s="6"/>
      <c r="C805" s="6"/>
      <c r="D805" s="6"/>
      <c r="E805" s="6"/>
      <c r="F805" s="94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</row>
    <row r="806" spans="1:28" ht="15.8" customHeight="1">
      <c r="A806" s="6"/>
      <c r="B806" s="6"/>
      <c r="C806" s="6"/>
      <c r="D806" s="6"/>
      <c r="E806" s="6"/>
      <c r="F806" s="94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</row>
    <row r="807" spans="1:28" ht="15.8" customHeight="1">
      <c r="A807" s="6"/>
      <c r="B807" s="6"/>
      <c r="C807" s="6"/>
      <c r="D807" s="6"/>
      <c r="E807" s="6"/>
      <c r="F807" s="94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</row>
    <row r="808" spans="1:28" ht="15.8" customHeight="1">
      <c r="A808" s="6"/>
      <c r="B808" s="6"/>
      <c r="C808" s="6"/>
      <c r="D808" s="6"/>
      <c r="E808" s="6"/>
      <c r="F808" s="94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</row>
    <row r="809" spans="1:28" ht="15.8" customHeight="1">
      <c r="A809" s="6"/>
      <c r="B809" s="6"/>
      <c r="C809" s="6"/>
      <c r="D809" s="6"/>
      <c r="E809" s="6"/>
      <c r="F809" s="94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</row>
    <row r="810" spans="1:28" ht="15.8" customHeight="1">
      <c r="A810" s="6"/>
      <c r="B810" s="6"/>
      <c r="C810" s="6"/>
      <c r="D810" s="6"/>
      <c r="E810" s="6"/>
      <c r="F810" s="94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</row>
    <row r="811" spans="1:28" ht="15.8" customHeight="1">
      <c r="A811" s="6"/>
      <c r="B811" s="6"/>
      <c r="C811" s="6"/>
      <c r="D811" s="6"/>
      <c r="E811" s="6"/>
      <c r="F811" s="94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</row>
    <row r="812" spans="1:28" ht="15.8" customHeight="1">
      <c r="A812" s="6"/>
      <c r="B812" s="6"/>
      <c r="C812" s="6"/>
      <c r="D812" s="6"/>
      <c r="E812" s="6"/>
      <c r="F812" s="94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</row>
    <row r="813" spans="1:28" ht="15.8" customHeight="1">
      <c r="A813" s="6"/>
      <c r="B813" s="6"/>
      <c r="C813" s="6"/>
      <c r="D813" s="6"/>
      <c r="E813" s="6"/>
      <c r="F813" s="94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</row>
    <row r="814" spans="1:28" ht="15.8" customHeight="1">
      <c r="A814" s="6"/>
      <c r="B814" s="6"/>
      <c r="C814" s="6"/>
      <c r="D814" s="6"/>
      <c r="E814" s="6"/>
      <c r="F814" s="94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</row>
    <row r="815" spans="1:28" ht="15.8" customHeight="1">
      <c r="A815" s="6"/>
      <c r="B815" s="6"/>
      <c r="C815" s="6"/>
      <c r="D815" s="6"/>
      <c r="E815" s="6"/>
      <c r="F815" s="94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</row>
    <row r="816" spans="1:28" ht="15.8" customHeight="1">
      <c r="A816" s="6"/>
      <c r="B816" s="6"/>
      <c r="C816" s="6"/>
      <c r="D816" s="6"/>
      <c r="E816" s="6"/>
      <c r="F816" s="94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</row>
    <row r="817" spans="1:28" ht="15.8" customHeight="1">
      <c r="A817" s="6"/>
      <c r="B817" s="6"/>
      <c r="C817" s="6"/>
      <c r="D817" s="6"/>
      <c r="E817" s="6"/>
      <c r="F817" s="94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</row>
    <row r="818" spans="1:28" ht="15.8" customHeight="1">
      <c r="A818" s="6"/>
      <c r="B818" s="6"/>
      <c r="C818" s="6"/>
      <c r="D818" s="6"/>
      <c r="E818" s="6"/>
      <c r="F818" s="94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</row>
    <row r="819" spans="1:28" ht="15.8" customHeight="1">
      <c r="A819" s="6"/>
      <c r="B819" s="6"/>
      <c r="C819" s="6"/>
      <c r="D819" s="6"/>
      <c r="E819" s="6"/>
      <c r="F819" s="94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</row>
    <row r="820" spans="1:28" ht="15.8" customHeight="1">
      <c r="A820" s="6"/>
      <c r="B820" s="6"/>
      <c r="C820" s="6"/>
      <c r="D820" s="6"/>
      <c r="E820" s="6"/>
      <c r="F820" s="94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</row>
    <row r="821" spans="1:28" ht="15.8" customHeight="1">
      <c r="A821" s="6"/>
      <c r="B821" s="6"/>
      <c r="C821" s="6"/>
      <c r="D821" s="6"/>
      <c r="E821" s="6"/>
      <c r="F821" s="94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</row>
    <row r="822" spans="1:28" ht="15.8" customHeight="1">
      <c r="A822" s="6"/>
      <c r="B822" s="6"/>
      <c r="C822" s="6"/>
      <c r="D822" s="6"/>
      <c r="E822" s="6"/>
      <c r="F822" s="94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</row>
    <row r="823" spans="1:28" ht="15.8" customHeight="1">
      <c r="A823" s="6"/>
      <c r="B823" s="6"/>
      <c r="C823" s="6"/>
      <c r="D823" s="6"/>
      <c r="E823" s="6"/>
      <c r="F823" s="94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</row>
    <row r="824" spans="1:28" ht="15.8" customHeight="1">
      <c r="A824" s="6"/>
      <c r="B824" s="6"/>
      <c r="C824" s="6"/>
      <c r="D824" s="6"/>
      <c r="E824" s="6"/>
      <c r="F824" s="94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</row>
    <row r="825" spans="1:28" ht="15.8" customHeight="1">
      <c r="A825" s="6"/>
      <c r="B825" s="6"/>
      <c r="C825" s="6"/>
      <c r="D825" s="6"/>
      <c r="E825" s="6"/>
      <c r="F825" s="94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</row>
    <row r="826" spans="1:28" ht="15.8" customHeight="1">
      <c r="A826" s="6"/>
      <c r="B826" s="6"/>
      <c r="C826" s="6"/>
      <c r="D826" s="6"/>
      <c r="E826" s="6"/>
      <c r="F826" s="94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</row>
    <row r="827" spans="1:28" ht="15.8" customHeight="1">
      <c r="A827" s="6"/>
      <c r="B827" s="6"/>
      <c r="C827" s="6"/>
      <c r="D827" s="6"/>
      <c r="E827" s="6"/>
      <c r="F827" s="94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</row>
    <row r="828" spans="1:28" ht="15.8" customHeight="1">
      <c r="A828" s="6"/>
      <c r="B828" s="6"/>
      <c r="C828" s="6"/>
      <c r="D828" s="6"/>
      <c r="E828" s="6"/>
      <c r="F828" s="94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</row>
    <row r="829" spans="1:28" ht="15.8" customHeight="1">
      <c r="A829" s="6"/>
      <c r="B829" s="6"/>
      <c r="C829" s="6"/>
      <c r="D829" s="6"/>
      <c r="E829" s="6"/>
      <c r="F829" s="94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</row>
    <row r="830" spans="1:28" ht="15.8" customHeight="1">
      <c r="A830" s="6"/>
      <c r="B830" s="6"/>
      <c r="C830" s="6"/>
      <c r="D830" s="6"/>
      <c r="E830" s="6"/>
      <c r="F830" s="94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</row>
    <row r="831" spans="1:28" ht="15.8" customHeight="1">
      <c r="A831" s="6"/>
      <c r="B831" s="6"/>
      <c r="C831" s="6"/>
      <c r="D831" s="6"/>
      <c r="E831" s="6"/>
      <c r="F831" s="94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</row>
    <row r="832" spans="1:28" ht="15.8" customHeight="1">
      <c r="A832" s="6"/>
      <c r="B832" s="6"/>
      <c r="C832" s="6"/>
      <c r="D832" s="6"/>
      <c r="E832" s="6"/>
      <c r="F832" s="94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</row>
    <row r="833" spans="1:28" ht="15.8" customHeight="1">
      <c r="A833" s="6"/>
      <c r="B833" s="6"/>
      <c r="C833" s="6"/>
      <c r="D833" s="6"/>
      <c r="E833" s="6"/>
      <c r="F833" s="94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</row>
    <row r="834" spans="1:28" ht="15.8" customHeight="1">
      <c r="A834" s="6"/>
      <c r="B834" s="6"/>
      <c r="C834" s="6"/>
      <c r="D834" s="6"/>
      <c r="E834" s="6"/>
      <c r="F834" s="94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</row>
    <row r="835" spans="1:28" ht="15.8" customHeight="1">
      <c r="A835" s="6"/>
      <c r="B835" s="6"/>
      <c r="C835" s="6"/>
      <c r="D835" s="6"/>
      <c r="E835" s="6"/>
      <c r="F835" s="94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</row>
    <row r="836" spans="1:28" ht="15.8" customHeight="1">
      <c r="A836" s="6"/>
      <c r="B836" s="6"/>
      <c r="C836" s="6"/>
      <c r="D836" s="6"/>
      <c r="E836" s="6"/>
      <c r="F836" s="94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</row>
    <row r="837" spans="1:28" ht="15.8" customHeight="1">
      <c r="A837" s="6"/>
      <c r="B837" s="6"/>
      <c r="C837" s="6"/>
      <c r="D837" s="6"/>
      <c r="E837" s="6"/>
      <c r="F837" s="94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</row>
    <row r="838" spans="1:28" ht="15.8" customHeight="1">
      <c r="A838" s="6"/>
      <c r="B838" s="6"/>
      <c r="C838" s="6"/>
      <c r="D838" s="6"/>
      <c r="E838" s="6"/>
      <c r="F838" s="94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</row>
    <row r="839" spans="1:28" ht="15.8" customHeight="1">
      <c r="A839" s="6"/>
      <c r="B839" s="6"/>
      <c r="C839" s="6"/>
      <c r="D839" s="6"/>
      <c r="E839" s="6"/>
      <c r="F839" s="94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</row>
    <row r="840" spans="1:28" ht="15.8" customHeight="1">
      <c r="A840" s="6"/>
      <c r="B840" s="6"/>
      <c r="C840" s="6"/>
      <c r="D840" s="6"/>
      <c r="E840" s="6"/>
      <c r="F840" s="94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</row>
    <row r="841" spans="1:28" ht="15.8" customHeight="1">
      <c r="A841" s="6"/>
      <c r="B841" s="6"/>
      <c r="C841" s="6"/>
      <c r="D841" s="6"/>
      <c r="E841" s="6"/>
      <c r="F841" s="94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</row>
    <row r="842" spans="1:28" ht="15.8" customHeight="1">
      <c r="A842" s="6"/>
      <c r="B842" s="6"/>
      <c r="C842" s="6"/>
      <c r="D842" s="6"/>
      <c r="E842" s="6"/>
      <c r="F842" s="94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</row>
    <row r="843" spans="1:28" ht="15.8" customHeight="1">
      <c r="A843" s="6"/>
      <c r="B843" s="6"/>
      <c r="C843" s="6"/>
      <c r="D843" s="6"/>
      <c r="E843" s="6"/>
      <c r="F843" s="94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</row>
    <row r="844" spans="1:28" ht="15.8" customHeight="1">
      <c r="A844" s="6"/>
      <c r="B844" s="6"/>
      <c r="C844" s="6"/>
      <c r="D844" s="6"/>
      <c r="E844" s="6"/>
      <c r="F844" s="94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</row>
    <row r="845" spans="1:28" ht="15.8" customHeight="1">
      <c r="A845" s="6"/>
      <c r="B845" s="6"/>
      <c r="C845" s="6"/>
      <c r="D845" s="6"/>
      <c r="E845" s="6"/>
      <c r="F845" s="94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</row>
    <row r="846" spans="1:28" ht="15.8" customHeight="1">
      <c r="A846" s="6"/>
      <c r="B846" s="6"/>
      <c r="C846" s="6"/>
      <c r="D846" s="6"/>
      <c r="E846" s="6"/>
      <c r="F846" s="94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</row>
    <row r="847" spans="1:28" ht="15.8" customHeight="1">
      <c r="A847" s="6"/>
      <c r="B847" s="6"/>
      <c r="C847" s="6"/>
      <c r="D847" s="6"/>
      <c r="E847" s="6"/>
      <c r="F847" s="94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</row>
    <row r="848" spans="1:28" ht="15.8" customHeight="1">
      <c r="A848" s="6"/>
      <c r="B848" s="6"/>
      <c r="C848" s="6"/>
      <c r="D848" s="6"/>
      <c r="E848" s="6"/>
      <c r="F848" s="94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</row>
    <row r="849" spans="1:28" ht="15.8" customHeight="1">
      <c r="A849" s="6"/>
      <c r="B849" s="6"/>
      <c r="C849" s="6"/>
      <c r="D849" s="6"/>
      <c r="E849" s="6"/>
      <c r="F849" s="94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</row>
    <row r="850" spans="1:28" ht="15.8" customHeight="1">
      <c r="A850" s="6"/>
      <c r="B850" s="6"/>
      <c r="C850" s="6"/>
      <c r="D850" s="6"/>
      <c r="E850" s="6"/>
      <c r="F850" s="94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</row>
    <row r="851" spans="1:28" ht="15.8" customHeight="1">
      <c r="A851" s="6"/>
      <c r="B851" s="6"/>
      <c r="C851" s="6"/>
      <c r="D851" s="6"/>
      <c r="E851" s="6"/>
      <c r="F851" s="94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</row>
    <row r="852" spans="1:28" ht="15.8" customHeight="1">
      <c r="A852" s="6"/>
      <c r="B852" s="6"/>
      <c r="C852" s="6"/>
      <c r="D852" s="6"/>
      <c r="E852" s="6"/>
      <c r="F852" s="94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</row>
    <row r="853" spans="1:28" ht="15.8" customHeight="1">
      <c r="A853" s="6"/>
      <c r="B853" s="6"/>
      <c r="C853" s="6"/>
      <c r="D853" s="6"/>
      <c r="E853" s="6"/>
      <c r="F853" s="94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</row>
    <row r="854" spans="1:28" ht="15.8" customHeight="1">
      <c r="A854" s="6"/>
      <c r="B854" s="6"/>
      <c r="C854" s="6"/>
      <c r="D854" s="6"/>
      <c r="E854" s="6"/>
      <c r="F854" s="94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</row>
    <row r="855" spans="1:28" ht="15.8" customHeight="1">
      <c r="A855" s="6"/>
      <c r="B855" s="6"/>
      <c r="C855" s="6"/>
      <c r="D855" s="6"/>
      <c r="E855" s="6"/>
      <c r="F855" s="94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</row>
    <row r="856" spans="1:28" ht="15.8" customHeight="1">
      <c r="A856" s="6"/>
      <c r="B856" s="6"/>
      <c r="C856" s="6"/>
      <c r="D856" s="6"/>
      <c r="E856" s="6"/>
      <c r="F856" s="94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</row>
    <row r="857" spans="1:28" ht="15.8" customHeight="1">
      <c r="A857" s="6"/>
      <c r="B857" s="6"/>
      <c r="C857" s="6"/>
      <c r="D857" s="6"/>
      <c r="E857" s="6"/>
      <c r="F857" s="94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</row>
    <row r="858" spans="1:28" ht="15.8" customHeight="1">
      <c r="A858" s="6"/>
      <c r="B858" s="6"/>
      <c r="C858" s="6"/>
      <c r="D858" s="6"/>
      <c r="E858" s="6"/>
      <c r="F858" s="94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</row>
    <row r="859" spans="1:28" ht="15.8" customHeight="1">
      <c r="A859" s="6"/>
      <c r="B859" s="6"/>
      <c r="C859" s="6"/>
      <c r="D859" s="6"/>
      <c r="E859" s="6"/>
      <c r="F859" s="94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</row>
    <row r="860" spans="1:28" ht="15.8" customHeight="1">
      <c r="A860" s="6"/>
      <c r="B860" s="6"/>
      <c r="C860" s="6"/>
      <c r="D860" s="6"/>
      <c r="E860" s="6"/>
      <c r="F860" s="94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</row>
    <row r="861" spans="1:28" ht="15.8" customHeight="1">
      <c r="A861" s="6"/>
      <c r="B861" s="6"/>
      <c r="C861" s="6"/>
      <c r="D861" s="6"/>
      <c r="E861" s="6"/>
      <c r="F861" s="94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</row>
    <row r="862" spans="1:28" ht="15.8" customHeight="1">
      <c r="A862" s="6"/>
      <c r="B862" s="6"/>
      <c r="C862" s="6"/>
      <c r="D862" s="6"/>
      <c r="E862" s="6"/>
      <c r="F862" s="94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</row>
    <row r="863" spans="1:28" ht="15.8" customHeight="1">
      <c r="A863" s="6"/>
      <c r="B863" s="6"/>
      <c r="C863" s="6"/>
      <c r="D863" s="6"/>
      <c r="E863" s="6"/>
      <c r="F863" s="94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</row>
    <row r="864" spans="1:28" ht="15.8" customHeight="1">
      <c r="A864" s="6"/>
      <c r="B864" s="6"/>
      <c r="C864" s="6"/>
      <c r="D864" s="6"/>
      <c r="E864" s="6"/>
      <c r="F864" s="94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</row>
    <row r="865" spans="1:28" ht="15.8" customHeight="1">
      <c r="A865" s="6"/>
      <c r="B865" s="6"/>
      <c r="C865" s="6"/>
      <c r="D865" s="6"/>
      <c r="E865" s="6"/>
      <c r="F865" s="94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</row>
    <row r="866" spans="1:28" ht="15.8" customHeight="1">
      <c r="A866" s="6"/>
      <c r="B866" s="6"/>
      <c r="C866" s="6"/>
      <c r="D866" s="6"/>
      <c r="E866" s="6"/>
      <c r="F866" s="94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</row>
    <row r="867" spans="1:28" ht="15.8" customHeight="1">
      <c r="A867" s="6"/>
      <c r="B867" s="6"/>
      <c r="C867" s="6"/>
      <c r="D867" s="6"/>
      <c r="E867" s="6"/>
      <c r="F867" s="94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</row>
    <row r="868" spans="1:28" ht="15.8" customHeight="1">
      <c r="A868" s="6"/>
      <c r="B868" s="6"/>
      <c r="C868" s="6"/>
      <c r="D868" s="6"/>
      <c r="E868" s="6"/>
      <c r="F868" s="94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</row>
    <row r="869" spans="1:28" ht="15.8" customHeight="1">
      <c r="A869" s="6"/>
      <c r="B869" s="6"/>
      <c r="C869" s="6"/>
      <c r="D869" s="6"/>
      <c r="E869" s="6"/>
      <c r="F869" s="94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</row>
    <row r="870" spans="1:28" ht="15.8" customHeight="1">
      <c r="A870" s="6"/>
      <c r="B870" s="6"/>
      <c r="C870" s="6"/>
      <c r="D870" s="6"/>
      <c r="E870" s="6"/>
      <c r="F870" s="94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</row>
    <row r="871" spans="1:28" ht="15.8" customHeight="1">
      <c r="A871" s="6"/>
      <c r="B871" s="6"/>
      <c r="C871" s="6"/>
      <c r="D871" s="6"/>
      <c r="E871" s="6"/>
      <c r="F871" s="94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</row>
    <row r="872" spans="1:28" ht="15.8" customHeight="1">
      <c r="A872" s="6"/>
      <c r="B872" s="6"/>
      <c r="C872" s="6"/>
      <c r="D872" s="6"/>
      <c r="E872" s="6"/>
      <c r="F872" s="94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</row>
    <row r="873" spans="1:28" ht="15.8" customHeight="1">
      <c r="A873" s="6"/>
      <c r="B873" s="6"/>
      <c r="C873" s="6"/>
      <c r="D873" s="6"/>
      <c r="E873" s="6"/>
      <c r="F873" s="94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</row>
    <row r="874" spans="1:28" ht="15.8" customHeight="1">
      <c r="A874" s="6"/>
      <c r="B874" s="6"/>
      <c r="C874" s="6"/>
      <c r="D874" s="6"/>
      <c r="E874" s="6"/>
      <c r="F874" s="94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</row>
    <row r="875" spans="1:28" ht="15.8" customHeight="1">
      <c r="A875" s="6"/>
      <c r="B875" s="6"/>
      <c r="C875" s="6"/>
      <c r="D875" s="6"/>
      <c r="E875" s="6"/>
      <c r="F875" s="94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</row>
    <row r="876" spans="1:28" ht="15.8" customHeight="1">
      <c r="A876" s="6"/>
      <c r="B876" s="6"/>
      <c r="C876" s="6"/>
      <c r="D876" s="6"/>
      <c r="E876" s="6"/>
      <c r="F876" s="94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</row>
    <row r="877" spans="1:28" ht="15.8" customHeight="1">
      <c r="A877" s="6"/>
      <c r="B877" s="6"/>
      <c r="C877" s="6"/>
      <c r="D877" s="6"/>
      <c r="E877" s="6"/>
      <c r="F877" s="94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</row>
    <row r="878" spans="1:28" ht="15.8" customHeight="1">
      <c r="A878" s="6"/>
      <c r="B878" s="6"/>
      <c r="C878" s="6"/>
      <c r="D878" s="6"/>
      <c r="E878" s="6"/>
      <c r="F878" s="94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</row>
    <row r="879" spans="1:28" ht="15.8" customHeight="1">
      <c r="A879" s="6"/>
      <c r="B879" s="6"/>
      <c r="C879" s="6"/>
      <c r="D879" s="6"/>
      <c r="E879" s="6"/>
      <c r="F879" s="94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</row>
    <row r="880" spans="1:28" ht="15.8" customHeight="1">
      <c r="A880" s="6"/>
      <c r="B880" s="6"/>
      <c r="C880" s="6"/>
      <c r="D880" s="6"/>
      <c r="E880" s="6"/>
      <c r="F880" s="94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</row>
    <row r="881" spans="1:28" ht="15.8" customHeight="1">
      <c r="A881" s="6"/>
      <c r="B881" s="6"/>
      <c r="C881" s="6"/>
      <c r="D881" s="6"/>
      <c r="E881" s="6"/>
      <c r="F881" s="94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</row>
    <row r="882" spans="1:28" ht="15.8" customHeight="1">
      <c r="A882" s="6"/>
      <c r="B882" s="6"/>
      <c r="C882" s="6"/>
      <c r="D882" s="6"/>
      <c r="E882" s="6"/>
      <c r="F882" s="94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</row>
    <row r="883" spans="1:28" ht="15.8" customHeight="1">
      <c r="A883" s="6"/>
      <c r="B883" s="6"/>
      <c r="C883" s="6"/>
      <c r="D883" s="6"/>
      <c r="E883" s="6"/>
      <c r="F883" s="94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</row>
    <row r="884" spans="1:28" ht="15.8" customHeight="1">
      <c r="A884" s="6"/>
      <c r="B884" s="6"/>
      <c r="C884" s="6"/>
      <c r="D884" s="6"/>
      <c r="E884" s="6"/>
      <c r="F884" s="94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</row>
    <row r="885" spans="1:28" ht="15.8" customHeight="1">
      <c r="A885" s="6"/>
      <c r="B885" s="6"/>
      <c r="C885" s="6"/>
      <c r="D885" s="6"/>
      <c r="E885" s="6"/>
      <c r="F885" s="94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</row>
    <row r="886" spans="1:28" ht="15.8" customHeight="1">
      <c r="A886" s="6"/>
      <c r="B886" s="6"/>
      <c r="C886" s="6"/>
      <c r="D886" s="6"/>
      <c r="E886" s="6"/>
      <c r="F886" s="94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</row>
    <row r="887" spans="1:28" ht="15.8" customHeight="1">
      <c r="A887" s="6"/>
      <c r="B887" s="6"/>
      <c r="C887" s="6"/>
      <c r="D887" s="6"/>
      <c r="E887" s="6"/>
      <c r="F887" s="94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</row>
    <row r="888" spans="1:28" ht="15.8" customHeight="1">
      <c r="A888" s="6"/>
      <c r="B888" s="6"/>
      <c r="C888" s="6"/>
      <c r="D888" s="6"/>
      <c r="E888" s="6"/>
      <c r="F888" s="94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</row>
    <row r="889" spans="1:28" ht="15.8" customHeight="1">
      <c r="A889" s="6"/>
      <c r="B889" s="6"/>
      <c r="C889" s="6"/>
      <c r="D889" s="6"/>
      <c r="E889" s="6"/>
      <c r="F889" s="94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</row>
    <row r="890" spans="1:28" ht="15.8" customHeight="1">
      <c r="A890" s="6"/>
      <c r="B890" s="6"/>
      <c r="C890" s="6"/>
      <c r="D890" s="6"/>
      <c r="E890" s="6"/>
      <c r="F890" s="94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</row>
    <row r="891" spans="1:28" ht="15.8" customHeight="1">
      <c r="A891" s="6"/>
      <c r="B891" s="6"/>
      <c r="C891" s="6"/>
      <c r="D891" s="6"/>
      <c r="E891" s="6"/>
      <c r="F891" s="94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</row>
    <row r="892" spans="1:28" ht="15.8" customHeight="1">
      <c r="A892" s="6"/>
      <c r="B892" s="6"/>
      <c r="C892" s="6"/>
      <c r="D892" s="6"/>
      <c r="E892" s="6"/>
      <c r="F892" s="94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</row>
    <row r="893" spans="1:28" ht="15.8" customHeight="1">
      <c r="A893" s="6"/>
      <c r="B893" s="6"/>
      <c r="C893" s="6"/>
      <c r="D893" s="6"/>
      <c r="E893" s="6"/>
      <c r="F893" s="94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</row>
    <row r="894" spans="1:28" ht="15.8" customHeight="1">
      <c r="A894" s="6"/>
      <c r="B894" s="6"/>
      <c r="C894" s="6"/>
      <c r="D894" s="6"/>
      <c r="E894" s="6"/>
      <c r="F894" s="94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</row>
    <row r="895" spans="1:28" ht="15.8" customHeight="1">
      <c r="A895" s="6"/>
      <c r="B895" s="6"/>
      <c r="C895" s="6"/>
      <c r="D895" s="6"/>
      <c r="E895" s="6"/>
      <c r="F895" s="94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</row>
    <row r="896" spans="1:28" ht="15.8" customHeight="1">
      <c r="A896" s="6"/>
      <c r="B896" s="6"/>
      <c r="C896" s="6"/>
      <c r="D896" s="6"/>
      <c r="E896" s="6"/>
      <c r="F896" s="94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</row>
    <row r="897" spans="1:28" ht="15.8" customHeight="1">
      <c r="A897" s="6"/>
      <c r="B897" s="6"/>
      <c r="C897" s="6"/>
      <c r="D897" s="6"/>
      <c r="E897" s="6"/>
      <c r="F897" s="94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</row>
    <row r="898" spans="1:28" ht="15.8" customHeight="1">
      <c r="A898" s="6"/>
      <c r="B898" s="6"/>
      <c r="C898" s="6"/>
      <c r="D898" s="6"/>
      <c r="E898" s="6"/>
      <c r="F898" s="94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</row>
    <row r="899" spans="1:28" ht="15.8" customHeight="1">
      <c r="A899" s="6"/>
      <c r="B899" s="6"/>
      <c r="C899" s="6"/>
      <c r="D899" s="6"/>
      <c r="E899" s="6"/>
      <c r="F899" s="94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</row>
    <row r="900" spans="1:28" ht="15.8" customHeight="1">
      <c r="A900" s="6"/>
      <c r="B900" s="6"/>
      <c r="C900" s="6"/>
      <c r="D900" s="6"/>
      <c r="E900" s="6"/>
      <c r="F900" s="94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</row>
    <row r="901" spans="1:28" ht="15.8" customHeight="1">
      <c r="A901" s="6"/>
      <c r="B901" s="6"/>
      <c r="C901" s="6"/>
      <c r="D901" s="6"/>
      <c r="E901" s="6"/>
      <c r="F901" s="94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</row>
    <row r="902" spans="1:28" ht="15.8" customHeight="1">
      <c r="A902" s="6"/>
      <c r="B902" s="6"/>
      <c r="C902" s="6"/>
      <c r="D902" s="6"/>
      <c r="E902" s="6"/>
      <c r="F902" s="94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</row>
    <row r="903" spans="1:28" ht="15.8" customHeight="1">
      <c r="A903" s="6"/>
      <c r="B903" s="6"/>
      <c r="C903" s="6"/>
      <c r="D903" s="6"/>
      <c r="E903" s="6"/>
      <c r="F903" s="94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</row>
    <row r="904" spans="1:28" ht="15.8" customHeight="1">
      <c r="A904" s="6"/>
      <c r="B904" s="6"/>
      <c r="C904" s="6"/>
      <c r="D904" s="6"/>
      <c r="E904" s="6"/>
      <c r="F904" s="94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</row>
    <row r="905" spans="1:28" ht="15.8" customHeight="1">
      <c r="A905" s="6"/>
      <c r="B905" s="6"/>
      <c r="C905" s="6"/>
      <c r="D905" s="6"/>
      <c r="E905" s="6"/>
      <c r="F905" s="94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</row>
    <row r="906" spans="1:28" ht="15.8" customHeight="1">
      <c r="A906" s="6"/>
      <c r="B906" s="6"/>
      <c r="C906" s="6"/>
      <c r="D906" s="6"/>
      <c r="E906" s="6"/>
      <c r="F906" s="94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</row>
    <row r="907" spans="1:28" ht="15.8" customHeight="1">
      <c r="A907" s="6"/>
      <c r="B907" s="6"/>
      <c r="C907" s="6"/>
      <c r="D907" s="6"/>
      <c r="E907" s="6"/>
      <c r="F907" s="94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</row>
    <row r="908" spans="1:28" ht="15.8" customHeight="1">
      <c r="A908" s="6"/>
      <c r="B908" s="6"/>
      <c r="C908" s="6"/>
      <c r="D908" s="6"/>
      <c r="E908" s="6"/>
      <c r="F908" s="94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</row>
    <row r="909" spans="1:28" ht="15.8" customHeight="1">
      <c r="A909" s="6"/>
      <c r="B909" s="6"/>
      <c r="C909" s="6"/>
      <c r="D909" s="6"/>
      <c r="E909" s="6"/>
      <c r="F909" s="94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</row>
    <row r="910" spans="1:28" ht="15.8" customHeight="1">
      <c r="A910" s="6"/>
      <c r="B910" s="6"/>
      <c r="C910" s="6"/>
      <c r="D910" s="6"/>
      <c r="E910" s="6"/>
      <c r="F910" s="94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</row>
    <row r="911" spans="1:28" ht="15.8" customHeight="1">
      <c r="A911" s="6"/>
      <c r="B911" s="6"/>
      <c r="C911" s="6"/>
      <c r="D911" s="6"/>
      <c r="E911" s="6"/>
      <c r="F911" s="94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</row>
    <row r="912" spans="1:28" ht="15.8" customHeight="1">
      <c r="A912" s="6"/>
      <c r="B912" s="6"/>
      <c r="C912" s="6"/>
      <c r="D912" s="6"/>
      <c r="E912" s="6"/>
      <c r="F912" s="94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</row>
    <row r="913" spans="1:28" ht="15.8" customHeight="1">
      <c r="A913" s="6"/>
      <c r="B913" s="6"/>
      <c r="C913" s="6"/>
      <c r="D913" s="6"/>
      <c r="E913" s="6"/>
      <c r="F913" s="94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</row>
    <row r="914" spans="1:28" ht="15.8" customHeight="1">
      <c r="A914" s="6"/>
      <c r="B914" s="6"/>
      <c r="C914" s="6"/>
      <c r="D914" s="6"/>
      <c r="E914" s="6"/>
      <c r="F914" s="94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</row>
    <row r="915" spans="1:28" ht="15.8" customHeight="1">
      <c r="A915" s="6"/>
      <c r="B915" s="6"/>
      <c r="C915" s="6"/>
      <c r="D915" s="6"/>
      <c r="E915" s="6"/>
      <c r="F915" s="94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</row>
    <row r="916" spans="1:28" ht="15.8" customHeight="1">
      <c r="A916" s="6"/>
      <c r="B916" s="6"/>
      <c r="C916" s="6"/>
      <c r="D916" s="6"/>
      <c r="E916" s="6"/>
      <c r="F916" s="94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</row>
    <row r="917" spans="1:28" ht="15.8" customHeight="1">
      <c r="A917" s="6"/>
      <c r="B917" s="6"/>
      <c r="C917" s="6"/>
      <c r="D917" s="6"/>
      <c r="E917" s="6"/>
      <c r="F917" s="94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</row>
    <row r="918" spans="1:28" ht="15.8" customHeight="1">
      <c r="A918" s="6"/>
      <c r="B918" s="6"/>
      <c r="C918" s="6"/>
      <c r="D918" s="6"/>
      <c r="E918" s="6"/>
      <c r="F918" s="94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</row>
    <row r="919" spans="1:28" ht="15.8" customHeight="1">
      <c r="A919" s="6"/>
      <c r="B919" s="6"/>
      <c r="C919" s="6"/>
      <c r="D919" s="6"/>
      <c r="E919" s="6"/>
      <c r="F919" s="94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</row>
    <row r="920" spans="1:28" ht="15.8" customHeight="1">
      <c r="A920" s="6"/>
      <c r="B920" s="6"/>
      <c r="C920" s="6"/>
      <c r="D920" s="6"/>
      <c r="E920" s="6"/>
      <c r="F920" s="94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</row>
    <row r="921" spans="1:28" ht="15.8" customHeight="1">
      <c r="A921" s="6"/>
      <c r="B921" s="6"/>
      <c r="C921" s="6"/>
      <c r="D921" s="6"/>
      <c r="E921" s="6"/>
      <c r="F921" s="94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</row>
    <row r="922" spans="1:28" ht="15.8" customHeight="1">
      <c r="A922" s="6"/>
      <c r="B922" s="6"/>
      <c r="C922" s="6"/>
      <c r="D922" s="6"/>
      <c r="E922" s="6"/>
      <c r="F922" s="94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</row>
    <row r="923" spans="1:28" ht="15.8" customHeight="1">
      <c r="A923" s="6"/>
      <c r="B923" s="6"/>
      <c r="C923" s="6"/>
      <c r="D923" s="6"/>
      <c r="E923" s="6"/>
      <c r="F923" s="94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</row>
    <row r="924" spans="1:28" ht="15.8" customHeight="1">
      <c r="A924" s="6"/>
      <c r="B924" s="6"/>
      <c r="C924" s="6"/>
      <c r="D924" s="6"/>
      <c r="E924" s="6"/>
      <c r="F924" s="94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</row>
    <row r="925" spans="1:28" ht="14.3" customHeight="1">
      <c r="A925" s="8"/>
      <c r="B925" s="8"/>
      <c r="C925" s="8"/>
      <c r="D925" s="8"/>
      <c r="E925" s="8"/>
      <c r="F925" s="173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 spans="1:28" ht="14.3" customHeight="1">
      <c r="A926" s="8"/>
      <c r="B926" s="8"/>
      <c r="C926" s="8"/>
      <c r="D926" s="8"/>
      <c r="E926" s="8"/>
      <c r="F926" s="173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 spans="1:28" ht="14.3" customHeight="1">
      <c r="A927" s="8"/>
      <c r="B927" s="8"/>
      <c r="C927" s="8"/>
      <c r="D927" s="8"/>
      <c r="E927" s="8"/>
      <c r="F927" s="173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 spans="1:28" ht="14.3" customHeight="1">
      <c r="A928" s="8"/>
      <c r="B928" s="8"/>
      <c r="C928" s="8"/>
      <c r="D928" s="8"/>
      <c r="E928" s="8"/>
      <c r="F928" s="173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 spans="1:28" ht="14.3" customHeight="1">
      <c r="A929" s="8"/>
      <c r="B929" s="8"/>
      <c r="C929" s="8"/>
      <c r="D929" s="8"/>
      <c r="E929" s="8"/>
      <c r="F929" s="173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 spans="1:28" ht="14.3" customHeight="1">
      <c r="A930" s="8"/>
      <c r="B930" s="8"/>
      <c r="C930" s="8"/>
      <c r="D930" s="8"/>
      <c r="E930" s="8"/>
      <c r="F930" s="173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 spans="1:28" ht="14.3" customHeight="1">
      <c r="A931" s="8"/>
      <c r="B931" s="8"/>
      <c r="C931" s="8"/>
      <c r="D931" s="8"/>
      <c r="E931" s="8"/>
      <c r="F931" s="173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 spans="1:28" ht="14.3" customHeight="1">
      <c r="A932" s="8"/>
      <c r="B932" s="8"/>
      <c r="C932" s="8"/>
      <c r="D932" s="8"/>
      <c r="E932" s="8"/>
      <c r="F932" s="173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 spans="1:28" ht="14.3" customHeight="1">
      <c r="A933" s="8"/>
      <c r="B933" s="8"/>
      <c r="C933" s="8"/>
      <c r="D933" s="8"/>
      <c r="E933" s="8"/>
      <c r="F933" s="173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 spans="1:28" ht="14.3" customHeight="1">
      <c r="A934" s="8"/>
      <c r="B934" s="8"/>
      <c r="C934" s="8"/>
      <c r="D934" s="8"/>
      <c r="E934" s="8"/>
      <c r="F934" s="173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 spans="1:28" ht="14.3" customHeight="1">
      <c r="A935" s="8"/>
      <c r="B935" s="8"/>
      <c r="C935" s="8"/>
      <c r="D935" s="8"/>
      <c r="E935" s="8"/>
      <c r="F935" s="173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 spans="1:28" ht="14.3" customHeight="1">
      <c r="A936" s="8"/>
      <c r="B936" s="8"/>
      <c r="C936" s="8"/>
      <c r="D936" s="8"/>
      <c r="E936" s="8"/>
      <c r="F936" s="173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 spans="1:28" ht="14.3" customHeight="1">
      <c r="A937" s="8"/>
      <c r="B937" s="8"/>
      <c r="C937" s="8"/>
      <c r="D937" s="8"/>
      <c r="E937" s="8"/>
      <c r="F937" s="173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 spans="1:28" ht="14.3" customHeight="1">
      <c r="A938" s="8"/>
      <c r="B938" s="8"/>
      <c r="C938" s="8"/>
      <c r="D938" s="8"/>
      <c r="E938" s="8"/>
      <c r="F938" s="173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 spans="1:28" ht="14.3" customHeight="1">
      <c r="A939" s="8"/>
      <c r="B939" s="8"/>
      <c r="C939" s="8"/>
      <c r="D939" s="8"/>
      <c r="E939" s="8"/>
      <c r="F939" s="173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 spans="1:28" ht="14.3" customHeight="1">
      <c r="A940" s="8"/>
      <c r="B940" s="8"/>
      <c r="C940" s="8"/>
      <c r="D940" s="8"/>
      <c r="E940" s="8"/>
      <c r="F940" s="173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 spans="1:28" ht="14.3" customHeight="1">
      <c r="A941" s="8"/>
      <c r="B941" s="8"/>
      <c r="C941" s="8"/>
      <c r="D941" s="8"/>
      <c r="E941" s="8"/>
      <c r="F941" s="173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 spans="1:28" ht="14.3" customHeight="1">
      <c r="A942" s="8"/>
      <c r="B942" s="8"/>
      <c r="C942" s="8"/>
      <c r="D942" s="8"/>
      <c r="E942" s="8"/>
      <c r="F942" s="173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 spans="1:28" ht="14.3" customHeight="1">
      <c r="A943" s="8"/>
      <c r="B943" s="8"/>
      <c r="C943" s="8"/>
      <c r="D943" s="8"/>
      <c r="E943" s="8"/>
      <c r="F943" s="173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 spans="1:28" ht="14.3" customHeight="1">
      <c r="A944" s="8"/>
      <c r="B944" s="8"/>
      <c r="C944" s="8"/>
      <c r="D944" s="8"/>
      <c r="E944" s="8"/>
      <c r="F944" s="173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 spans="1:28" ht="14.3" customHeight="1">
      <c r="A945" s="8"/>
      <c r="B945" s="8"/>
      <c r="C945" s="8"/>
      <c r="D945" s="8"/>
      <c r="E945" s="8"/>
      <c r="F945" s="173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 spans="1:28" ht="14.3" customHeight="1">
      <c r="A946" s="8"/>
      <c r="B946" s="8"/>
      <c r="C946" s="8"/>
      <c r="D946" s="8"/>
      <c r="E946" s="8"/>
      <c r="F946" s="173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 spans="1:28" ht="14.3" customHeight="1">
      <c r="A947" s="8"/>
      <c r="B947" s="8"/>
      <c r="C947" s="8"/>
      <c r="D947" s="8"/>
      <c r="E947" s="8"/>
      <c r="F947" s="173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 spans="1:28" ht="14.3" customHeight="1">
      <c r="A948" s="8"/>
      <c r="B948" s="8"/>
      <c r="C948" s="8"/>
      <c r="D948" s="8"/>
      <c r="E948" s="8"/>
      <c r="F948" s="173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 spans="1:28" ht="14.3" customHeight="1">
      <c r="A949" s="8"/>
      <c r="B949" s="8"/>
      <c r="C949" s="8"/>
      <c r="D949" s="8"/>
      <c r="E949" s="8"/>
      <c r="F949" s="173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 spans="1:28" ht="14.3" customHeight="1">
      <c r="A950" s="8"/>
      <c r="B950" s="8"/>
      <c r="C950" s="8"/>
      <c r="D950" s="8"/>
      <c r="E950" s="8"/>
      <c r="F950" s="173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 spans="1:28" ht="14.3" customHeight="1">
      <c r="A951" s="8"/>
      <c r="B951" s="8"/>
      <c r="C951" s="8"/>
      <c r="D951" s="8"/>
      <c r="E951" s="8"/>
      <c r="F951" s="173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 spans="1:28" ht="14.3" customHeight="1">
      <c r="A952" s="8"/>
      <c r="B952" s="8"/>
      <c r="C952" s="8"/>
      <c r="D952" s="8"/>
      <c r="E952" s="8"/>
      <c r="F952" s="173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 spans="1:28" ht="14.3" customHeight="1">
      <c r="A953" s="8"/>
      <c r="B953" s="8"/>
      <c r="C953" s="8"/>
      <c r="D953" s="8"/>
      <c r="E953" s="8"/>
      <c r="F953" s="173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 spans="1:28" ht="14.3" customHeight="1">
      <c r="A954" s="8"/>
      <c r="B954" s="8"/>
      <c r="C954" s="8"/>
      <c r="D954" s="8"/>
      <c r="E954" s="8"/>
      <c r="F954" s="173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 spans="1:28" ht="14.3" customHeight="1">
      <c r="A955" s="8"/>
      <c r="B955" s="8"/>
      <c r="C955" s="8"/>
      <c r="D955" s="8"/>
      <c r="E955" s="8"/>
      <c r="F955" s="173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 spans="1:28" ht="14.3" customHeight="1">
      <c r="A956" s="8"/>
      <c r="B956" s="8"/>
      <c r="C956" s="8"/>
      <c r="D956" s="8"/>
      <c r="E956" s="8"/>
      <c r="F956" s="173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 spans="1:28" ht="14.3" customHeight="1">
      <c r="A957" s="8"/>
      <c r="B957" s="8"/>
      <c r="C957" s="8"/>
      <c r="D957" s="8"/>
      <c r="E957" s="8"/>
      <c r="F957" s="173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 spans="1:28" ht="14.3" customHeight="1">
      <c r="A958" s="8"/>
      <c r="B958" s="8"/>
      <c r="C958" s="8"/>
      <c r="D958" s="8"/>
      <c r="E958" s="8"/>
      <c r="F958" s="173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 spans="1:28" ht="14.3" customHeight="1">
      <c r="A959" s="8"/>
      <c r="B959" s="8"/>
      <c r="C959" s="8"/>
      <c r="D959" s="8"/>
      <c r="E959" s="8"/>
      <c r="F959" s="173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 spans="1:28" ht="14.3" customHeight="1">
      <c r="A960" s="8"/>
      <c r="B960" s="8"/>
      <c r="C960" s="8"/>
      <c r="D960" s="8"/>
      <c r="E960" s="8"/>
      <c r="F960" s="173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 spans="1:28" ht="14.3" customHeight="1">
      <c r="A961" s="8"/>
      <c r="B961" s="8"/>
      <c r="C961" s="8"/>
      <c r="D961" s="8"/>
      <c r="E961" s="8"/>
      <c r="F961" s="173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 spans="1:28" ht="14.3" customHeight="1">
      <c r="A962" s="8"/>
      <c r="B962" s="8"/>
      <c r="C962" s="8"/>
      <c r="D962" s="8"/>
      <c r="E962" s="8"/>
      <c r="F962" s="173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 spans="1:28" ht="14.3" customHeight="1">
      <c r="A963" s="8"/>
      <c r="B963" s="8"/>
      <c r="C963" s="8"/>
      <c r="D963" s="8"/>
      <c r="E963" s="8"/>
      <c r="F963" s="173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 spans="1:28" ht="14.3" customHeight="1">
      <c r="A964" s="8"/>
      <c r="B964" s="8"/>
      <c r="C964" s="8"/>
      <c r="D964" s="8"/>
      <c r="E964" s="8"/>
      <c r="F964" s="173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 spans="1:28" ht="14.3" customHeight="1">
      <c r="A965" s="8"/>
      <c r="B965" s="8"/>
      <c r="C965" s="8"/>
      <c r="D965" s="8"/>
      <c r="E965" s="8"/>
      <c r="F965" s="173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 spans="1:28" ht="14.3" customHeight="1">
      <c r="A966" s="8"/>
      <c r="B966" s="8"/>
      <c r="C966" s="8"/>
      <c r="D966" s="8"/>
      <c r="E966" s="8"/>
      <c r="F966" s="173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 spans="1:28" ht="14.3" customHeight="1">
      <c r="A967" s="8"/>
      <c r="B967" s="8"/>
      <c r="C967" s="8"/>
      <c r="D967" s="8"/>
      <c r="E967" s="8"/>
      <c r="F967" s="173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 spans="1:28" ht="14.3" customHeight="1">
      <c r="A968" s="8"/>
      <c r="B968" s="8"/>
      <c r="C968" s="8"/>
      <c r="D968" s="8"/>
      <c r="E968" s="8"/>
      <c r="F968" s="173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 spans="1:28" ht="14.3" customHeight="1">
      <c r="A969" s="8"/>
      <c r="B969" s="8"/>
      <c r="C969" s="8"/>
      <c r="D969" s="8"/>
      <c r="E969" s="8"/>
      <c r="F969" s="173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 spans="1:28" ht="14.3" customHeight="1">
      <c r="A970" s="8"/>
      <c r="B970" s="8"/>
      <c r="C970" s="8"/>
      <c r="D970" s="8"/>
      <c r="E970" s="8"/>
      <c r="F970" s="173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 spans="1:28" ht="14.3" customHeight="1">
      <c r="A971" s="8"/>
      <c r="B971" s="8"/>
      <c r="C971" s="8"/>
      <c r="D971" s="8"/>
      <c r="E971" s="8"/>
      <c r="F971" s="173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 spans="1:28" ht="14.3" customHeight="1">
      <c r="A972" s="8"/>
      <c r="B972" s="8"/>
      <c r="C972" s="8"/>
      <c r="D972" s="8"/>
      <c r="E972" s="8"/>
      <c r="F972" s="173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 spans="1:28" ht="14.3" customHeight="1">
      <c r="A973" s="8"/>
      <c r="B973" s="8"/>
      <c r="C973" s="8"/>
      <c r="D973" s="8"/>
      <c r="E973" s="8"/>
      <c r="F973" s="173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 spans="1:28" ht="14.3" customHeight="1">
      <c r="A974" s="8"/>
      <c r="B974" s="8"/>
      <c r="C974" s="8"/>
      <c r="D974" s="8"/>
      <c r="E974" s="8"/>
      <c r="F974" s="173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 spans="1:28" ht="14.3" customHeight="1">
      <c r="A975" s="8"/>
      <c r="B975" s="8"/>
      <c r="C975" s="8"/>
      <c r="D975" s="8"/>
      <c r="E975" s="8"/>
      <c r="F975" s="173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 spans="1:28" ht="14.3" customHeight="1">
      <c r="A976" s="8"/>
      <c r="B976" s="8"/>
      <c r="C976" s="8"/>
      <c r="D976" s="8"/>
      <c r="E976" s="8"/>
      <c r="F976" s="173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 spans="1:28" ht="14.3" customHeight="1">
      <c r="A977" s="8"/>
      <c r="B977" s="8"/>
      <c r="C977" s="8"/>
      <c r="D977" s="8"/>
      <c r="E977" s="8"/>
      <c r="F977" s="173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 spans="1:28" ht="14.3" customHeight="1">
      <c r="A978" s="8"/>
      <c r="B978" s="8"/>
      <c r="C978" s="8"/>
      <c r="D978" s="8"/>
      <c r="E978" s="8"/>
      <c r="F978" s="173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 spans="1:28" ht="14.3" customHeight="1">
      <c r="A979" s="8"/>
      <c r="B979" s="8"/>
      <c r="C979" s="8"/>
      <c r="D979" s="8"/>
      <c r="E979" s="8"/>
      <c r="F979" s="173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 spans="1:28" ht="14.3" customHeight="1">
      <c r="A980" s="8"/>
      <c r="B980" s="8"/>
      <c r="C980" s="8"/>
      <c r="D980" s="8"/>
      <c r="E980" s="8"/>
      <c r="F980" s="173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 spans="1:28" ht="14.3" customHeight="1">
      <c r="A981" s="8"/>
      <c r="B981" s="8"/>
      <c r="C981" s="8"/>
      <c r="D981" s="8"/>
      <c r="E981" s="8"/>
      <c r="F981" s="173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 spans="1:28" ht="14.3" customHeight="1">
      <c r="A982" s="8"/>
      <c r="B982" s="8"/>
      <c r="C982" s="8"/>
      <c r="D982" s="8"/>
      <c r="E982" s="8"/>
      <c r="F982" s="173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 spans="1:28" ht="14.3" customHeight="1">
      <c r="A983" s="8"/>
      <c r="B983" s="8"/>
      <c r="C983" s="8"/>
      <c r="D983" s="8"/>
      <c r="E983" s="8"/>
      <c r="F983" s="173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 spans="1:28" ht="14.3" customHeight="1">
      <c r="A984" s="8"/>
      <c r="B984" s="8"/>
      <c r="C984" s="8"/>
      <c r="D984" s="8"/>
      <c r="E984" s="8"/>
      <c r="F984" s="173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 spans="1:28" ht="14.3" customHeight="1">
      <c r="A985" s="8"/>
      <c r="B985" s="8"/>
      <c r="C985" s="8"/>
      <c r="D985" s="8"/>
      <c r="E985" s="8"/>
      <c r="F985" s="173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 spans="1:28" ht="14.3" customHeight="1">
      <c r="A986" s="8"/>
      <c r="B986" s="8"/>
      <c r="C986" s="8"/>
      <c r="D986" s="8"/>
      <c r="E986" s="8"/>
      <c r="F986" s="173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 spans="1:28" ht="14.3" customHeight="1">
      <c r="A987" s="8"/>
      <c r="B987" s="8"/>
      <c r="C987" s="8"/>
      <c r="D987" s="8"/>
      <c r="E987" s="8"/>
      <c r="F987" s="173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 spans="1:28" ht="14.3" customHeight="1">
      <c r="A988" s="8"/>
      <c r="B988" s="8"/>
      <c r="C988" s="8"/>
      <c r="D988" s="8"/>
      <c r="E988" s="8"/>
      <c r="F988" s="173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 spans="1:28" ht="14.3" customHeight="1">
      <c r="A989" s="8"/>
      <c r="B989" s="8"/>
      <c r="C989" s="8"/>
      <c r="D989" s="8"/>
      <c r="E989" s="8"/>
      <c r="F989" s="173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 spans="1:28" ht="14.3" customHeight="1">
      <c r="A990" s="8"/>
      <c r="B990" s="8"/>
      <c r="C990" s="8"/>
      <c r="D990" s="8"/>
      <c r="E990" s="8"/>
      <c r="F990" s="173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 spans="1:28" ht="14.3" customHeight="1">
      <c r="A991" s="8"/>
      <c r="B991" s="8"/>
      <c r="C991" s="8"/>
      <c r="D991" s="8"/>
      <c r="E991" s="8"/>
      <c r="F991" s="173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 spans="1:28" ht="14.3" customHeight="1">
      <c r="A992" s="8"/>
      <c r="B992" s="8"/>
      <c r="C992" s="8"/>
      <c r="D992" s="8"/>
      <c r="E992" s="8"/>
      <c r="F992" s="173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 spans="1:28" ht="14.3" customHeight="1">
      <c r="A993" s="8"/>
      <c r="B993" s="8"/>
      <c r="C993" s="8"/>
      <c r="D993" s="8"/>
      <c r="E993" s="8"/>
      <c r="F993" s="173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 spans="1:28" ht="14.3" customHeight="1">
      <c r="A994" s="8"/>
      <c r="B994" s="8"/>
      <c r="C994" s="8"/>
      <c r="D994" s="8"/>
      <c r="E994" s="8"/>
      <c r="F994" s="173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 spans="1:28" ht="14.3" customHeight="1">
      <c r="A995" s="8"/>
      <c r="B995" s="8"/>
      <c r="C995" s="8"/>
      <c r="D995" s="8"/>
      <c r="E995" s="8"/>
      <c r="F995" s="173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 spans="1:28" ht="14.3" customHeight="1">
      <c r="A996" s="8"/>
      <c r="B996" s="8"/>
      <c r="C996" s="8"/>
      <c r="D996" s="8"/>
      <c r="E996" s="8"/>
      <c r="F996" s="173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</sheetData>
  <mergeCells count="86">
    <mergeCell ref="A189:B189"/>
    <mergeCell ref="C189:E190"/>
    <mergeCell ref="F189:F190"/>
    <mergeCell ref="G189:M189"/>
    <mergeCell ref="N189:N190"/>
    <mergeCell ref="C131:E132"/>
    <mergeCell ref="F131:F132"/>
    <mergeCell ref="N131:N132"/>
    <mergeCell ref="A131:B131"/>
    <mergeCell ref="G131:M131"/>
    <mergeCell ref="B6:M6"/>
    <mergeCell ref="A8:N8"/>
    <mergeCell ref="A73:B73"/>
    <mergeCell ref="C73:E74"/>
    <mergeCell ref="F73:F74"/>
    <mergeCell ref="G73:M73"/>
    <mergeCell ref="N73:N74"/>
    <mergeCell ref="B1:M1"/>
    <mergeCell ref="B2:M2"/>
    <mergeCell ref="B3:M3"/>
    <mergeCell ref="B4:M4"/>
    <mergeCell ref="B5:M5"/>
    <mergeCell ref="W26:W27"/>
    <mergeCell ref="C13:E14"/>
    <mergeCell ref="F13:F14"/>
    <mergeCell ref="N13:N14"/>
    <mergeCell ref="R19:R20"/>
    <mergeCell ref="S19:S20"/>
    <mergeCell ref="T19:T20"/>
    <mergeCell ref="U19:U20"/>
    <mergeCell ref="R26:R27"/>
    <mergeCell ref="S26:S27"/>
    <mergeCell ref="T26:T27"/>
    <mergeCell ref="U26:U27"/>
    <mergeCell ref="V26:V27"/>
    <mergeCell ref="W12:W13"/>
    <mergeCell ref="A13:B13"/>
    <mergeCell ref="G13:M13"/>
    <mergeCell ref="V19:V20"/>
    <mergeCell ref="W19:W20"/>
    <mergeCell ref="R12:R13"/>
    <mergeCell ref="S12:S13"/>
    <mergeCell ref="T12:T13"/>
    <mergeCell ref="U12:U13"/>
    <mergeCell ref="V12:V13"/>
    <mergeCell ref="G668:M668"/>
    <mergeCell ref="N668:N669"/>
    <mergeCell ref="A549:B549"/>
    <mergeCell ref="A608:B608"/>
    <mergeCell ref="C608:E609"/>
    <mergeCell ref="F608:F609"/>
    <mergeCell ref="G608:M608"/>
    <mergeCell ref="N608:N609"/>
    <mergeCell ref="A668:B668"/>
    <mergeCell ref="C668:E669"/>
    <mergeCell ref="F668:F669"/>
    <mergeCell ref="C536:E536"/>
    <mergeCell ref="C549:E550"/>
    <mergeCell ref="F549:F550"/>
    <mergeCell ref="G549:M549"/>
    <mergeCell ref="N549:N550"/>
    <mergeCell ref="C489:E490"/>
    <mergeCell ref="F489:F490"/>
    <mergeCell ref="N489:N490"/>
    <mergeCell ref="A489:B489"/>
    <mergeCell ref="G489:M489"/>
    <mergeCell ref="A428:B428"/>
    <mergeCell ref="C428:E429"/>
    <mergeCell ref="F428:F429"/>
    <mergeCell ref="G428:M428"/>
    <mergeCell ref="N428:N429"/>
    <mergeCell ref="A367:B367"/>
    <mergeCell ref="C367:E368"/>
    <mergeCell ref="F367:F368"/>
    <mergeCell ref="G367:M367"/>
    <mergeCell ref="N367:N368"/>
    <mergeCell ref="C308:E309"/>
    <mergeCell ref="F308:F309"/>
    <mergeCell ref="N308:N309"/>
    <mergeCell ref="A308:B308"/>
    <mergeCell ref="G308:M308"/>
    <mergeCell ref="A247:B247"/>
    <mergeCell ref="C247:E248"/>
    <mergeCell ref="F247:F248"/>
    <mergeCell ref="G247:M247"/>
    <mergeCell ref="N247:N248"/>
  </mergeCells>
  <pageMargins left="0.7" right="0.7" top="0.75" bottom="0.75" header="0" footer="0"/>
  <pageSetup paperSize="10000" scale="1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C995"/>
  <sheetViews>
    <sheetView zoomScale="85" zoomScaleNormal="85" workbookViewId="0">
      <pane ySplit="10" topLeftCell="A542" activePane="bottomLeft" state="frozen"/>
      <selection pane="bottomLeft" activeCell="E558" sqref="E558"/>
    </sheetView>
  </sheetViews>
  <sheetFormatPr defaultColWidth="14.375" defaultRowHeight="14.95" customHeight="1"/>
  <cols>
    <col min="1" max="1" width="5.375" customWidth="1"/>
    <col min="2" max="2" width="15.375" customWidth="1"/>
    <col min="3" max="3" width="11" customWidth="1"/>
    <col min="4" max="4" width="1.375" customWidth="1"/>
    <col min="5" max="5" width="39.625" customWidth="1"/>
    <col min="6" max="6" width="4.375" customWidth="1"/>
    <col min="7" max="13" width="4.625" customWidth="1"/>
    <col min="14" max="14" width="5.125" customWidth="1"/>
    <col min="15" max="15" width="8.625" customWidth="1"/>
    <col min="16" max="16" width="9.625" customWidth="1"/>
    <col min="17" max="17" width="12.375" customWidth="1"/>
    <col min="18" max="18" width="6" customWidth="1"/>
    <col min="19" max="19" width="9.625" customWidth="1"/>
    <col min="20" max="20" width="8.625" customWidth="1"/>
    <col min="21" max="21" width="17.375" customWidth="1"/>
    <col min="22" max="26" width="8.625" customWidth="1"/>
    <col min="27" max="29" width="14.375" customWidth="1"/>
  </cols>
  <sheetData>
    <row r="1" spans="1:29" ht="14.3" customHeight="1">
      <c r="A1" s="4"/>
      <c r="B1" s="189" t="s">
        <v>29</v>
      </c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1"/>
      <c r="N1" s="4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8"/>
      <c r="AB1" s="8"/>
      <c r="AC1" s="8"/>
    </row>
    <row r="2" spans="1:29" ht="14.3" customHeight="1">
      <c r="A2" s="4"/>
      <c r="B2" s="189" t="s">
        <v>35</v>
      </c>
      <c r="C2" s="190"/>
      <c r="D2" s="190"/>
      <c r="E2" s="190"/>
      <c r="F2" s="190"/>
      <c r="G2" s="190"/>
      <c r="H2" s="190"/>
      <c r="I2" s="190"/>
      <c r="J2" s="190"/>
      <c r="K2" s="190"/>
      <c r="L2" s="190"/>
      <c r="M2" s="191"/>
      <c r="N2" s="4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8"/>
      <c r="AB2" s="8"/>
      <c r="AC2" s="8"/>
    </row>
    <row r="3" spans="1:29" ht="14.3" customHeight="1">
      <c r="A3" s="4"/>
      <c r="B3" s="189" t="s">
        <v>36</v>
      </c>
      <c r="C3" s="190"/>
      <c r="D3" s="190"/>
      <c r="E3" s="190"/>
      <c r="F3" s="190"/>
      <c r="G3" s="190"/>
      <c r="H3" s="190"/>
      <c r="I3" s="190"/>
      <c r="J3" s="190"/>
      <c r="K3" s="190"/>
      <c r="L3" s="190"/>
      <c r="M3" s="191"/>
      <c r="N3" s="4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8"/>
      <c r="AB3" s="8"/>
      <c r="AC3" s="8"/>
    </row>
    <row r="4" spans="1:29" ht="26.35" customHeight="1">
      <c r="A4" s="4"/>
      <c r="B4" s="192" t="s">
        <v>37</v>
      </c>
      <c r="C4" s="190"/>
      <c r="D4" s="190"/>
      <c r="E4" s="190"/>
      <c r="F4" s="190"/>
      <c r="G4" s="190"/>
      <c r="H4" s="190"/>
      <c r="I4" s="190"/>
      <c r="J4" s="190"/>
      <c r="K4" s="190"/>
      <c r="L4" s="190"/>
      <c r="M4" s="191"/>
      <c r="N4" s="4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8"/>
      <c r="AB4" s="8"/>
      <c r="AC4" s="8"/>
    </row>
    <row r="5" spans="1:29" ht="14.3" customHeight="1">
      <c r="A5" s="4"/>
      <c r="B5" s="193" t="s">
        <v>38</v>
      </c>
      <c r="C5" s="190"/>
      <c r="D5" s="190"/>
      <c r="E5" s="190"/>
      <c r="F5" s="190"/>
      <c r="G5" s="190"/>
      <c r="H5" s="190"/>
      <c r="I5" s="190"/>
      <c r="J5" s="190"/>
      <c r="K5" s="190"/>
      <c r="L5" s="190"/>
      <c r="M5" s="191"/>
      <c r="N5" s="4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8"/>
      <c r="AB5" s="8"/>
      <c r="AC5" s="8"/>
    </row>
    <row r="6" spans="1:29" ht="14.3" customHeight="1">
      <c r="A6" s="11"/>
      <c r="B6" s="194" t="s">
        <v>46</v>
      </c>
      <c r="C6" s="195"/>
      <c r="D6" s="195"/>
      <c r="E6" s="195"/>
      <c r="F6" s="195"/>
      <c r="G6" s="195"/>
      <c r="H6" s="195"/>
      <c r="I6" s="195"/>
      <c r="J6" s="195"/>
      <c r="K6" s="195"/>
      <c r="L6" s="195"/>
      <c r="M6" s="196"/>
      <c r="N6" s="11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8"/>
      <c r="AB6" s="8"/>
      <c r="AC6" s="8"/>
    </row>
    <row r="7" spans="1:29" ht="14.3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8"/>
      <c r="AB7" s="8"/>
      <c r="AC7" s="8"/>
    </row>
    <row r="8" spans="1:29" ht="19.55" customHeight="1">
      <c r="A8" s="197" t="s">
        <v>69</v>
      </c>
      <c r="B8" s="190"/>
      <c r="C8" s="190"/>
      <c r="D8" s="190"/>
      <c r="E8" s="190"/>
      <c r="F8" s="190"/>
      <c r="G8" s="190"/>
      <c r="H8" s="190"/>
      <c r="I8" s="190"/>
      <c r="J8" s="190"/>
      <c r="K8" s="190"/>
      <c r="L8" s="190"/>
      <c r="M8" s="190"/>
      <c r="N8" s="191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8"/>
      <c r="AB8" s="8"/>
      <c r="AC8" s="8"/>
    </row>
    <row r="9" spans="1:29" ht="9" customHeight="1">
      <c r="A9" s="14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4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8"/>
      <c r="AB9" s="8"/>
      <c r="AC9" s="8"/>
    </row>
    <row r="10" spans="1:29" ht="19.55" customHeight="1">
      <c r="A10" s="16" t="s">
        <v>76</v>
      </c>
      <c r="B10" s="16"/>
      <c r="C10" s="4" t="s">
        <v>77</v>
      </c>
      <c r="D10" s="16"/>
      <c r="E10" s="17"/>
      <c r="F10" s="18"/>
      <c r="G10" s="17"/>
      <c r="H10" s="19" t="s">
        <v>78</v>
      </c>
      <c r="I10" s="17"/>
      <c r="J10" s="17"/>
      <c r="K10" s="17"/>
      <c r="L10" s="17"/>
      <c r="M10" s="20"/>
      <c r="N10" s="20"/>
      <c r="O10" s="6"/>
      <c r="P10" s="21"/>
      <c r="Q10" s="21"/>
      <c r="R10" s="21"/>
      <c r="S10" s="21"/>
      <c r="T10" s="21"/>
      <c r="U10" s="21"/>
      <c r="V10" s="6"/>
      <c r="W10" s="6"/>
      <c r="X10" s="6"/>
      <c r="Y10" s="6"/>
      <c r="Z10" s="6"/>
      <c r="AA10" s="8"/>
      <c r="AB10" s="8"/>
      <c r="AC10" s="8"/>
    </row>
    <row r="11" spans="1:29" ht="19.55" customHeight="1">
      <c r="A11" s="16" t="s">
        <v>79</v>
      </c>
      <c r="B11" s="16"/>
      <c r="C11" s="4" t="s">
        <v>80</v>
      </c>
      <c r="D11" s="16"/>
      <c r="E11" s="22"/>
      <c r="F11" s="23"/>
      <c r="G11" s="17"/>
      <c r="H11" s="19" t="s">
        <v>82</v>
      </c>
      <c r="I11" s="17"/>
      <c r="J11" s="17"/>
      <c r="K11" s="17"/>
      <c r="L11" s="17"/>
      <c r="M11" s="20"/>
      <c r="N11" s="20"/>
      <c r="O11" s="6"/>
      <c r="P11" s="21"/>
      <c r="Q11" s="21"/>
      <c r="R11" s="21"/>
      <c r="S11" s="21"/>
      <c r="T11" s="21"/>
      <c r="U11" s="21"/>
      <c r="V11" s="6"/>
      <c r="W11" s="6"/>
      <c r="X11" s="6"/>
      <c r="Y11" s="6"/>
      <c r="Z11" s="6"/>
      <c r="AA11" s="8"/>
      <c r="AB11" s="8"/>
      <c r="AC11" s="8"/>
    </row>
    <row r="12" spans="1:29" ht="9" customHeight="1">
      <c r="A12" s="20"/>
      <c r="B12" s="24"/>
      <c r="C12" s="24"/>
      <c r="D12" s="24"/>
      <c r="E12" s="25"/>
      <c r="F12" s="14"/>
      <c r="G12" s="20"/>
      <c r="H12" s="26"/>
      <c r="I12" s="27"/>
      <c r="J12" s="27"/>
      <c r="K12" s="27"/>
      <c r="L12" s="27"/>
      <c r="M12" s="27"/>
      <c r="N12" s="27"/>
      <c r="O12" s="6"/>
      <c r="P12" s="203"/>
      <c r="Q12" s="203"/>
      <c r="R12" s="203"/>
      <c r="S12" s="203"/>
      <c r="T12" s="203"/>
      <c r="U12" s="205"/>
      <c r="V12" s="6"/>
      <c r="W12" s="6"/>
      <c r="X12" s="6"/>
      <c r="Y12" s="6"/>
      <c r="Z12" s="6"/>
      <c r="AA12" s="8"/>
      <c r="AB12" s="8"/>
      <c r="AC12" s="8"/>
    </row>
    <row r="13" spans="1:29" ht="14.3" customHeight="1">
      <c r="A13" s="176" t="s">
        <v>84</v>
      </c>
      <c r="B13" s="177"/>
      <c r="C13" s="178" t="s">
        <v>85</v>
      </c>
      <c r="D13" s="179"/>
      <c r="E13" s="180"/>
      <c r="F13" s="184" t="s">
        <v>86</v>
      </c>
      <c r="G13" s="176" t="s">
        <v>87</v>
      </c>
      <c r="H13" s="186"/>
      <c r="I13" s="186"/>
      <c r="J13" s="186"/>
      <c r="K13" s="186"/>
      <c r="L13" s="186"/>
      <c r="M13" s="177"/>
      <c r="N13" s="184" t="s">
        <v>88</v>
      </c>
      <c r="O13" s="6"/>
      <c r="P13" s="204"/>
      <c r="Q13" s="204"/>
      <c r="R13" s="204"/>
      <c r="S13" s="204"/>
      <c r="T13" s="204"/>
      <c r="U13" s="204"/>
      <c r="V13" s="6"/>
      <c r="W13" s="6"/>
      <c r="X13" s="6"/>
      <c r="Y13" s="6"/>
      <c r="Z13" s="6"/>
      <c r="AA13" s="8"/>
      <c r="AB13" s="8"/>
      <c r="AC13" s="8"/>
    </row>
    <row r="14" spans="1:29" ht="14.3" customHeight="1">
      <c r="A14" s="28" t="s">
        <v>90</v>
      </c>
      <c r="B14" s="28" t="s">
        <v>91</v>
      </c>
      <c r="C14" s="199"/>
      <c r="D14" s="200"/>
      <c r="E14" s="201"/>
      <c r="F14" s="185"/>
      <c r="G14" s="28"/>
      <c r="H14" s="28"/>
      <c r="I14" s="28"/>
      <c r="J14" s="28"/>
      <c r="K14" s="28"/>
      <c r="L14" s="28"/>
      <c r="M14" s="28"/>
      <c r="N14" s="185"/>
      <c r="O14" s="6"/>
      <c r="P14" s="21"/>
      <c r="Q14" s="21"/>
      <c r="R14" s="21"/>
      <c r="S14" s="21"/>
      <c r="T14" s="21"/>
      <c r="U14" s="29"/>
      <c r="V14" s="6"/>
      <c r="W14" s="6"/>
      <c r="X14" s="6"/>
      <c r="Y14" s="6"/>
      <c r="Z14" s="6"/>
      <c r="AA14" s="8"/>
      <c r="AB14" s="8"/>
      <c r="AC14" s="8"/>
    </row>
    <row r="15" spans="1:29" ht="18" customHeight="1">
      <c r="A15" s="1">
        <v>1</v>
      </c>
      <c r="B15" s="31">
        <v>242510075</v>
      </c>
      <c r="C15" s="32" t="s">
        <v>93</v>
      </c>
      <c r="D15" s="33"/>
      <c r="E15" s="34"/>
      <c r="F15" s="35" t="s">
        <v>3</v>
      </c>
      <c r="G15" s="36"/>
      <c r="H15" s="36"/>
      <c r="I15" s="36"/>
      <c r="J15" s="36"/>
      <c r="K15" s="36"/>
      <c r="L15" s="36"/>
      <c r="M15" s="36"/>
      <c r="N15" s="36"/>
      <c r="O15" s="6"/>
      <c r="P15" s="21"/>
      <c r="Q15" s="21"/>
      <c r="R15" s="21"/>
      <c r="S15" s="21"/>
      <c r="T15" s="21"/>
      <c r="U15" s="29"/>
      <c r="V15" s="6"/>
      <c r="W15" s="6"/>
      <c r="X15" s="6"/>
      <c r="Y15" s="6"/>
      <c r="Z15" s="6"/>
      <c r="AA15" s="8"/>
      <c r="AB15" s="8"/>
      <c r="AC15" s="8"/>
    </row>
    <row r="16" spans="1:29" ht="18" customHeight="1">
      <c r="A16" s="1">
        <f t="shared" ref="A16:A50" si="0">A15+1</f>
        <v>2</v>
      </c>
      <c r="B16" s="1">
        <v>242510186</v>
      </c>
      <c r="C16" s="32" t="s">
        <v>98</v>
      </c>
      <c r="D16" s="33"/>
      <c r="E16" s="34"/>
      <c r="F16" s="35" t="s">
        <v>3</v>
      </c>
      <c r="G16" s="36"/>
      <c r="H16" s="36"/>
      <c r="I16" s="36"/>
      <c r="J16" s="36"/>
      <c r="K16" s="36"/>
      <c r="L16" s="36"/>
      <c r="M16" s="36"/>
      <c r="N16" s="36"/>
      <c r="O16" s="6"/>
      <c r="P16" s="21"/>
      <c r="Q16" s="21"/>
      <c r="R16" s="21"/>
      <c r="S16" s="21"/>
      <c r="T16" s="21"/>
      <c r="U16" s="29"/>
      <c r="V16" s="6"/>
      <c r="W16" s="6" t="s">
        <v>100</v>
      </c>
      <c r="X16" s="6"/>
      <c r="Y16" s="6"/>
      <c r="Z16" s="6"/>
      <c r="AA16" s="8"/>
      <c r="AB16" s="8"/>
      <c r="AC16" s="8"/>
    </row>
    <row r="17" spans="1:29" ht="18" customHeight="1">
      <c r="A17" s="1">
        <f t="shared" si="0"/>
        <v>3</v>
      </c>
      <c r="B17" s="1">
        <v>242510364</v>
      </c>
      <c r="C17" s="32" t="s">
        <v>101</v>
      </c>
      <c r="D17" s="33"/>
      <c r="E17" s="34"/>
      <c r="F17" s="35" t="s">
        <v>3</v>
      </c>
      <c r="G17" s="36"/>
      <c r="H17" s="36"/>
      <c r="I17" s="36"/>
      <c r="J17" s="36"/>
      <c r="K17" s="36"/>
      <c r="L17" s="36"/>
      <c r="M17" s="36"/>
      <c r="N17" s="36"/>
      <c r="O17" s="6"/>
      <c r="P17" s="21"/>
      <c r="Q17" s="21"/>
      <c r="R17" s="21"/>
      <c r="S17" s="21"/>
      <c r="T17" s="21"/>
      <c r="U17" s="29"/>
      <c r="V17" s="6"/>
      <c r="W17" s="6"/>
      <c r="X17" s="6"/>
      <c r="Y17" s="6"/>
      <c r="Z17" s="6"/>
      <c r="AA17" s="8"/>
      <c r="AB17" s="8"/>
      <c r="AC17" s="8"/>
    </row>
    <row r="18" spans="1:29" ht="18" customHeight="1">
      <c r="A18" s="1">
        <f t="shared" si="0"/>
        <v>4</v>
      </c>
      <c r="B18" s="1">
        <v>242510223</v>
      </c>
      <c r="C18" s="32" t="s">
        <v>104</v>
      </c>
      <c r="D18" s="33"/>
      <c r="E18" s="34"/>
      <c r="F18" s="35" t="s">
        <v>1</v>
      </c>
      <c r="G18" s="36"/>
      <c r="H18" s="36"/>
      <c r="I18" s="36"/>
      <c r="J18" s="36"/>
      <c r="K18" s="36"/>
      <c r="L18" s="36"/>
      <c r="M18" s="36"/>
      <c r="N18" s="36"/>
      <c r="O18" s="6"/>
      <c r="P18" s="21"/>
      <c r="Q18" s="21"/>
      <c r="R18" s="21"/>
      <c r="S18" s="21"/>
      <c r="T18" s="21"/>
      <c r="U18" s="21"/>
      <c r="V18" s="6"/>
      <c r="W18" s="6"/>
      <c r="X18" s="6"/>
      <c r="Y18" s="6"/>
      <c r="Z18" s="6"/>
      <c r="AA18" s="8"/>
      <c r="AB18" s="8"/>
      <c r="AC18" s="8"/>
    </row>
    <row r="19" spans="1:29" ht="18" customHeight="1">
      <c r="A19" s="1">
        <f t="shared" si="0"/>
        <v>5</v>
      </c>
      <c r="B19" s="1">
        <v>242510331</v>
      </c>
      <c r="C19" s="32" t="s">
        <v>109</v>
      </c>
      <c r="D19" s="33"/>
      <c r="E19" s="34"/>
      <c r="F19" s="35" t="s">
        <v>3</v>
      </c>
      <c r="G19" s="36"/>
      <c r="H19" s="36"/>
      <c r="I19" s="36"/>
      <c r="J19" s="36"/>
      <c r="K19" s="36"/>
      <c r="L19" s="36"/>
      <c r="M19" s="36"/>
      <c r="N19" s="36"/>
      <c r="O19" s="6"/>
      <c r="P19" s="203"/>
      <c r="Q19" s="203"/>
      <c r="R19" s="203"/>
      <c r="S19" s="203"/>
      <c r="T19" s="203"/>
      <c r="U19" s="205"/>
      <c r="V19" s="6"/>
      <c r="W19" s="6"/>
      <c r="X19" s="6"/>
      <c r="Y19" s="6"/>
      <c r="Z19" s="6"/>
      <c r="AA19" s="8"/>
      <c r="AB19" s="8"/>
      <c r="AC19" s="8"/>
    </row>
    <row r="20" spans="1:29" ht="18" customHeight="1">
      <c r="A20" s="1">
        <f t="shared" si="0"/>
        <v>6</v>
      </c>
      <c r="B20" s="1">
        <v>242510224</v>
      </c>
      <c r="C20" s="32" t="s">
        <v>113</v>
      </c>
      <c r="D20" s="33"/>
      <c r="E20" s="34"/>
      <c r="F20" s="35" t="s">
        <v>3</v>
      </c>
      <c r="G20" s="36"/>
      <c r="H20" s="36"/>
      <c r="I20" s="36"/>
      <c r="J20" s="36"/>
      <c r="K20" s="36"/>
      <c r="L20" s="36"/>
      <c r="M20" s="36"/>
      <c r="N20" s="36"/>
      <c r="O20" s="6"/>
      <c r="P20" s="204"/>
      <c r="Q20" s="204"/>
      <c r="R20" s="204"/>
      <c r="S20" s="204"/>
      <c r="T20" s="204"/>
      <c r="U20" s="204"/>
      <c r="V20" s="6"/>
      <c r="W20" s="6"/>
      <c r="X20" s="6"/>
      <c r="Y20" s="6"/>
      <c r="Z20" s="6"/>
      <c r="AA20" s="8"/>
      <c r="AB20" s="8"/>
      <c r="AC20" s="8"/>
    </row>
    <row r="21" spans="1:29" ht="18" customHeight="1">
      <c r="A21" s="1">
        <f t="shared" si="0"/>
        <v>7</v>
      </c>
      <c r="B21" s="1">
        <v>242510006</v>
      </c>
      <c r="C21" s="32" t="s">
        <v>116</v>
      </c>
      <c r="D21" s="33"/>
      <c r="E21" s="34"/>
      <c r="F21" s="35" t="s">
        <v>1</v>
      </c>
      <c r="G21" s="36"/>
      <c r="H21" s="36"/>
      <c r="I21" s="36"/>
      <c r="J21" s="36"/>
      <c r="K21" s="36"/>
      <c r="L21" s="36"/>
      <c r="M21" s="36"/>
      <c r="N21" s="36"/>
      <c r="O21" s="6"/>
      <c r="P21" s="21"/>
      <c r="Q21" s="21"/>
      <c r="R21" s="21"/>
      <c r="S21" s="21"/>
      <c r="T21" s="21"/>
      <c r="U21" s="29"/>
      <c r="V21" s="6"/>
      <c r="W21" s="6"/>
      <c r="X21" s="6"/>
      <c r="Y21" s="6"/>
      <c r="Z21" s="6"/>
      <c r="AA21" s="8"/>
      <c r="AB21" s="8"/>
      <c r="AC21" s="8"/>
    </row>
    <row r="22" spans="1:29" ht="18" customHeight="1">
      <c r="A22" s="1">
        <f t="shared" si="0"/>
        <v>8</v>
      </c>
      <c r="B22" s="1">
        <v>242510262</v>
      </c>
      <c r="C22" s="32" t="s">
        <v>120</v>
      </c>
      <c r="D22" s="33"/>
      <c r="E22" s="34"/>
      <c r="F22" s="35" t="s">
        <v>3</v>
      </c>
      <c r="G22" s="36"/>
      <c r="H22" s="36"/>
      <c r="I22" s="36"/>
      <c r="J22" s="36"/>
      <c r="K22" s="36"/>
      <c r="L22" s="36"/>
      <c r="M22" s="36"/>
      <c r="N22" s="36"/>
      <c r="O22" s="6"/>
      <c r="P22" s="21"/>
      <c r="Q22" s="21"/>
      <c r="R22" s="21"/>
      <c r="S22" s="21"/>
      <c r="T22" s="21"/>
      <c r="U22" s="29"/>
      <c r="V22" s="6"/>
      <c r="W22" s="6"/>
      <c r="X22" s="6"/>
      <c r="Y22" s="6"/>
      <c r="Z22" s="6"/>
      <c r="AA22" s="8"/>
      <c r="AB22" s="8"/>
      <c r="AC22" s="8"/>
    </row>
    <row r="23" spans="1:29" ht="18" customHeight="1">
      <c r="A23" s="1">
        <f t="shared" si="0"/>
        <v>9</v>
      </c>
      <c r="B23" s="1">
        <v>242510303</v>
      </c>
      <c r="C23" s="32" t="s">
        <v>126</v>
      </c>
      <c r="D23" s="33"/>
      <c r="E23" s="34"/>
      <c r="F23" s="35" t="s">
        <v>3</v>
      </c>
      <c r="G23" s="36"/>
      <c r="H23" s="36"/>
      <c r="I23" s="36"/>
      <c r="J23" s="36"/>
      <c r="K23" s="36"/>
      <c r="L23" s="36"/>
      <c r="M23" s="36"/>
      <c r="N23" s="36"/>
      <c r="O23" s="6"/>
      <c r="P23" s="21"/>
      <c r="Q23" s="21"/>
      <c r="R23" s="21"/>
      <c r="S23" s="21"/>
      <c r="T23" s="21"/>
      <c r="U23" s="29"/>
      <c r="V23" s="6"/>
      <c r="W23" s="6"/>
      <c r="X23" s="6"/>
      <c r="Y23" s="6"/>
      <c r="Z23" s="6"/>
      <c r="AA23" s="8"/>
      <c r="AB23" s="8"/>
      <c r="AC23" s="8"/>
    </row>
    <row r="24" spans="1:29" ht="18" customHeight="1">
      <c r="A24" s="1">
        <f t="shared" si="0"/>
        <v>10</v>
      </c>
      <c r="B24" s="1">
        <v>242510337</v>
      </c>
      <c r="C24" s="32" t="s">
        <v>130</v>
      </c>
      <c r="D24" s="33"/>
      <c r="E24" s="34"/>
      <c r="F24" s="35" t="s">
        <v>3</v>
      </c>
      <c r="G24" s="36"/>
      <c r="H24" s="36"/>
      <c r="I24" s="36"/>
      <c r="J24" s="36"/>
      <c r="K24" s="36"/>
      <c r="L24" s="36"/>
      <c r="M24" s="36"/>
      <c r="N24" s="36"/>
      <c r="O24" s="6"/>
      <c r="P24" s="21"/>
      <c r="Q24" s="21"/>
      <c r="R24" s="21"/>
      <c r="S24" s="21"/>
      <c r="T24" s="21"/>
      <c r="U24" s="29"/>
      <c r="V24" s="6"/>
      <c r="W24" s="6"/>
      <c r="X24" s="6"/>
      <c r="Y24" s="6"/>
      <c r="Z24" s="6"/>
      <c r="AA24" s="8"/>
      <c r="AB24" s="8"/>
      <c r="AC24" s="8"/>
    </row>
    <row r="25" spans="1:29" ht="18" customHeight="1">
      <c r="A25" s="1">
        <f t="shared" si="0"/>
        <v>11</v>
      </c>
      <c r="B25" s="1">
        <v>242510122</v>
      </c>
      <c r="C25" s="32" t="s">
        <v>136</v>
      </c>
      <c r="D25" s="33"/>
      <c r="E25" s="34"/>
      <c r="F25" s="35" t="s">
        <v>3</v>
      </c>
      <c r="G25" s="36"/>
      <c r="H25" s="36"/>
      <c r="I25" s="36"/>
      <c r="J25" s="36"/>
      <c r="K25" s="36"/>
      <c r="L25" s="36"/>
      <c r="M25" s="36"/>
      <c r="N25" s="36"/>
      <c r="O25" s="6"/>
      <c r="P25" s="21"/>
      <c r="Q25" s="21"/>
      <c r="R25" s="21"/>
      <c r="S25" s="21"/>
      <c r="T25" s="21"/>
      <c r="U25" s="21"/>
      <c r="V25" s="6"/>
      <c r="W25" s="6"/>
      <c r="X25" s="6"/>
      <c r="Y25" s="6"/>
      <c r="Z25" s="6"/>
      <c r="AA25" s="8"/>
      <c r="AB25" s="8"/>
      <c r="AC25" s="8"/>
    </row>
    <row r="26" spans="1:29" ht="18" customHeight="1">
      <c r="A26" s="1">
        <f t="shared" si="0"/>
        <v>12</v>
      </c>
      <c r="B26" s="1">
        <v>242510308</v>
      </c>
      <c r="C26" s="32" t="s">
        <v>141</v>
      </c>
      <c r="D26" s="33"/>
      <c r="E26" s="34"/>
      <c r="F26" s="35" t="s">
        <v>3</v>
      </c>
      <c r="G26" s="36"/>
      <c r="H26" s="36"/>
      <c r="I26" s="36"/>
      <c r="J26" s="36"/>
      <c r="K26" s="36"/>
      <c r="L26" s="36"/>
      <c r="M26" s="36"/>
      <c r="N26" s="36"/>
      <c r="O26" s="6"/>
      <c r="P26" s="203"/>
      <c r="Q26" s="203"/>
      <c r="R26" s="203"/>
      <c r="S26" s="203"/>
      <c r="T26" s="203"/>
      <c r="U26" s="205"/>
      <c r="V26" s="6"/>
      <c r="W26" s="6"/>
      <c r="X26" s="6"/>
      <c r="Y26" s="6"/>
      <c r="Z26" s="6"/>
      <c r="AA26" s="8"/>
      <c r="AB26" s="8"/>
      <c r="AC26" s="8"/>
    </row>
    <row r="27" spans="1:29" ht="18" customHeight="1">
      <c r="A27" s="1">
        <f t="shared" si="0"/>
        <v>13</v>
      </c>
      <c r="B27" s="1">
        <v>242510125</v>
      </c>
      <c r="C27" s="32" t="s">
        <v>149</v>
      </c>
      <c r="D27" s="33"/>
      <c r="E27" s="34"/>
      <c r="F27" s="35" t="s">
        <v>3</v>
      </c>
      <c r="G27" s="36"/>
      <c r="H27" s="36"/>
      <c r="I27" s="36"/>
      <c r="J27" s="36"/>
      <c r="K27" s="36"/>
      <c r="L27" s="36"/>
      <c r="M27" s="36"/>
      <c r="N27" s="36"/>
      <c r="O27" s="6"/>
      <c r="P27" s="204"/>
      <c r="Q27" s="204"/>
      <c r="R27" s="204"/>
      <c r="S27" s="204"/>
      <c r="T27" s="204"/>
      <c r="U27" s="204"/>
      <c r="V27" s="6"/>
      <c r="W27" s="6"/>
      <c r="X27" s="6"/>
      <c r="Y27" s="6"/>
      <c r="Z27" s="6"/>
      <c r="AA27" s="8"/>
      <c r="AB27" s="8"/>
      <c r="AC27" s="8"/>
    </row>
    <row r="28" spans="1:29" ht="18" customHeight="1">
      <c r="A28" s="1">
        <f t="shared" si="0"/>
        <v>14</v>
      </c>
      <c r="B28" s="1">
        <v>242510268</v>
      </c>
      <c r="C28" s="32" t="s">
        <v>153</v>
      </c>
      <c r="D28" s="33"/>
      <c r="E28" s="34"/>
      <c r="F28" s="35" t="s">
        <v>1</v>
      </c>
      <c r="G28" s="36"/>
      <c r="H28" s="36"/>
      <c r="I28" s="36"/>
      <c r="J28" s="36"/>
      <c r="K28" s="36"/>
      <c r="L28" s="36"/>
      <c r="M28" s="36"/>
      <c r="N28" s="36"/>
      <c r="O28" s="6"/>
      <c r="P28" s="21"/>
      <c r="Q28" s="21"/>
      <c r="R28" s="21"/>
      <c r="S28" s="21"/>
      <c r="T28" s="21"/>
      <c r="U28" s="29"/>
      <c r="V28" s="6"/>
      <c r="W28" s="6"/>
      <c r="X28" s="6"/>
      <c r="Y28" s="6"/>
      <c r="Z28" s="6"/>
      <c r="AA28" s="8"/>
      <c r="AB28" s="8"/>
      <c r="AC28" s="8"/>
    </row>
    <row r="29" spans="1:29" ht="18" customHeight="1">
      <c r="A29" s="1">
        <f t="shared" si="0"/>
        <v>15</v>
      </c>
      <c r="B29" s="1">
        <v>242510234</v>
      </c>
      <c r="C29" s="32" t="s">
        <v>159</v>
      </c>
      <c r="D29" s="33"/>
      <c r="E29" s="34"/>
      <c r="F29" s="35" t="s">
        <v>3</v>
      </c>
      <c r="G29" s="36"/>
      <c r="H29" s="36"/>
      <c r="I29" s="36"/>
      <c r="J29" s="36"/>
      <c r="K29" s="36"/>
      <c r="L29" s="36"/>
      <c r="M29" s="36"/>
      <c r="N29" s="36"/>
      <c r="O29" s="6"/>
      <c r="P29" s="21"/>
      <c r="Q29" s="21"/>
      <c r="R29" s="21"/>
      <c r="S29" s="21"/>
      <c r="T29" s="21"/>
      <c r="U29" s="29"/>
      <c r="V29" s="6"/>
      <c r="W29" s="6"/>
      <c r="X29" s="6"/>
      <c r="Y29" s="6"/>
      <c r="Z29" s="6"/>
      <c r="AA29" s="8"/>
      <c r="AB29" s="8"/>
      <c r="AC29" s="8"/>
    </row>
    <row r="30" spans="1:29" ht="18" customHeight="1">
      <c r="A30" s="1">
        <f t="shared" si="0"/>
        <v>16</v>
      </c>
      <c r="B30" s="1">
        <v>242510163</v>
      </c>
      <c r="C30" s="32" t="s">
        <v>165</v>
      </c>
      <c r="D30" s="33"/>
      <c r="E30" s="34"/>
      <c r="F30" s="35" t="s">
        <v>3</v>
      </c>
      <c r="G30" s="36"/>
      <c r="H30" s="36"/>
      <c r="I30" s="36"/>
      <c r="J30" s="36"/>
      <c r="K30" s="36"/>
      <c r="L30" s="36"/>
      <c r="M30" s="36"/>
      <c r="N30" s="36"/>
      <c r="O30" s="6"/>
      <c r="P30" s="21"/>
      <c r="Q30" s="21"/>
      <c r="R30" s="21"/>
      <c r="S30" s="21"/>
      <c r="T30" s="21"/>
      <c r="U30" s="29"/>
      <c r="V30" s="6"/>
      <c r="W30" s="6"/>
      <c r="X30" s="6"/>
      <c r="Y30" s="6"/>
      <c r="Z30" s="6"/>
      <c r="AA30" s="8"/>
      <c r="AB30" s="8"/>
      <c r="AC30" s="8"/>
    </row>
    <row r="31" spans="1:29" ht="18" customHeight="1">
      <c r="A31" s="1">
        <f t="shared" si="0"/>
        <v>17</v>
      </c>
      <c r="B31" s="1">
        <v>242510165</v>
      </c>
      <c r="C31" s="32" t="s">
        <v>171</v>
      </c>
      <c r="D31" s="33"/>
      <c r="E31" s="34"/>
      <c r="F31" s="35" t="s">
        <v>3</v>
      </c>
      <c r="G31" s="36"/>
      <c r="H31" s="36"/>
      <c r="I31" s="36"/>
      <c r="J31" s="36"/>
      <c r="K31" s="36"/>
      <c r="L31" s="36"/>
      <c r="M31" s="36"/>
      <c r="N31" s="36"/>
      <c r="O31" s="6"/>
      <c r="P31" s="21"/>
      <c r="Q31" s="21"/>
      <c r="R31" s="21"/>
      <c r="S31" s="21"/>
      <c r="T31" s="21"/>
      <c r="U31" s="29"/>
      <c r="V31" s="6"/>
      <c r="W31" s="6"/>
      <c r="X31" s="6"/>
      <c r="Y31" s="6"/>
      <c r="Z31" s="6"/>
      <c r="AA31" s="8"/>
      <c r="AB31" s="8"/>
      <c r="AC31" s="8"/>
    </row>
    <row r="32" spans="1:29" ht="18" customHeight="1">
      <c r="A32" s="1">
        <f t="shared" si="0"/>
        <v>18</v>
      </c>
      <c r="B32" s="1">
        <v>242510017</v>
      </c>
      <c r="C32" s="32" t="s">
        <v>175</v>
      </c>
      <c r="D32" s="33"/>
      <c r="E32" s="34"/>
      <c r="F32" s="35" t="s">
        <v>3</v>
      </c>
      <c r="G32" s="36"/>
      <c r="H32" s="36"/>
      <c r="I32" s="36"/>
      <c r="J32" s="36"/>
      <c r="K32" s="36"/>
      <c r="L32" s="36"/>
      <c r="M32" s="36"/>
      <c r="N32" s="36"/>
      <c r="O32" s="6"/>
      <c r="P32" s="21"/>
      <c r="Q32" s="21"/>
      <c r="R32" s="21"/>
      <c r="S32" s="21"/>
      <c r="T32" s="21"/>
      <c r="U32" s="21"/>
      <c r="V32" s="6"/>
      <c r="W32" s="6"/>
      <c r="X32" s="6"/>
      <c r="Y32" s="6"/>
      <c r="Z32" s="6"/>
      <c r="AA32" s="8"/>
      <c r="AB32" s="8"/>
      <c r="AC32" s="8"/>
    </row>
    <row r="33" spans="1:29" ht="18" customHeight="1">
      <c r="A33" s="1">
        <f t="shared" si="0"/>
        <v>19</v>
      </c>
      <c r="B33" s="1">
        <v>242510272</v>
      </c>
      <c r="C33" s="32" t="s">
        <v>183</v>
      </c>
      <c r="D33" s="33"/>
      <c r="E33" s="34"/>
      <c r="F33" s="35" t="s">
        <v>3</v>
      </c>
      <c r="G33" s="36"/>
      <c r="H33" s="36"/>
      <c r="I33" s="36"/>
      <c r="J33" s="36"/>
      <c r="K33" s="36"/>
      <c r="L33" s="36"/>
      <c r="M33" s="36"/>
      <c r="N33" s="1"/>
      <c r="O33" s="6"/>
      <c r="P33" s="21"/>
      <c r="Q33" s="74"/>
      <c r="R33" s="21"/>
      <c r="S33" s="21"/>
      <c r="T33" s="21"/>
      <c r="U33" s="21"/>
      <c r="V33" s="6"/>
      <c r="W33" s="6"/>
      <c r="X33" s="6"/>
      <c r="Y33" s="6"/>
      <c r="Z33" s="6"/>
      <c r="AA33" s="8"/>
      <c r="AB33" s="8"/>
      <c r="AC33" s="8"/>
    </row>
    <row r="34" spans="1:29" ht="18" customHeight="1">
      <c r="A34" s="1">
        <f t="shared" si="0"/>
        <v>20</v>
      </c>
      <c r="B34" s="1">
        <v>242510061</v>
      </c>
      <c r="C34" s="32" t="s">
        <v>189</v>
      </c>
      <c r="D34" s="33"/>
      <c r="E34" s="34"/>
      <c r="F34" s="35" t="s">
        <v>1</v>
      </c>
      <c r="G34" s="36"/>
      <c r="H34" s="36"/>
      <c r="I34" s="36"/>
      <c r="J34" s="36"/>
      <c r="K34" s="36"/>
      <c r="L34" s="36"/>
      <c r="M34" s="36"/>
      <c r="N34" s="36"/>
      <c r="O34" s="6"/>
      <c r="P34" s="21"/>
      <c r="Q34" s="21"/>
      <c r="R34" s="21"/>
      <c r="S34" s="21"/>
      <c r="T34" s="21"/>
      <c r="U34" s="21"/>
      <c r="V34" s="6"/>
      <c r="W34" s="6"/>
      <c r="X34" s="6"/>
      <c r="Y34" s="6"/>
      <c r="Z34" s="6"/>
      <c r="AA34" s="8"/>
      <c r="AB34" s="8"/>
      <c r="AC34" s="8"/>
    </row>
    <row r="35" spans="1:29" ht="18" customHeight="1">
      <c r="A35" s="1">
        <f t="shared" si="0"/>
        <v>21</v>
      </c>
      <c r="B35" s="1">
        <v>242510347</v>
      </c>
      <c r="C35" s="32" t="s">
        <v>196</v>
      </c>
      <c r="D35" s="33"/>
      <c r="E35" s="34"/>
      <c r="F35" s="35" t="s">
        <v>1</v>
      </c>
      <c r="G35" s="36"/>
      <c r="H35" s="36"/>
      <c r="I35" s="36"/>
      <c r="J35" s="36"/>
      <c r="K35" s="36"/>
      <c r="L35" s="36"/>
      <c r="M35" s="36"/>
      <c r="N35" s="36"/>
      <c r="O35" s="6"/>
      <c r="P35" s="21"/>
      <c r="Q35" s="21"/>
      <c r="R35" s="21"/>
      <c r="S35" s="21"/>
      <c r="T35" s="21"/>
      <c r="U35" s="21"/>
      <c r="V35" s="6"/>
      <c r="W35" s="6"/>
      <c r="X35" s="6"/>
      <c r="Y35" s="6"/>
      <c r="Z35" s="6"/>
      <c r="AA35" s="8"/>
      <c r="AB35" s="8"/>
      <c r="AC35" s="8"/>
    </row>
    <row r="36" spans="1:29" ht="18" customHeight="1">
      <c r="A36" s="1">
        <f t="shared" si="0"/>
        <v>22</v>
      </c>
      <c r="B36" s="1">
        <v>242510240</v>
      </c>
      <c r="C36" s="32" t="s">
        <v>201</v>
      </c>
      <c r="D36" s="33"/>
      <c r="E36" s="34"/>
      <c r="F36" s="35" t="s">
        <v>1</v>
      </c>
      <c r="G36" s="36"/>
      <c r="H36" s="36"/>
      <c r="I36" s="36"/>
      <c r="J36" s="36"/>
      <c r="K36" s="36"/>
      <c r="L36" s="36"/>
      <c r="M36" s="36"/>
      <c r="N36" s="3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8"/>
      <c r="AB36" s="8"/>
      <c r="AC36" s="8"/>
    </row>
    <row r="37" spans="1:29" ht="18" customHeight="1">
      <c r="A37" s="1">
        <f t="shared" si="0"/>
        <v>23</v>
      </c>
      <c r="B37" s="1">
        <v>242510062</v>
      </c>
      <c r="C37" s="32" t="s">
        <v>205</v>
      </c>
      <c r="D37" s="33"/>
      <c r="E37" s="34"/>
      <c r="F37" s="35" t="s">
        <v>1</v>
      </c>
      <c r="G37" s="36"/>
      <c r="H37" s="36"/>
      <c r="I37" s="36"/>
      <c r="J37" s="36"/>
      <c r="K37" s="36"/>
      <c r="L37" s="36"/>
      <c r="M37" s="36"/>
      <c r="N37" s="3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8"/>
      <c r="AB37" s="8"/>
      <c r="AC37" s="8"/>
    </row>
    <row r="38" spans="1:29" ht="18" customHeight="1">
      <c r="A38" s="1">
        <f t="shared" si="0"/>
        <v>24</v>
      </c>
      <c r="B38" s="1">
        <v>242510317</v>
      </c>
      <c r="C38" s="32" t="s">
        <v>211</v>
      </c>
      <c r="D38" s="33"/>
      <c r="E38" s="34"/>
      <c r="F38" s="35" t="s">
        <v>3</v>
      </c>
      <c r="G38" s="36"/>
      <c r="H38" s="36"/>
      <c r="I38" s="36"/>
      <c r="J38" s="36"/>
      <c r="K38" s="36"/>
      <c r="L38" s="36"/>
      <c r="M38" s="36"/>
      <c r="N38" s="3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8"/>
      <c r="AB38" s="8"/>
      <c r="AC38" s="8"/>
    </row>
    <row r="39" spans="1:29" ht="18" customHeight="1">
      <c r="A39" s="1">
        <f t="shared" si="0"/>
        <v>25</v>
      </c>
      <c r="B39" s="1">
        <v>242510280</v>
      </c>
      <c r="C39" s="32" t="s">
        <v>216</v>
      </c>
      <c r="D39" s="33"/>
      <c r="E39" s="34"/>
      <c r="F39" s="35" t="s">
        <v>1</v>
      </c>
      <c r="G39" s="36"/>
      <c r="H39" s="36"/>
      <c r="I39" s="36"/>
      <c r="J39" s="36"/>
      <c r="K39" s="36"/>
      <c r="L39" s="36"/>
      <c r="M39" s="36"/>
      <c r="N39" s="3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8"/>
      <c r="AB39" s="8"/>
      <c r="AC39" s="8"/>
    </row>
    <row r="40" spans="1:29" ht="18" customHeight="1">
      <c r="A40" s="1">
        <f t="shared" si="0"/>
        <v>26</v>
      </c>
      <c r="B40" s="1">
        <v>242510028</v>
      </c>
      <c r="C40" s="32" t="s">
        <v>222</v>
      </c>
      <c r="D40" s="33"/>
      <c r="E40" s="34"/>
      <c r="F40" s="35" t="s">
        <v>1</v>
      </c>
      <c r="G40" s="36"/>
      <c r="H40" s="36"/>
      <c r="I40" s="36"/>
      <c r="J40" s="36"/>
      <c r="K40" s="36"/>
      <c r="L40" s="36"/>
      <c r="M40" s="36"/>
      <c r="N40" s="3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8"/>
      <c r="AB40" s="8"/>
      <c r="AC40" s="8"/>
    </row>
    <row r="41" spans="1:29" ht="18" customHeight="1">
      <c r="A41" s="1">
        <f t="shared" si="0"/>
        <v>27</v>
      </c>
      <c r="B41" s="1">
        <v>242510282</v>
      </c>
      <c r="C41" s="32" t="s">
        <v>227</v>
      </c>
      <c r="D41" s="33"/>
      <c r="E41" s="34"/>
      <c r="F41" s="35" t="s">
        <v>1</v>
      </c>
      <c r="G41" s="36"/>
      <c r="H41" s="36"/>
      <c r="I41" s="36"/>
      <c r="J41" s="36"/>
      <c r="K41" s="36"/>
      <c r="L41" s="36"/>
      <c r="M41" s="36"/>
      <c r="N41" s="3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8"/>
      <c r="AB41" s="8"/>
      <c r="AC41" s="8"/>
    </row>
    <row r="42" spans="1:29" ht="18" customHeight="1">
      <c r="A42" s="1">
        <f t="shared" si="0"/>
        <v>28</v>
      </c>
      <c r="B42" s="1">
        <v>242510284</v>
      </c>
      <c r="C42" s="32" t="s">
        <v>234</v>
      </c>
      <c r="D42" s="33"/>
      <c r="E42" s="34"/>
      <c r="F42" s="35" t="s">
        <v>3</v>
      </c>
      <c r="G42" s="36"/>
      <c r="H42" s="36"/>
      <c r="I42" s="36"/>
      <c r="J42" s="36"/>
      <c r="K42" s="36"/>
      <c r="L42" s="36"/>
      <c r="M42" s="36"/>
      <c r="N42" s="3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8"/>
      <c r="AB42" s="8"/>
      <c r="AC42" s="8"/>
    </row>
    <row r="43" spans="1:29" ht="18" customHeight="1">
      <c r="A43" s="1">
        <f t="shared" si="0"/>
        <v>29</v>
      </c>
      <c r="B43" s="1">
        <v>242510033</v>
      </c>
      <c r="C43" s="32" t="s">
        <v>239</v>
      </c>
      <c r="D43" s="33"/>
      <c r="E43" s="34"/>
      <c r="F43" s="35" t="s">
        <v>3</v>
      </c>
      <c r="G43" s="36"/>
      <c r="H43" s="36"/>
      <c r="I43" s="36"/>
      <c r="J43" s="36"/>
      <c r="K43" s="36"/>
      <c r="L43" s="36"/>
      <c r="M43" s="36"/>
      <c r="N43" s="3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8"/>
      <c r="AB43" s="8"/>
      <c r="AC43" s="8"/>
    </row>
    <row r="44" spans="1:29" ht="18" customHeight="1">
      <c r="A44" s="1">
        <f t="shared" si="0"/>
        <v>30</v>
      </c>
      <c r="B44" s="1">
        <v>242510100</v>
      </c>
      <c r="C44" s="32" t="s">
        <v>243</v>
      </c>
      <c r="D44" s="33"/>
      <c r="E44" s="34"/>
      <c r="F44" s="35" t="s">
        <v>3</v>
      </c>
      <c r="G44" s="36"/>
      <c r="H44" s="36"/>
      <c r="I44" s="36"/>
      <c r="J44" s="36"/>
      <c r="K44" s="36"/>
      <c r="L44" s="36"/>
      <c r="M44" s="36"/>
      <c r="N44" s="3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8"/>
      <c r="AB44" s="8"/>
      <c r="AC44" s="8"/>
    </row>
    <row r="45" spans="1:29" ht="18" customHeight="1">
      <c r="A45" s="1">
        <f t="shared" si="0"/>
        <v>31</v>
      </c>
      <c r="B45" s="1">
        <v>242510246</v>
      </c>
      <c r="C45" s="32" t="s">
        <v>246</v>
      </c>
      <c r="D45" s="33"/>
      <c r="E45" s="34"/>
      <c r="F45" s="35" t="s">
        <v>3</v>
      </c>
      <c r="G45" s="36"/>
      <c r="H45" s="36"/>
      <c r="I45" s="36"/>
      <c r="J45" s="36"/>
      <c r="K45" s="36"/>
      <c r="L45" s="36"/>
      <c r="M45" s="36"/>
      <c r="N45" s="3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8"/>
      <c r="AB45" s="8"/>
      <c r="AC45" s="8"/>
    </row>
    <row r="46" spans="1:29" ht="18" customHeight="1">
      <c r="A46" s="1">
        <f t="shared" si="0"/>
        <v>32</v>
      </c>
      <c r="B46" s="1">
        <v>242510141</v>
      </c>
      <c r="C46" s="32" t="s">
        <v>249</v>
      </c>
      <c r="D46" s="33"/>
      <c r="E46" s="34"/>
      <c r="F46" s="35" t="s">
        <v>1</v>
      </c>
      <c r="G46" s="36"/>
      <c r="H46" s="36"/>
      <c r="I46" s="36"/>
      <c r="J46" s="36"/>
      <c r="K46" s="36"/>
      <c r="L46" s="36"/>
      <c r="M46" s="36"/>
      <c r="N46" s="3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8"/>
      <c r="AB46" s="8"/>
      <c r="AC46" s="8"/>
    </row>
    <row r="47" spans="1:29" ht="18" customHeight="1">
      <c r="A47" s="1">
        <f t="shared" si="0"/>
        <v>33</v>
      </c>
      <c r="B47" s="1">
        <v>242510325</v>
      </c>
      <c r="C47" s="32" t="s">
        <v>253</v>
      </c>
      <c r="D47" s="33"/>
      <c r="E47" s="34"/>
      <c r="F47" s="35" t="s">
        <v>3</v>
      </c>
      <c r="G47" s="36"/>
      <c r="H47" s="36"/>
      <c r="I47" s="36"/>
      <c r="J47" s="36"/>
      <c r="K47" s="36"/>
      <c r="L47" s="36"/>
      <c r="M47" s="36"/>
      <c r="N47" s="3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8"/>
      <c r="AB47" s="8"/>
      <c r="AC47" s="8"/>
    </row>
    <row r="48" spans="1:29" ht="18" customHeight="1">
      <c r="A48" s="83">
        <f t="shared" si="0"/>
        <v>34</v>
      </c>
      <c r="B48" s="1">
        <v>252611405</v>
      </c>
      <c r="C48" s="32" t="s">
        <v>258</v>
      </c>
      <c r="D48" s="33"/>
      <c r="E48" s="34"/>
      <c r="F48" s="84" t="s">
        <v>3</v>
      </c>
      <c r="G48" s="85"/>
      <c r="H48" s="85"/>
      <c r="I48" s="85"/>
      <c r="J48" s="85"/>
      <c r="K48" s="85"/>
      <c r="L48" s="85"/>
      <c r="M48" s="85"/>
      <c r="N48" s="85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8"/>
      <c r="AB48" s="8"/>
      <c r="AC48" s="8"/>
    </row>
    <row r="49" spans="1:29" ht="18" customHeight="1">
      <c r="A49" s="1">
        <f t="shared" si="0"/>
        <v>35</v>
      </c>
      <c r="B49" s="1">
        <v>242510143</v>
      </c>
      <c r="C49" s="32" t="s">
        <v>261</v>
      </c>
      <c r="D49" s="33"/>
      <c r="E49" s="34"/>
      <c r="F49" s="35" t="s">
        <v>1</v>
      </c>
      <c r="G49" s="36"/>
      <c r="H49" s="36"/>
      <c r="I49" s="36"/>
      <c r="J49" s="36"/>
      <c r="K49" s="36"/>
      <c r="L49" s="36"/>
      <c r="M49" s="36"/>
      <c r="N49" s="3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8"/>
      <c r="AB49" s="8"/>
      <c r="AC49" s="8"/>
    </row>
    <row r="50" spans="1:29" ht="18" customHeight="1" thickBot="1">
      <c r="A50" s="1">
        <f t="shared" si="0"/>
        <v>36</v>
      </c>
      <c r="B50" s="1">
        <v>242510290</v>
      </c>
      <c r="C50" s="32" t="s">
        <v>264</v>
      </c>
      <c r="D50" s="33"/>
      <c r="E50" s="34"/>
      <c r="F50" s="224" t="s">
        <v>3</v>
      </c>
      <c r="G50" s="135"/>
      <c r="H50" s="36"/>
      <c r="I50" s="36"/>
      <c r="J50" s="36"/>
      <c r="K50" s="36"/>
      <c r="L50" s="36"/>
      <c r="M50" s="36"/>
      <c r="N50" s="36"/>
      <c r="O50" s="6"/>
      <c r="P50" s="8"/>
      <c r="Q50" s="8"/>
      <c r="R50" s="8"/>
      <c r="S50" s="8"/>
      <c r="T50" s="8"/>
      <c r="U50" s="8"/>
      <c r="V50" s="6"/>
      <c r="W50" s="6"/>
      <c r="X50" s="6"/>
      <c r="Y50" s="6"/>
      <c r="Z50" s="6"/>
      <c r="AA50" s="8"/>
      <c r="AB50" s="8"/>
      <c r="AC50" s="8"/>
    </row>
    <row r="51" spans="1:29" ht="15.8" customHeight="1">
      <c r="A51" s="79"/>
      <c r="B51" s="79"/>
      <c r="C51" s="20"/>
      <c r="D51" s="20"/>
      <c r="E51" s="20"/>
      <c r="F51" s="246" t="s">
        <v>1</v>
      </c>
      <c r="G51" s="247">
        <f>COUNTIF(F15:F50,"L")</f>
        <v>12</v>
      </c>
      <c r="H51" s="20"/>
      <c r="I51" s="20"/>
      <c r="J51" s="20"/>
      <c r="K51" s="20"/>
      <c r="L51" s="20"/>
      <c r="M51" s="20"/>
      <c r="N51" s="20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8"/>
      <c r="AB51" s="8"/>
      <c r="AC51" s="8"/>
    </row>
    <row r="52" spans="1:29" ht="15.8" customHeight="1" thickBot="1">
      <c r="A52" s="79"/>
      <c r="B52" s="79"/>
      <c r="C52" s="20"/>
      <c r="D52" s="20"/>
      <c r="E52" s="20"/>
      <c r="F52" s="248" t="s">
        <v>3</v>
      </c>
      <c r="G52" s="249">
        <f>COUNTIF(F14:F50,"P")</f>
        <v>24</v>
      </c>
      <c r="H52" s="20"/>
      <c r="I52" s="20"/>
      <c r="J52" s="20"/>
      <c r="K52" s="20"/>
      <c r="L52" s="20"/>
      <c r="M52" s="20"/>
      <c r="N52" s="20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8"/>
      <c r="AB52" s="8"/>
      <c r="AC52" s="8"/>
    </row>
    <row r="53" spans="1:29" ht="15.8" customHeight="1" thickBot="1">
      <c r="A53" s="20" t="s">
        <v>275</v>
      </c>
      <c r="B53" s="6"/>
      <c r="C53" s="20"/>
      <c r="D53" s="20"/>
      <c r="E53" s="20"/>
      <c r="F53" s="250" t="s">
        <v>251</v>
      </c>
      <c r="G53" s="251">
        <f>SUM(G51:G52)</f>
        <v>36</v>
      </c>
      <c r="H53" s="6"/>
      <c r="I53" s="82" t="s">
        <v>254</v>
      </c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8"/>
      <c r="AB53" s="8"/>
      <c r="AC53" s="8"/>
    </row>
    <row r="54" spans="1:29" ht="15.8" customHeight="1">
      <c r="A54" s="20" t="s">
        <v>280</v>
      </c>
      <c r="B54" s="6"/>
      <c r="C54" s="20"/>
      <c r="D54" s="20"/>
      <c r="E54" s="20" t="s">
        <v>281</v>
      </c>
      <c r="F54" s="94"/>
      <c r="G54" s="6"/>
      <c r="H54" s="6"/>
      <c r="I54" s="6" t="s">
        <v>256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8"/>
      <c r="AB54" s="8"/>
      <c r="AC54" s="8"/>
    </row>
    <row r="55" spans="1:29" ht="15.8" customHeight="1">
      <c r="A55" s="20"/>
      <c r="B55" s="6"/>
      <c r="C55" s="20"/>
      <c r="D55" s="20"/>
      <c r="E55" s="20"/>
      <c r="F55" s="79"/>
      <c r="G55" s="20"/>
      <c r="H55" s="20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8"/>
      <c r="AB55" s="8"/>
      <c r="AC55" s="8"/>
    </row>
    <row r="56" spans="1:29" ht="15.8" customHeight="1">
      <c r="A56" s="20"/>
      <c r="B56" s="6"/>
      <c r="C56" s="20"/>
      <c r="D56" s="20"/>
      <c r="E56" s="20"/>
      <c r="F56" s="79"/>
      <c r="G56" s="20"/>
      <c r="H56" s="20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8"/>
      <c r="AB56" s="8"/>
      <c r="AC56" s="8"/>
    </row>
    <row r="57" spans="1:29" ht="15.8" customHeight="1">
      <c r="A57" s="24" t="s">
        <v>298</v>
      </c>
      <c r="B57" s="6"/>
      <c r="C57" s="6"/>
      <c r="D57" s="6"/>
      <c r="E57" s="86" t="s">
        <v>300</v>
      </c>
      <c r="F57" s="94"/>
      <c r="G57" s="6"/>
      <c r="H57" s="20"/>
      <c r="I57" s="87"/>
      <c r="J57" s="87"/>
      <c r="K57" s="87"/>
      <c r="L57" s="87"/>
      <c r="M57" s="87"/>
      <c r="N57" s="87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8"/>
      <c r="AB57" s="8"/>
      <c r="AC57" s="8"/>
    </row>
    <row r="58" spans="1:29" ht="15.8" customHeight="1">
      <c r="A58" s="41" t="s">
        <v>307</v>
      </c>
      <c r="B58" s="41"/>
      <c r="C58" s="20"/>
      <c r="D58" s="20"/>
      <c r="E58" s="20" t="s">
        <v>308</v>
      </c>
      <c r="F58" s="79"/>
      <c r="G58" s="20"/>
      <c r="H58" s="20" t="s">
        <v>266</v>
      </c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8"/>
      <c r="AB58" s="8"/>
      <c r="AC58" s="8"/>
    </row>
    <row r="59" spans="1:29" ht="15.8" customHeight="1">
      <c r="A59" s="43"/>
      <c r="B59" s="44"/>
      <c r="C59" s="44"/>
      <c r="D59" s="44"/>
      <c r="E59" s="44"/>
      <c r="F59" s="45"/>
      <c r="G59" s="46"/>
      <c r="H59" s="46"/>
      <c r="I59" s="44"/>
      <c r="J59" s="44"/>
      <c r="K59" s="44"/>
      <c r="L59" s="44"/>
      <c r="M59" s="44"/>
      <c r="N59" s="44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8"/>
      <c r="AB59" s="8"/>
      <c r="AC59" s="8"/>
    </row>
    <row r="60" spans="1:29" ht="19.55" customHeight="1">
      <c r="A60" s="16" t="s">
        <v>79</v>
      </c>
      <c r="B60" s="16"/>
      <c r="C60" s="4" t="s">
        <v>318</v>
      </c>
      <c r="D60" s="16"/>
      <c r="E60" s="22"/>
      <c r="F60" s="23"/>
      <c r="G60" s="17"/>
      <c r="H60" s="19" t="s">
        <v>82</v>
      </c>
      <c r="I60" s="17"/>
      <c r="J60" s="17"/>
      <c r="K60" s="17"/>
      <c r="L60" s="17"/>
      <c r="M60" s="20"/>
      <c r="N60" s="20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8"/>
      <c r="AB60" s="8"/>
      <c r="AC60" s="8"/>
    </row>
    <row r="61" spans="1:29" ht="9" customHeight="1">
      <c r="A61" s="20"/>
      <c r="B61" s="24"/>
      <c r="C61" s="24"/>
      <c r="D61" s="24"/>
      <c r="E61" s="25"/>
      <c r="F61" s="14"/>
      <c r="G61" s="20"/>
      <c r="H61" s="26"/>
      <c r="I61" s="27"/>
      <c r="J61" s="27"/>
      <c r="K61" s="27"/>
      <c r="L61" s="27"/>
      <c r="M61" s="27"/>
      <c r="N61" s="27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8"/>
      <c r="AB61" s="8"/>
      <c r="AC61" s="8"/>
    </row>
    <row r="62" spans="1:29" ht="15.8" customHeight="1">
      <c r="A62" s="176" t="s">
        <v>84</v>
      </c>
      <c r="B62" s="177"/>
      <c r="C62" s="178" t="s">
        <v>85</v>
      </c>
      <c r="D62" s="179"/>
      <c r="E62" s="180"/>
      <c r="F62" s="184" t="s">
        <v>86</v>
      </c>
      <c r="G62" s="176" t="s">
        <v>87</v>
      </c>
      <c r="H62" s="186"/>
      <c r="I62" s="186"/>
      <c r="J62" s="186"/>
      <c r="K62" s="186"/>
      <c r="L62" s="186"/>
      <c r="M62" s="177"/>
      <c r="N62" s="184" t="s">
        <v>88</v>
      </c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8"/>
      <c r="AB62" s="8"/>
      <c r="AC62" s="8"/>
    </row>
    <row r="63" spans="1:29" ht="15.8" customHeight="1">
      <c r="A63" s="28" t="s">
        <v>90</v>
      </c>
      <c r="B63" s="28" t="s">
        <v>91</v>
      </c>
      <c r="C63" s="199"/>
      <c r="D63" s="200"/>
      <c r="E63" s="201"/>
      <c r="F63" s="185"/>
      <c r="G63" s="28"/>
      <c r="H63" s="28"/>
      <c r="I63" s="28"/>
      <c r="J63" s="28"/>
      <c r="K63" s="28"/>
      <c r="L63" s="28"/>
      <c r="M63" s="28"/>
      <c r="N63" s="185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8"/>
      <c r="AB63" s="8"/>
      <c r="AC63" s="8"/>
    </row>
    <row r="64" spans="1:29" ht="18" customHeight="1">
      <c r="A64" s="1">
        <v>1</v>
      </c>
      <c r="B64" s="31">
        <v>242510293</v>
      </c>
      <c r="C64" s="32" t="s">
        <v>339</v>
      </c>
      <c r="D64" s="100"/>
      <c r="E64" s="34"/>
      <c r="F64" s="101" t="s">
        <v>3</v>
      </c>
      <c r="G64" s="36"/>
      <c r="H64" s="36"/>
      <c r="I64" s="36"/>
      <c r="J64" s="36"/>
      <c r="K64" s="36"/>
      <c r="L64" s="36"/>
      <c r="M64" s="36"/>
      <c r="N64" s="68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8"/>
      <c r="AB64" s="8"/>
      <c r="AC64" s="8"/>
    </row>
    <row r="65" spans="1:29" ht="18" customHeight="1">
      <c r="A65" s="1">
        <f t="shared" ref="A65:A99" si="1">A64+1</f>
        <v>2</v>
      </c>
      <c r="B65" s="1">
        <v>242510113</v>
      </c>
      <c r="C65" s="32" t="s">
        <v>345</v>
      </c>
      <c r="D65" s="100"/>
      <c r="E65" s="34"/>
      <c r="F65" s="102" t="s">
        <v>3</v>
      </c>
      <c r="G65" s="36"/>
      <c r="H65" s="36"/>
      <c r="I65" s="36"/>
      <c r="J65" s="36"/>
      <c r="K65" s="36"/>
      <c r="L65" s="36"/>
      <c r="M65" s="36"/>
      <c r="N65" s="68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8"/>
      <c r="AB65" s="8"/>
      <c r="AC65" s="8"/>
    </row>
    <row r="66" spans="1:29" ht="18" customHeight="1">
      <c r="A66" s="1">
        <f t="shared" si="1"/>
        <v>3</v>
      </c>
      <c r="B66" s="1">
        <v>242510297</v>
      </c>
      <c r="C66" s="32" t="s">
        <v>349</v>
      </c>
      <c r="D66" s="100"/>
      <c r="E66" s="34"/>
      <c r="F66" s="102" t="s">
        <v>3</v>
      </c>
      <c r="G66" s="36"/>
      <c r="H66" s="36"/>
      <c r="I66" s="36"/>
      <c r="J66" s="36"/>
      <c r="K66" s="36"/>
      <c r="L66" s="36"/>
      <c r="M66" s="36"/>
      <c r="N66" s="68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8"/>
      <c r="AB66" s="8"/>
      <c r="AC66" s="8"/>
    </row>
    <row r="67" spans="1:29" ht="18" customHeight="1">
      <c r="A67" s="1">
        <f t="shared" si="1"/>
        <v>4</v>
      </c>
      <c r="B67" s="1">
        <v>242510005</v>
      </c>
      <c r="C67" s="32" t="s">
        <v>355</v>
      </c>
      <c r="D67" s="100"/>
      <c r="E67" s="34"/>
      <c r="F67" s="102" t="s">
        <v>3</v>
      </c>
      <c r="G67" s="36"/>
      <c r="H67" s="36"/>
      <c r="I67" s="36"/>
      <c r="J67" s="36"/>
      <c r="K67" s="36"/>
      <c r="L67" s="36"/>
      <c r="M67" s="36"/>
      <c r="N67" s="68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8"/>
      <c r="AB67" s="8"/>
      <c r="AC67" s="8"/>
    </row>
    <row r="68" spans="1:29" ht="18" customHeight="1">
      <c r="A68" s="1">
        <f t="shared" si="1"/>
        <v>5</v>
      </c>
      <c r="B68" s="1">
        <v>242510117</v>
      </c>
      <c r="C68" s="32" t="s">
        <v>361</v>
      </c>
      <c r="D68" s="100"/>
      <c r="E68" s="34"/>
      <c r="F68" s="102" t="s">
        <v>1</v>
      </c>
      <c r="G68" s="36"/>
      <c r="H68" s="36"/>
      <c r="I68" s="36"/>
      <c r="J68" s="36"/>
      <c r="K68" s="36"/>
      <c r="L68" s="36"/>
      <c r="M68" s="36"/>
      <c r="N68" s="68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8"/>
      <c r="AB68" s="8"/>
      <c r="AC68" s="8"/>
    </row>
    <row r="69" spans="1:29" ht="18" customHeight="1">
      <c r="A69" s="1">
        <f t="shared" si="1"/>
        <v>6</v>
      </c>
      <c r="B69" s="1">
        <v>242510227</v>
      </c>
      <c r="C69" s="32" t="s">
        <v>364</v>
      </c>
      <c r="D69" s="100"/>
      <c r="E69" s="34"/>
      <c r="F69" s="102" t="s">
        <v>3</v>
      </c>
      <c r="G69" s="36"/>
      <c r="H69" s="36"/>
      <c r="I69" s="36"/>
      <c r="J69" s="36"/>
      <c r="K69" s="36"/>
      <c r="L69" s="36"/>
      <c r="M69" s="36"/>
      <c r="N69" s="68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8"/>
      <c r="AB69" s="8"/>
      <c r="AC69" s="8"/>
    </row>
    <row r="70" spans="1:29" ht="18" customHeight="1">
      <c r="A70" s="1">
        <f t="shared" si="1"/>
        <v>7</v>
      </c>
      <c r="B70" s="1">
        <v>242510302</v>
      </c>
      <c r="C70" s="32" t="s">
        <v>370</v>
      </c>
      <c r="D70" s="100"/>
      <c r="E70" s="34"/>
      <c r="F70" s="102" t="s">
        <v>3</v>
      </c>
      <c r="G70" s="36"/>
      <c r="H70" s="36"/>
      <c r="I70" s="36"/>
      <c r="J70" s="36"/>
      <c r="K70" s="36"/>
      <c r="L70" s="36"/>
      <c r="M70" s="36"/>
      <c r="N70" s="68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8"/>
      <c r="AB70" s="8"/>
      <c r="AC70" s="8"/>
    </row>
    <row r="71" spans="1:29" ht="18" customHeight="1">
      <c r="A71" s="1">
        <f t="shared" si="1"/>
        <v>8</v>
      </c>
      <c r="B71" s="1">
        <v>242510336</v>
      </c>
      <c r="C71" s="32" t="s">
        <v>373</v>
      </c>
      <c r="D71" s="100"/>
      <c r="E71" s="34"/>
      <c r="F71" s="102" t="s">
        <v>3</v>
      </c>
      <c r="G71" s="36"/>
      <c r="H71" s="36"/>
      <c r="I71" s="36"/>
      <c r="J71" s="36"/>
      <c r="K71" s="36"/>
      <c r="L71" s="36"/>
      <c r="M71" s="36"/>
      <c r="N71" s="68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8"/>
      <c r="AB71" s="8"/>
      <c r="AC71" s="8"/>
    </row>
    <row r="72" spans="1:29" ht="18" customHeight="1">
      <c r="A72" s="1">
        <f t="shared" si="1"/>
        <v>9</v>
      </c>
      <c r="B72" s="1">
        <v>242510373</v>
      </c>
      <c r="C72" s="32" t="s">
        <v>374</v>
      </c>
      <c r="D72" s="100"/>
      <c r="E72" s="34"/>
      <c r="F72" s="102" t="s">
        <v>1</v>
      </c>
      <c r="G72" s="36"/>
      <c r="H72" s="36"/>
      <c r="I72" s="36"/>
      <c r="J72" s="36"/>
      <c r="K72" s="36"/>
      <c r="L72" s="36"/>
      <c r="M72" s="36"/>
      <c r="N72" s="68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8"/>
      <c r="AB72" s="8"/>
      <c r="AC72" s="8"/>
    </row>
    <row r="73" spans="1:29" ht="18" customHeight="1">
      <c r="A73" s="1">
        <f t="shared" si="1"/>
        <v>10</v>
      </c>
      <c r="B73" s="1">
        <v>242510307</v>
      </c>
      <c r="C73" s="32" t="s">
        <v>375</v>
      </c>
      <c r="D73" s="100"/>
      <c r="E73" s="34"/>
      <c r="F73" s="102" t="s">
        <v>1</v>
      </c>
      <c r="G73" s="36"/>
      <c r="H73" s="36"/>
      <c r="I73" s="36"/>
      <c r="J73" s="36"/>
      <c r="K73" s="36"/>
      <c r="L73" s="36"/>
      <c r="M73" s="36"/>
      <c r="N73" s="68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8"/>
      <c r="AB73" s="8"/>
      <c r="AC73" s="8"/>
    </row>
    <row r="74" spans="1:29" ht="18" customHeight="1">
      <c r="A74" s="1">
        <f t="shared" si="1"/>
        <v>11</v>
      </c>
      <c r="B74" s="1">
        <v>242510084</v>
      </c>
      <c r="C74" s="32" t="s">
        <v>377</v>
      </c>
      <c r="D74" s="100"/>
      <c r="E74" s="34"/>
      <c r="F74" s="102" t="s">
        <v>3</v>
      </c>
      <c r="G74" s="36"/>
      <c r="H74" s="36"/>
      <c r="I74" s="36"/>
      <c r="J74" s="36"/>
      <c r="K74" s="36"/>
      <c r="L74" s="36"/>
      <c r="M74" s="36"/>
      <c r="N74" s="68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8"/>
      <c r="AB74" s="8"/>
      <c r="AC74" s="8"/>
    </row>
    <row r="75" spans="1:29" ht="18" customHeight="1">
      <c r="A75" s="1">
        <f t="shared" si="1"/>
        <v>12</v>
      </c>
      <c r="B75" s="1">
        <v>252611398</v>
      </c>
      <c r="C75" s="32" t="s">
        <v>378</v>
      </c>
      <c r="D75" s="100"/>
      <c r="E75" s="34"/>
      <c r="F75" s="102" t="s">
        <v>1</v>
      </c>
      <c r="G75" s="36"/>
      <c r="H75" s="36"/>
      <c r="I75" s="36"/>
      <c r="J75" s="36"/>
      <c r="K75" s="36"/>
      <c r="L75" s="36"/>
      <c r="M75" s="36"/>
      <c r="N75" s="68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8"/>
      <c r="AB75" s="8"/>
      <c r="AC75" s="8"/>
    </row>
    <row r="76" spans="1:29" ht="18" customHeight="1">
      <c r="A76" s="1">
        <f t="shared" si="1"/>
        <v>13</v>
      </c>
      <c r="B76" s="1">
        <v>242510126</v>
      </c>
      <c r="C76" s="32" t="s">
        <v>381</v>
      </c>
      <c r="D76" s="100"/>
      <c r="E76" s="34"/>
      <c r="F76" s="102" t="s">
        <v>3</v>
      </c>
      <c r="G76" s="36"/>
      <c r="H76" s="36"/>
      <c r="I76" s="36"/>
      <c r="J76" s="36"/>
      <c r="K76" s="36"/>
      <c r="L76" s="36"/>
      <c r="M76" s="36"/>
      <c r="N76" s="68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8"/>
      <c r="AB76" s="8"/>
      <c r="AC76" s="8"/>
    </row>
    <row r="77" spans="1:29" ht="18" customHeight="1">
      <c r="A77" s="1">
        <f t="shared" si="1"/>
        <v>14</v>
      </c>
      <c r="B77" s="1">
        <v>242510269</v>
      </c>
      <c r="C77" s="32" t="s">
        <v>384</v>
      </c>
      <c r="D77" s="100"/>
      <c r="E77" s="34"/>
      <c r="F77" s="102" t="s">
        <v>3</v>
      </c>
      <c r="G77" s="36"/>
      <c r="H77" s="36"/>
      <c r="I77" s="36"/>
      <c r="J77" s="36"/>
      <c r="K77" s="36"/>
      <c r="L77" s="36"/>
      <c r="M77" s="36"/>
      <c r="N77" s="68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8"/>
      <c r="AB77" s="8"/>
      <c r="AC77" s="8"/>
    </row>
    <row r="78" spans="1:29" ht="18" customHeight="1">
      <c r="A78" s="1">
        <f t="shared" si="1"/>
        <v>15</v>
      </c>
      <c r="B78" s="1">
        <v>242510164</v>
      </c>
      <c r="C78" s="32" t="s">
        <v>386</v>
      </c>
      <c r="D78" s="100"/>
      <c r="E78" s="34"/>
      <c r="F78" s="102" t="s">
        <v>3</v>
      </c>
      <c r="G78" s="36"/>
      <c r="H78" s="36"/>
      <c r="I78" s="36"/>
      <c r="J78" s="36"/>
      <c r="K78" s="36"/>
      <c r="L78" s="36"/>
      <c r="M78" s="36"/>
      <c r="N78" s="68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8"/>
      <c r="AB78" s="8"/>
      <c r="AC78" s="8"/>
    </row>
    <row r="79" spans="1:29" ht="18" customHeight="1">
      <c r="A79" s="1">
        <f t="shared" si="1"/>
        <v>16</v>
      </c>
      <c r="B79" s="1">
        <v>242510128</v>
      </c>
      <c r="C79" s="32" t="s">
        <v>389</v>
      </c>
      <c r="D79" s="100"/>
      <c r="E79" s="34"/>
      <c r="F79" s="102" t="s">
        <v>3</v>
      </c>
      <c r="G79" s="36"/>
      <c r="H79" s="36"/>
      <c r="I79" s="36"/>
      <c r="J79" s="36"/>
      <c r="K79" s="36"/>
      <c r="L79" s="36"/>
      <c r="M79" s="36"/>
      <c r="N79" s="68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8"/>
      <c r="AB79" s="8"/>
      <c r="AC79" s="8"/>
    </row>
    <row r="80" spans="1:29" ht="18" customHeight="1">
      <c r="A80" s="1">
        <f t="shared" si="1"/>
        <v>17</v>
      </c>
      <c r="B80" s="1">
        <v>242510015</v>
      </c>
      <c r="C80" s="32" t="s">
        <v>391</v>
      </c>
      <c r="D80" s="100"/>
      <c r="E80" s="34"/>
      <c r="F80" s="102" t="s">
        <v>3</v>
      </c>
      <c r="G80" s="36"/>
      <c r="H80" s="36"/>
      <c r="I80" s="36"/>
      <c r="J80" s="36"/>
      <c r="K80" s="36"/>
      <c r="L80" s="36"/>
      <c r="M80" s="36"/>
      <c r="N80" s="68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8"/>
      <c r="AB80" s="8"/>
      <c r="AC80" s="8"/>
    </row>
    <row r="81" spans="1:29" ht="18" customHeight="1">
      <c r="A81" s="1">
        <f t="shared" si="1"/>
        <v>18</v>
      </c>
      <c r="B81" s="1">
        <v>242510016</v>
      </c>
      <c r="C81" s="32" t="s">
        <v>394</v>
      </c>
      <c r="D81" s="100"/>
      <c r="E81" s="34"/>
      <c r="F81" s="102" t="s">
        <v>3</v>
      </c>
      <c r="G81" s="36"/>
      <c r="H81" s="36"/>
      <c r="I81" s="36"/>
      <c r="J81" s="36"/>
      <c r="K81" s="36"/>
      <c r="L81" s="36"/>
      <c r="M81" s="36"/>
      <c r="N81" s="68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8"/>
      <c r="AB81" s="8"/>
      <c r="AC81" s="8"/>
    </row>
    <row r="82" spans="1:29" ht="18" customHeight="1">
      <c r="A82" s="1">
        <f t="shared" si="1"/>
        <v>19</v>
      </c>
      <c r="B82" s="1">
        <v>242510312</v>
      </c>
      <c r="C82" s="32" t="s">
        <v>396</v>
      </c>
      <c r="D82" s="100"/>
      <c r="E82" s="34"/>
      <c r="F82" s="102" t="s">
        <v>3</v>
      </c>
      <c r="G82" s="36"/>
      <c r="H82" s="36"/>
      <c r="I82" s="36"/>
      <c r="J82" s="36"/>
      <c r="K82" s="36"/>
      <c r="L82" s="36"/>
      <c r="M82" s="36"/>
      <c r="N82" s="75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8"/>
      <c r="AB82" s="8"/>
      <c r="AC82" s="8"/>
    </row>
    <row r="83" spans="1:29" ht="18" customHeight="1">
      <c r="A83" s="1">
        <f t="shared" si="1"/>
        <v>20</v>
      </c>
      <c r="B83" s="1">
        <v>242510345</v>
      </c>
      <c r="C83" s="32" t="s">
        <v>398</v>
      </c>
      <c r="D83" s="100"/>
      <c r="E83" s="34"/>
      <c r="F83" s="102" t="s">
        <v>3</v>
      </c>
      <c r="G83" s="36"/>
      <c r="H83" s="36"/>
      <c r="I83" s="36"/>
      <c r="J83" s="36"/>
      <c r="K83" s="36"/>
      <c r="L83" s="36"/>
      <c r="M83" s="36"/>
      <c r="N83" s="68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8"/>
      <c r="AB83" s="8"/>
      <c r="AC83" s="8"/>
    </row>
    <row r="84" spans="1:29" ht="18" customHeight="1">
      <c r="A84" s="1">
        <f t="shared" si="1"/>
        <v>21</v>
      </c>
      <c r="B84" s="1">
        <v>242510131</v>
      </c>
      <c r="C84" s="32" t="s">
        <v>402</v>
      </c>
      <c r="D84" s="100"/>
      <c r="E84" s="34"/>
      <c r="F84" s="102" t="s">
        <v>1</v>
      </c>
      <c r="G84" s="36"/>
      <c r="H84" s="36"/>
      <c r="I84" s="36"/>
      <c r="J84" s="36"/>
      <c r="K84" s="36"/>
      <c r="L84" s="36"/>
      <c r="M84" s="36"/>
      <c r="N84" s="68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8"/>
      <c r="AB84" s="8"/>
      <c r="AC84" s="8"/>
    </row>
    <row r="85" spans="1:29" ht="18" customHeight="1">
      <c r="A85" s="1">
        <f t="shared" si="1"/>
        <v>22</v>
      </c>
      <c r="B85" s="1">
        <v>242510173</v>
      </c>
      <c r="C85" s="32" t="s">
        <v>407</v>
      </c>
      <c r="D85" s="100"/>
      <c r="E85" s="34"/>
      <c r="F85" s="102" t="s">
        <v>3</v>
      </c>
      <c r="G85" s="36"/>
      <c r="H85" s="36"/>
      <c r="I85" s="36"/>
      <c r="J85" s="36"/>
      <c r="K85" s="36"/>
      <c r="L85" s="36"/>
      <c r="M85" s="36"/>
      <c r="N85" s="68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8"/>
      <c r="AB85" s="8"/>
      <c r="AC85" s="8"/>
    </row>
    <row r="86" spans="1:29" ht="18" customHeight="1">
      <c r="A86" s="1">
        <f t="shared" si="1"/>
        <v>23</v>
      </c>
      <c r="B86" s="1">
        <v>242510318</v>
      </c>
      <c r="C86" s="32" t="s">
        <v>414</v>
      </c>
      <c r="D86" s="100"/>
      <c r="E86" s="34"/>
      <c r="F86" s="102" t="s">
        <v>3</v>
      </c>
      <c r="G86" s="36"/>
      <c r="H86" s="36"/>
      <c r="I86" s="36"/>
      <c r="J86" s="36"/>
      <c r="K86" s="36"/>
      <c r="L86" s="36"/>
      <c r="M86" s="36"/>
      <c r="N86" s="68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8"/>
      <c r="AB86" s="8"/>
      <c r="AC86" s="8"/>
    </row>
    <row r="87" spans="1:29" ht="18" customHeight="1">
      <c r="A87" s="1">
        <f t="shared" si="1"/>
        <v>24</v>
      </c>
      <c r="B87" s="1">
        <v>242510279</v>
      </c>
      <c r="C87" s="32" t="s">
        <v>421</v>
      </c>
      <c r="D87" s="100"/>
      <c r="E87" s="34"/>
      <c r="F87" s="102" t="s">
        <v>1</v>
      </c>
      <c r="G87" s="36"/>
      <c r="H87" s="36"/>
      <c r="I87" s="36"/>
      <c r="J87" s="36"/>
      <c r="K87" s="36"/>
      <c r="L87" s="36"/>
      <c r="M87" s="36"/>
      <c r="N87" s="68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8"/>
      <c r="AB87" s="8"/>
      <c r="AC87" s="8"/>
    </row>
    <row r="88" spans="1:29" ht="18" customHeight="1">
      <c r="A88" s="1">
        <f t="shared" si="1"/>
        <v>25</v>
      </c>
      <c r="B88" s="1">
        <v>242510351</v>
      </c>
      <c r="C88" s="32" t="s">
        <v>426</v>
      </c>
      <c r="D88" s="100"/>
      <c r="E88" s="34"/>
      <c r="F88" s="102" t="s">
        <v>3</v>
      </c>
      <c r="G88" s="36"/>
      <c r="H88" s="36"/>
      <c r="I88" s="36"/>
      <c r="J88" s="36"/>
      <c r="K88" s="36"/>
      <c r="L88" s="36"/>
      <c r="M88" s="36"/>
      <c r="N88" s="68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8"/>
      <c r="AB88" s="8"/>
      <c r="AC88" s="8"/>
    </row>
    <row r="89" spans="1:29" ht="18" customHeight="1">
      <c r="A89" s="1">
        <f t="shared" si="1"/>
        <v>26</v>
      </c>
      <c r="B89" s="1">
        <v>242510207</v>
      </c>
      <c r="C89" s="32" t="s">
        <v>430</v>
      </c>
      <c r="D89" s="100"/>
      <c r="E89" s="34"/>
      <c r="F89" s="102" t="s">
        <v>1</v>
      </c>
      <c r="G89" s="36"/>
      <c r="H89" s="36"/>
      <c r="I89" s="36"/>
      <c r="J89" s="36"/>
      <c r="K89" s="36"/>
      <c r="L89" s="36"/>
      <c r="M89" s="36"/>
      <c r="N89" s="68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8"/>
      <c r="AB89" s="8"/>
      <c r="AC89" s="8"/>
    </row>
    <row r="90" spans="1:29" ht="18" customHeight="1">
      <c r="A90" s="1">
        <f t="shared" si="1"/>
        <v>27</v>
      </c>
      <c r="B90" s="1">
        <v>242510281</v>
      </c>
      <c r="C90" s="32" t="s">
        <v>437</v>
      </c>
      <c r="D90" s="100"/>
      <c r="E90" s="34"/>
      <c r="F90" s="102" t="s">
        <v>1</v>
      </c>
      <c r="G90" s="36"/>
      <c r="H90" s="36"/>
      <c r="I90" s="36"/>
      <c r="J90" s="36"/>
      <c r="K90" s="36"/>
      <c r="L90" s="36"/>
      <c r="M90" s="36"/>
      <c r="N90" s="68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8"/>
      <c r="AB90" s="8"/>
      <c r="AC90" s="8"/>
    </row>
    <row r="91" spans="1:29" ht="18" customHeight="1">
      <c r="A91" s="1">
        <f t="shared" si="1"/>
        <v>28</v>
      </c>
      <c r="B91" s="1">
        <v>242510285</v>
      </c>
      <c r="C91" s="32" t="s">
        <v>442</v>
      </c>
      <c r="D91" s="100"/>
      <c r="E91" s="34"/>
      <c r="F91" s="102" t="s">
        <v>1</v>
      </c>
      <c r="G91" s="36"/>
      <c r="H91" s="36"/>
      <c r="I91" s="36"/>
      <c r="J91" s="36"/>
      <c r="K91" s="36"/>
      <c r="L91" s="36"/>
      <c r="M91" s="36"/>
      <c r="N91" s="68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8"/>
      <c r="AB91" s="8"/>
      <c r="AC91" s="8"/>
    </row>
    <row r="92" spans="1:29" ht="18" customHeight="1">
      <c r="A92" s="1">
        <f t="shared" si="1"/>
        <v>29</v>
      </c>
      <c r="B92" s="1">
        <v>242510034</v>
      </c>
      <c r="C92" s="32" t="s">
        <v>448</v>
      </c>
      <c r="D92" s="100"/>
      <c r="E92" s="34"/>
      <c r="F92" s="102" t="s">
        <v>1</v>
      </c>
      <c r="G92" s="36"/>
      <c r="H92" s="36"/>
      <c r="I92" s="36"/>
      <c r="J92" s="36"/>
      <c r="K92" s="36"/>
      <c r="L92" s="36"/>
      <c r="M92" s="36"/>
      <c r="N92" s="68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8"/>
      <c r="AB92" s="8"/>
      <c r="AC92" s="8"/>
    </row>
    <row r="93" spans="1:29" ht="18" customHeight="1">
      <c r="A93" s="1">
        <f t="shared" si="1"/>
        <v>30</v>
      </c>
      <c r="B93" s="1">
        <v>242510102</v>
      </c>
      <c r="C93" s="32" t="s">
        <v>456</v>
      </c>
      <c r="D93" s="100"/>
      <c r="E93" s="34"/>
      <c r="F93" s="102" t="s">
        <v>3</v>
      </c>
      <c r="G93" s="36"/>
      <c r="H93" s="36"/>
      <c r="I93" s="36"/>
      <c r="J93" s="36"/>
      <c r="K93" s="36"/>
      <c r="L93" s="36"/>
      <c r="M93" s="36"/>
      <c r="N93" s="68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8"/>
      <c r="AB93" s="8"/>
      <c r="AC93" s="8"/>
    </row>
    <row r="94" spans="1:29" ht="18" customHeight="1">
      <c r="A94" s="1">
        <f t="shared" si="1"/>
        <v>31</v>
      </c>
      <c r="B94" s="1">
        <v>242510396</v>
      </c>
      <c r="C94" s="32" t="s">
        <v>460</v>
      </c>
      <c r="D94" s="100"/>
      <c r="E94" s="34"/>
      <c r="F94" s="102" t="s">
        <v>1</v>
      </c>
      <c r="G94" s="36"/>
      <c r="H94" s="36"/>
      <c r="I94" s="36"/>
      <c r="J94" s="36"/>
      <c r="K94" s="36"/>
      <c r="L94" s="36"/>
      <c r="M94" s="36"/>
      <c r="N94" s="68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8"/>
      <c r="AB94" s="8"/>
      <c r="AC94" s="8"/>
    </row>
    <row r="95" spans="1:29" ht="18" customHeight="1">
      <c r="A95" s="1">
        <f t="shared" si="1"/>
        <v>32</v>
      </c>
      <c r="B95" s="1">
        <v>242510142</v>
      </c>
      <c r="C95" s="32" t="s">
        <v>467</v>
      </c>
      <c r="D95" s="100"/>
      <c r="E95" s="34"/>
      <c r="F95" s="102" t="s">
        <v>3</v>
      </c>
      <c r="G95" s="36"/>
      <c r="H95" s="36"/>
      <c r="I95" s="36"/>
      <c r="J95" s="36"/>
      <c r="K95" s="36"/>
      <c r="L95" s="36"/>
      <c r="M95" s="36"/>
      <c r="N95" s="68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8"/>
      <c r="AB95" s="8"/>
      <c r="AC95" s="8"/>
    </row>
    <row r="96" spans="1:29" ht="18" customHeight="1">
      <c r="A96" s="83">
        <f t="shared" si="1"/>
        <v>33</v>
      </c>
      <c r="B96" s="1">
        <v>242510250</v>
      </c>
      <c r="C96" s="32" t="s">
        <v>475</v>
      </c>
      <c r="D96" s="100"/>
      <c r="E96" s="34"/>
      <c r="F96" s="113" t="s">
        <v>3</v>
      </c>
      <c r="G96" s="85"/>
      <c r="H96" s="85"/>
      <c r="I96" s="85"/>
      <c r="J96" s="85"/>
      <c r="K96" s="85"/>
      <c r="L96" s="85"/>
      <c r="M96" s="85"/>
      <c r="N96" s="114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8"/>
      <c r="AB96" s="8"/>
      <c r="AC96" s="8"/>
    </row>
    <row r="97" spans="1:29" ht="18" customHeight="1">
      <c r="A97" s="83">
        <f t="shared" si="1"/>
        <v>34</v>
      </c>
      <c r="B97" s="83">
        <v>242510108</v>
      </c>
      <c r="C97" s="221" t="s">
        <v>481</v>
      </c>
      <c r="D97" s="222"/>
      <c r="E97" s="223"/>
      <c r="F97" s="243" t="s">
        <v>3</v>
      </c>
      <c r="G97" s="135"/>
      <c r="H97" s="135"/>
      <c r="I97" s="135"/>
      <c r="J97" s="135"/>
      <c r="K97" s="135"/>
      <c r="L97" s="135"/>
      <c r="M97" s="135"/>
      <c r="N97" s="114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8"/>
      <c r="AB97" s="8"/>
      <c r="AC97" s="8"/>
    </row>
    <row r="98" spans="1:29" ht="18" customHeight="1">
      <c r="A98" s="228">
        <f t="shared" si="1"/>
        <v>35</v>
      </c>
      <c r="B98" s="229">
        <v>242510109</v>
      </c>
      <c r="C98" s="230" t="s">
        <v>487</v>
      </c>
      <c r="D98" s="231"/>
      <c r="E98" s="232"/>
      <c r="F98" s="244" t="s">
        <v>3</v>
      </c>
      <c r="G98" s="234"/>
      <c r="H98" s="234"/>
      <c r="I98" s="234"/>
      <c r="J98" s="234"/>
      <c r="K98" s="234"/>
      <c r="L98" s="234"/>
      <c r="M98" s="234"/>
      <c r="N98" s="245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8"/>
      <c r="AB98" s="8"/>
      <c r="AC98" s="8"/>
    </row>
    <row r="99" spans="1:29" ht="18" customHeight="1" thickBot="1">
      <c r="A99" s="236">
        <f t="shared" si="1"/>
        <v>36</v>
      </c>
      <c r="B99" s="237">
        <v>242510254</v>
      </c>
      <c r="C99" s="238" t="s">
        <v>492</v>
      </c>
      <c r="D99" s="239"/>
      <c r="E99" s="240"/>
      <c r="F99" s="243" t="s">
        <v>3</v>
      </c>
      <c r="G99" s="30"/>
      <c r="H99" s="241"/>
      <c r="I99" s="241"/>
      <c r="J99" s="241"/>
      <c r="K99" s="241"/>
      <c r="L99" s="241"/>
      <c r="M99" s="241"/>
      <c r="N99" s="242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8"/>
      <c r="AB99" s="8"/>
      <c r="AC99" s="8"/>
    </row>
    <row r="100" spans="1:29" ht="15.8" customHeight="1">
      <c r="A100" s="212"/>
      <c r="B100" s="212"/>
      <c r="C100" s="214"/>
      <c r="D100" s="214"/>
      <c r="E100" s="214"/>
      <c r="F100" s="252" t="s">
        <v>1</v>
      </c>
      <c r="G100" s="247">
        <f>COUNTIF(F64:F99,"L")</f>
        <v>11</v>
      </c>
      <c r="H100" s="214"/>
      <c r="I100" s="214"/>
      <c r="J100" s="214"/>
      <c r="K100" s="214"/>
      <c r="L100" s="214"/>
      <c r="M100" s="214"/>
      <c r="N100" s="214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8"/>
      <c r="AB100" s="8"/>
      <c r="AC100" s="8"/>
    </row>
    <row r="101" spans="1:29" ht="15.8" customHeight="1" thickBot="1">
      <c r="A101" s="79"/>
      <c r="B101" s="79"/>
      <c r="C101" s="20"/>
      <c r="D101" s="20"/>
      <c r="E101" s="20"/>
      <c r="F101" s="253" t="s">
        <v>3</v>
      </c>
      <c r="G101" s="254">
        <f>COUNTIF(F64:F99,"P")</f>
        <v>25</v>
      </c>
      <c r="H101" s="20"/>
      <c r="I101" s="20"/>
      <c r="J101" s="20"/>
      <c r="K101" s="20"/>
      <c r="L101" s="20"/>
      <c r="M101" s="20"/>
      <c r="N101" s="20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8"/>
      <c r="AB101" s="8"/>
      <c r="AC101" s="8"/>
    </row>
    <row r="102" spans="1:29" ht="15.8" customHeight="1" thickBot="1">
      <c r="A102" s="20" t="s">
        <v>275</v>
      </c>
      <c r="B102" s="79"/>
      <c r="C102" s="20"/>
      <c r="D102" s="20"/>
      <c r="E102" s="20"/>
      <c r="F102" s="250" t="s">
        <v>251</v>
      </c>
      <c r="G102" s="251">
        <f>SUM(G100:G101)</f>
        <v>36</v>
      </c>
      <c r="H102" s="6"/>
      <c r="I102" s="82" t="s">
        <v>254</v>
      </c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8"/>
      <c r="AB102" s="8"/>
      <c r="AC102" s="8"/>
    </row>
    <row r="103" spans="1:29" ht="15.8" customHeight="1">
      <c r="A103" s="20" t="s">
        <v>280</v>
      </c>
      <c r="B103" s="79"/>
      <c r="C103" s="20"/>
      <c r="D103" s="20"/>
      <c r="E103" s="20" t="s">
        <v>281</v>
      </c>
      <c r="F103" s="94"/>
      <c r="G103" s="6"/>
      <c r="H103" s="6"/>
      <c r="I103" s="6" t="s">
        <v>256</v>
      </c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8"/>
      <c r="AB103" s="8"/>
      <c r="AC103" s="8"/>
    </row>
    <row r="104" spans="1:29" ht="15.8" customHeight="1">
      <c r="A104" s="20"/>
      <c r="B104" s="6"/>
      <c r="C104" s="20"/>
      <c r="D104" s="20"/>
      <c r="E104" s="20"/>
      <c r="F104" s="79"/>
      <c r="G104" s="20"/>
      <c r="H104" s="20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8"/>
      <c r="AB104" s="8"/>
      <c r="AC104" s="8"/>
    </row>
    <row r="105" spans="1:29" ht="15.8" customHeight="1">
      <c r="A105" s="20"/>
      <c r="B105" s="6"/>
      <c r="C105" s="20"/>
      <c r="D105" s="20"/>
      <c r="E105" s="20"/>
      <c r="F105" s="79"/>
      <c r="G105" s="20"/>
      <c r="H105" s="20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8"/>
      <c r="AB105" s="8"/>
      <c r="AC105" s="8"/>
    </row>
    <row r="106" spans="1:29" ht="15.8" customHeight="1">
      <c r="A106" s="24" t="s">
        <v>523</v>
      </c>
      <c r="B106" s="6"/>
      <c r="C106" s="6"/>
      <c r="D106" s="6"/>
      <c r="E106" s="86" t="s">
        <v>525</v>
      </c>
      <c r="F106" s="94"/>
      <c r="G106" s="6"/>
      <c r="H106" s="20"/>
      <c r="I106" s="87"/>
      <c r="J106" s="87"/>
      <c r="K106" s="87"/>
      <c r="L106" s="87"/>
      <c r="M106" s="87"/>
      <c r="N106" s="87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8"/>
      <c r="AB106" s="8"/>
      <c r="AC106" s="8"/>
    </row>
    <row r="107" spans="1:29" ht="15.8" customHeight="1">
      <c r="A107" s="41" t="s">
        <v>526</v>
      </c>
      <c r="B107" s="41"/>
      <c r="C107" s="20"/>
      <c r="D107" s="20"/>
      <c r="E107" s="20" t="s">
        <v>527</v>
      </c>
      <c r="F107" s="79"/>
      <c r="G107" s="20"/>
      <c r="H107" s="20" t="s">
        <v>266</v>
      </c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8"/>
      <c r="AB107" s="8"/>
      <c r="AC107" s="8"/>
    </row>
    <row r="108" spans="1:29" ht="15.8" customHeight="1">
      <c r="A108" s="43"/>
      <c r="B108" s="44"/>
      <c r="C108" s="44"/>
      <c r="D108" s="44"/>
      <c r="E108" s="44"/>
      <c r="F108" s="45"/>
      <c r="G108" s="46"/>
      <c r="H108" s="46"/>
      <c r="I108" s="44"/>
      <c r="J108" s="44"/>
      <c r="K108" s="44"/>
      <c r="L108" s="44"/>
      <c r="M108" s="44"/>
      <c r="N108" s="44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8"/>
      <c r="AB108" s="8"/>
      <c r="AC108" s="8"/>
    </row>
    <row r="109" spans="1:29" ht="19.55" customHeight="1">
      <c r="A109" s="16" t="s">
        <v>79</v>
      </c>
      <c r="B109" s="16"/>
      <c r="C109" s="4" t="s">
        <v>532</v>
      </c>
      <c r="D109" s="16"/>
      <c r="E109" s="22"/>
      <c r="F109" s="23"/>
      <c r="G109" s="17"/>
      <c r="H109" s="19" t="s">
        <v>82</v>
      </c>
      <c r="I109" s="17"/>
      <c r="J109" s="17"/>
      <c r="K109" s="17"/>
      <c r="L109" s="17"/>
      <c r="M109" s="20"/>
      <c r="N109" s="20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8"/>
      <c r="AB109" s="8"/>
      <c r="AC109" s="8"/>
    </row>
    <row r="110" spans="1:29" ht="9" customHeight="1">
      <c r="A110" s="20"/>
      <c r="B110" s="24"/>
      <c r="C110" s="24"/>
      <c r="D110" s="24"/>
      <c r="E110" s="25"/>
      <c r="F110" s="14"/>
      <c r="G110" s="20"/>
      <c r="H110" s="26"/>
      <c r="I110" s="27"/>
      <c r="J110" s="27"/>
      <c r="K110" s="27"/>
      <c r="L110" s="27"/>
      <c r="M110" s="27"/>
      <c r="N110" s="27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8"/>
      <c r="AB110" s="8"/>
      <c r="AC110" s="8"/>
    </row>
    <row r="111" spans="1:29" ht="15.8" customHeight="1">
      <c r="A111" s="176" t="s">
        <v>84</v>
      </c>
      <c r="B111" s="177"/>
      <c r="C111" s="178" t="s">
        <v>85</v>
      </c>
      <c r="D111" s="179"/>
      <c r="E111" s="180"/>
      <c r="F111" s="184" t="s">
        <v>86</v>
      </c>
      <c r="G111" s="176" t="s">
        <v>87</v>
      </c>
      <c r="H111" s="186"/>
      <c r="I111" s="186"/>
      <c r="J111" s="186"/>
      <c r="K111" s="186"/>
      <c r="L111" s="186"/>
      <c r="M111" s="177"/>
      <c r="N111" s="184" t="s">
        <v>88</v>
      </c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8"/>
      <c r="AB111" s="8"/>
      <c r="AC111" s="8"/>
    </row>
    <row r="112" spans="1:29" ht="15.8" customHeight="1">
      <c r="A112" s="28" t="s">
        <v>90</v>
      </c>
      <c r="B112" s="28" t="s">
        <v>91</v>
      </c>
      <c r="C112" s="199"/>
      <c r="D112" s="200"/>
      <c r="E112" s="201"/>
      <c r="F112" s="185"/>
      <c r="G112" s="28"/>
      <c r="H112" s="28"/>
      <c r="I112" s="28"/>
      <c r="J112" s="28"/>
      <c r="K112" s="28"/>
      <c r="L112" s="28"/>
      <c r="M112" s="28"/>
      <c r="N112" s="185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8"/>
      <c r="AB112" s="8"/>
      <c r="AC112" s="8"/>
    </row>
    <row r="113" spans="1:29" ht="18" customHeight="1">
      <c r="A113" s="1">
        <v>1</v>
      </c>
      <c r="B113" s="31">
        <v>242510111</v>
      </c>
      <c r="C113" s="117" t="s">
        <v>538</v>
      </c>
      <c r="D113" s="100"/>
      <c r="E113" s="34"/>
      <c r="F113" s="101" t="s">
        <v>1</v>
      </c>
      <c r="G113" s="36"/>
      <c r="H113" s="36"/>
      <c r="I113" s="36"/>
      <c r="J113" s="36"/>
      <c r="K113" s="36"/>
      <c r="L113" s="36"/>
      <c r="M113" s="36"/>
      <c r="N113" s="3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8"/>
      <c r="AB113" s="8"/>
      <c r="AC113" s="8"/>
    </row>
    <row r="114" spans="1:29" ht="18" customHeight="1">
      <c r="A114" s="1">
        <f t="shared" ref="A114:A148" si="2">A113+1</f>
        <v>2</v>
      </c>
      <c r="B114" s="1">
        <v>242510001</v>
      </c>
      <c r="C114" s="32" t="s">
        <v>541</v>
      </c>
      <c r="D114" s="100"/>
      <c r="E114" s="34"/>
      <c r="F114" s="102" t="s">
        <v>3</v>
      </c>
      <c r="G114" s="36"/>
      <c r="H114" s="36"/>
      <c r="I114" s="36"/>
      <c r="J114" s="36"/>
      <c r="K114" s="36"/>
      <c r="L114" s="36"/>
      <c r="M114" s="36"/>
      <c r="N114" s="3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8"/>
      <c r="AB114" s="8"/>
      <c r="AC114" s="8"/>
    </row>
    <row r="115" spans="1:29" ht="18" customHeight="1">
      <c r="A115" s="1">
        <f t="shared" si="2"/>
        <v>3</v>
      </c>
      <c r="B115" s="1">
        <v>242510255</v>
      </c>
      <c r="C115" s="32" t="s">
        <v>544</v>
      </c>
      <c r="D115" s="100"/>
      <c r="E115" s="34"/>
      <c r="F115" s="102" t="s">
        <v>1</v>
      </c>
      <c r="G115" s="36"/>
      <c r="H115" s="36"/>
      <c r="I115" s="36"/>
      <c r="J115" s="36"/>
      <c r="K115" s="36"/>
      <c r="L115" s="36"/>
      <c r="M115" s="36"/>
      <c r="N115" s="3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8"/>
      <c r="AB115" s="8"/>
      <c r="AC115" s="8"/>
    </row>
    <row r="116" spans="1:29" ht="18" customHeight="1">
      <c r="A116" s="1">
        <f t="shared" si="2"/>
        <v>4</v>
      </c>
      <c r="B116" s="1">
        <v>242510149</v>
      </c>
      <c r="C116" s="32" t="s">
        <v>547</v>
      </c>
      <c r="D116" s="100"/>
      <c r="E116" s="34"/>
      <c r="F116" s="102" t="s">
        <v>3</v>
      </c>
      <c r="G116" s="36"/>
      <c r="H116" s="36"/>
      <c r="I116" s="36"/>
      <c r="J116" s="36"/>
      <c r="K116" s="36"/>
      <c r="L116" s="36"/>
      <c r="M116" s="36"/>
      <c r="N116" s="3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8"/>
      <c r="AB116" s="8"/>
      <c r="AC116" s="8"/>
    </row>
    <row r="117" spans="1:29" ht="18" customHeight="1">
      <c r="A117" s="1">
        <f t="shared" si="2"/>
        <v>5</v>
      </c>
      <c r="B117" s="1">
        <v>242510256</v>
      </c>
      <c r="C117" s="32" t="s">
        <v>550</v>
      </c>
      <c r="D117" s="100"/>
      <c r="E117" s="34"/>
      <c r="F117" s="102" t="s">
        <v>3</v>
      </c>
      <c r="G117" s="36"/>
      <c r="H117" s="36"/>
      <c r="I117" s="36"/>
      <c r="J117" s="36"/>
      <c r="K117" s="36"/>
      <c r="L117" s="36"/>
      <c r="M117" s="36"/>
      <c r="N117" s="3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8"/>
      <c r="AB117" s="8"/>
      <c r="AC117" s="8"/>
    </row>
    <row r="118" spans="1:29" ht="18" customHeight="1">
      <c r="A118" s="1">
        <f t="shared" si="2"/>
        <v>6</v>
      </c>
      <c r="B118" s="1">
        <v>242510292</v>
      </c>
      <c r="C118" s="32" t="s">
        <v>552</v>
      </c>
      <c r="D118" s="100"/>
      <c r="E118" s="34"/>
      <c r="F118" s="102" t="s">
        <v>3</v>
      </c>
      <c r="G118" s="36"/>
      <c r="H118" s="36"/>
      <c r="I118" s="36"/>
      <c r="J118" s="36"/>
      <c r="K118" s="36"/>
      <c r="L118" s="36"/>
      <c r="M118" s="36"/>
      <c r="N118" s="3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8"/>
      <c r="AB118" s="8"/>
      <c r="AC118" s="8"/>
    </row>
    <row r="119" spans="1:29" ht="18" customHeight="1">
      <c r="A119" s="1">
        <f t="shared" si="2"/>
        <v>7</v>
      </c>
      <c r="B119" s="1">
        <v>242510328</v>
      </c>
      <c r="C119" s="32" t="s">
        <v>555</v>
      </c>
      <c r="D119" s="100"/>
      <c r="E119" s="34"/>
      <c r="F119" s="102" t="s">
        <v>3</v>
      </c>
      <c r="G119" s="36"/>
      <c r="H119" s="36"/>
      <c r="I119" s="36"/>
      <c r="J119" s="36"/>
      <c r="K119" s="36"/>
      <c r="L119" s="36"/>
      <c r="M119" s="36"/>
      <c r="N119" s="3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8"/>
      <c r="AB119" s="8"/>
      <c r="AC119" s="8"/>
    </row>
    <row r="120" spans="1:29" ht="18" customHeight="1">
      <c r="A120" s="1">
        <f t="shared" si="2"/>
        <v>8</v>
      </c>
      <c r="B120" s="1">
        <v>242510329</v>
      </c>
      <c r="C120" s="32" t="s">
        <v>558</v>
      </c>
      <c r="D120" s="100"/>
      <c r="E120" s="34"/>
      <c r="F120" s="102" t="s">
        <v>1</v>
      </c>
      <c r="G120" s="36"/>
      <c r="H120" s="36"/>
      <c r="I120" s="36"/>
      <c r="J120" s="36"/>
      <c r="K120" s="36"/>
      <c r="L120" s="36"/>
      <c r="M120" s="36"/>
      <c r="N120" s="3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8"/>
      <c r="AB120" s="8"/>
      <c r="AC120" s="8"/>
    </row>
    <row r="121" spans="1:29" ht="18" customHeight="1">
      <c r="A121" s="1">
        <f t="shared" si="2"/>
        <v>9</v>
      </c>
      <c r="B121" s="1">
        <v>242510367</v>
      </c>
      <c r="C121" s="32" t="s">
        <v>561</v>
      </c>
      <c r="D121" s="100"/>
      <c r="E121" s="34"/>
      <c r="F121" s="102" t="s">
        <v>1</v>
      </c>
      <c r="G121" s="36"/>
      <c r="H121" s="36"/>
      <c r="I121" s="36"/>
      <c r="J121" s="36"/>
      <c r="K121" s="36"/>
      <c r="L121" s="36"/>
      <c r="M121" s="36"/>
      <c r="N121" s="3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8"/>
      <c r="AB121" s="8"/>
      <c r="AC121" s="8"/>
    </row>
    <row r="122" spans="1:29" ht="18" customHeight="1">
      <c r="A122" s="1">
        <f t="shared" si="2"/>
        <v>10</v>
      </c>
      <c r="B122" s="1">
        <v>242510301</v>
      </c>
      <c r="C122" s="32" t="s">
        <v>564</v>
      </c>
      <c r="D122" s="100"/>
      <c r="E122" s="34"/>
      <c r="F122" s="102" t="s">
        <v>3</v>
      </c>
      <c r="G122" s="36"/>
      <c r="H122" s="36"/>
      <c r="I122" s="36"/>
      <c r="J122" s="36"/>
      <c r="K122" s="36"/>
      <c r="L122" s="36"/>
      <c r="M122" s="36"/>
      <c r="N122" s="3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8"/>
      <c r="AB122" s="8"/>
      <c r="AC122" s="8"/>
    </row>
    <row r="123" spans="1:29" ht="18" customHeight="1">
      <c r="A123" s="1">
        <f t="shared" si="2"/>
        <v>11</v>
      </c>
      <c r="B123" s="1">
        <v>242510008</v>
      </c>
      <c r="C123" s="32" t="s">
        <v>567</v>
      </c>
      <c r="D123" s="100"/>
      <c r="E123" s="34"/>
      <c r="F123" s="102" t="s">
        <v>1</v>
      </c>
      <c r="G123" s="36"/>
      <c r="H123" s="36"/>
      <c r="I123" s="36"/>
      <c r="J123" s="36"/>
      <c r="K123" s="36"/>
      <c r="L123" s="36"/>
      <c r="M123" s="36"/>
      <c r="N123" s="3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8"/>
      <c r="AB123" s="8"/>
      <c r="AC123" s="8"/>
    </row>
    <row r="124" spans="1:29" ht="18" customHeight="1">
      <c r="A124" s="1">
        <f t="shared" si="2"/>
        <v>12</v>
      </c>
      <c r="B124" s="1">
        <v>242510121</v>
      </c>
      <c r="C124" s="32" t="s">
        <v>570</v>
      </c>
      <c r="D124" s="100"/>
      <c r="E124" s="34"/>
      <c r="F124" s="102" t="s">
        <v>1</v>
      </c>
      <c r="G124" s="36"/>
      <c r="H124" s="36"/>
      <c r="I124" s="36"/>
      <c r="J124" s="36"/>
      <c r="K124" s="36"/>
      <c r="L124" s="36"/>
      <c r="M124" s="36"/>
      <c r="N124" s="3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8"/>
      <c r="AB124" s="8"/>
      <c r="AC124" s="8"/>
    </row>
    <row r="125" spans="1:29" ht="18" customHeight="1">
      <c r="A125" s="1">
        <f t="shared" si="2"/>
        <v>13</v>
      </c>
      <c r="B125" s="1">
        <v>242510010</v>
      </c>
      <c r="C125" s="32" t="s">
        <v>573</v>
      </c>
      <c r="D125" s="100"/>
      <c r="E125" s="34"/>
      <c r="F125" s="102" t="s">
        <v>3</v>
      </c>
      <c r="G125" s="36"/>
      <c r="H125" s="36"/>
      <c r="I125" s="36"/>
      <c r="J125" s="36"/>
      <c r="K125" s="36"/>
      <c r="L125" s="36"/>
      <c r="M125" s="36"/>
      <c r="N125" s="3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8"/>
      <c r="AB125" s="8"/>
      <c r="AC125" s="8"/>
    </row>
    <row r="126" spans="1:29" ht="18" customHeight="1">
      <c r="A126" s="1">
        <f t="shared" si="2"/>
        <v>14</v>
      </c>
      <c r="B126" s="1">
        <v>242510304</v>
      </c>
      <c r="C126" s="32" t="s">
        <v>574</v>
      </c>
      <c r="D126" s="100"/>
      <c r="E126" s="34"/>
      <c r="F126" s="102" t="s">
        <v>3</v>
      </c>
      <c r="G126" s="36"/>
      <c r="H126" s="36"/>
      <c r="I126" s="36"/>
      <c r="J126" s="36"/>
      <c r="K126" s="36"/>
      <c r="L126" s="36"/>
      <c r="M126" s="36"/>
      <c r="N126" s="3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8"/>
      <c r="AB126" s="8"/>
      <c r="AC126" s="8"/>
    </row>
    <row r="127" spans="1:29" ht="18" customHeight="1">
      <c r="A127" s="1">
        <f t="shared" si="2"/>
        <v>15</v>
      </c>
      <c r="B127" s="1">
        <v>242510124</v>
      </c>
      <c r="C127" s="32" t="s">
        <v>576</v>
      </c>
      <c r="D127" s="100"/>
      <c r="E127" s="34"/>
      <c r="F127" s="102" t="s">
        <v>1</v>
      </c>
      <c r="G127" s="36"/>
      <c r="H127" s="36"/>
      <c r="I127" s="36"/>
      <c r="J127" s="36"/>
      <c r="K127" s="36"/>
      <c r="L127" s="36"/>
      <c r="M127" s="36"/>
      <c r="N127" s="3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8"/>
      <c r="AB127" s="8"/>
      <c r="AC127" s="8"/>
    </row>
    <row r="128" spans="1:29" ht="18" customHeight="1">
      <c r="A128" s="1">
        <f t="shared" si="2"/>
        <v>16</v>
      </c>
      <c r="B128" s="1">
        <v>242510235</v>
      </c>
      <c r="C128" s="32" t="s">
        <v>578</v>
      </c>
      <c r="D128" s="100"/>
      <c r="E128" s="34"/>
      <c r="F128" s="102" t="s">
        <v>1</v>
      </c>
      <c r="G128" s="36"/>
      <c r="H128" s="36"/>
      <c r="I128" s="36"/>
      <c r="J128" s="36"/>
      <c r="K128" s="36"/>
      <c r="L128" s="36"/>
      <c r="M128" s="36"/>
      <c r="N128" s="3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8"/>
      <c r="AB128" s="8"/>
      <c r="AC128" s="8"/>
    </row>
    <row r="129" spans="1:29" ht="18" customHeight="1">
      <c r="A129" s="1">
        <f t="shared" si="2"/>
        <v>17</v>
      </c>
      <c r="B129" s="1">
        <v>242510127</v>
      </c>
      <c r="C129" s="32" t="s">
        <v>580</v>
      </c>
      <c r="D129" s="100"/>
      <c r="E129" s="34"/>
      <c r="F129" s="102" t="s">
        <v>3</v>
      </c>
      <c r="G129" s="36"/>
      <c r="H129" s="36"/>
      <c r="I129" s="36"/>
      <c r="J129" s="36"/>
      <c r="K129" s="36"/>
      <c r="L129" s="36"/>
      <c r="M129" s="36"/>
      <c r="N129" s="3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8"/>
      <c r="AB129" s="8"/>
      <c r="AC129" s="8"/>
    </row>
    <row r="130" spans="1:29" ht="18" customHeight="1">
      <c r="A130" s="1">
        <f t="shared" si="2"/>
        <v>18</v>
      </c>
      <c r="B130" s="1">
        <v>242510270</v>
      </c>
      <c r="C130" s="32" t="s">
        <v>581</v>
      </c>
      <c r="D130" s="100"/>
      <c r="E130" s="34"/>
      <c r="F130" s="102" t="s">
        <v>1</v>
      </c>
      <c r="G130" s="36"/>
      <c r="H130" s="36"/>
      <c r="I130" s="36"/>
      <c r="J130" s="36"/>
      <c r="K130" s="36"/>
      <c r="L130" s="36"/>
      <c r="M130" s="36"/>
      <c r="N130" s="3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8"/>
      <c r="AB130" s="8"/>
      <c r="AC130" s="8"/>
    </row>
    <row r="131" spans="1:29" ht="18" customHeight="1">
      <c r="A131" s="1">
        <f t="shared" si="2"/>
        <v>19</v>
      </c>
      <c r="B131" s="1">
        <v>242510313</v>
      </c>
      <c r="C131" s="32" t="s">
        <v>583</v>
      </c>
      <c r="D131" s="100"/>
      <c r="E131" s="34"/>
      <c r="F131" s="102" t="s">
        <v>3</v>
      </c>
      <c r="G131" s="36"/>
      <c r="H131" s="36"/>
      <c r="I131" s="36"/>
      <c r="J131" s="36"/>
      <c r="K131" s="36"/>
      <c r="L131" s="36"/>
      <c r="M131" s="36"/>
      <c r="N131" s="1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8"/>
      <c r="AB131" s="8"/>
      <c r="AC131" s="8"/>
    </row>
    <row r="132" spans="1:29" ht="18" customHeight="1">
      <c r="A132" s="1">
        <f t="shared" si="2"/>
        <v>20</v>
      </c>
      <c r="B132" s="1">
        <v>242510166</v>
      </c>
      <c r="C132" s="32" t="s">
        <v>585</v>
      </c>
      <c r="D132" s="100"/>
      <c r="E132" s="34"/>
      <c r="F132" s="102" t="s">
        <v>3</v>
      </c>
      <c r="G132" s="36"/>
      <c r="H132" s="36"/>
      <c r="I132" s="36"/>
      <c r="J132" s="36"/>
      <c r="K132" s="36"/>
      <c r="L132" s="36"/>
      <c r="M132" s="36"/>
      <c r="N132" s="3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8"/>
      <c r="AB132" s="8"/>
      <c r="AC132" s="8"/>
    </row>
    <row r="133" spans="1:29" ht="18" customHeight="1">
      <c r="A133" s="1">
        <f t="shared" si="2"/>
        <v>21</v>
      </c>
      <c r="B133" s="1">
        <v>242510091</v>
      </c>
      <c r="C133" s="32" t="s">
        <v>587</v>
      </c>
      <c r="D133" s="100"/>
      <c r="E133" s="34"/>
      <c r="F133" s="102" t="s">
        <v>1</v>
      </c>
      <c r="G133" s="36"/>
      <c r="H133" s="36"/>
      <c r="I133" s="36"/>
      <c r="J133" s="36"/>
      <c r="K133" s="36"/>
      <c r="L133" s="36"/>
      <c r="M133" s="36"/>
      <c r="N133" s="3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8"/>
      <c r="AB133" s="8"/>
      <c r="AC133" s="8"/>
    </row>
    <row r="134" spans="1:29" ht="18" customHeight="1">
      <c r="A134" s="1">
        <f t="shared" si="2"/>
        <v>22</v>
      </c>
      <c r="B134" s="1">
        <v>242510277</v>
      </c>
      <c r="C134" s="32" t="s">
        <v>589</v>
      </c>
      <c r="D134" s="100"/>
      <c r="E134" s="34"/>
      <c r="F134" s="102" t="s">
        <v>3</v>
      </c>
      <c r="G134" s="36"/>
      <c r="H134" s="36"/>
      <c r="I134" s="36"/>
      <c r="J134" s="36"/>
      <c r="K134" s="36"/>
      <c r="L134" s="36"/>
      <c r="M134" s="36"/>
      <c r="N134" s="3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8"/>
      <c r="AB134" s="8"/>
      <c r="AC134" s="8"/>
    </row>
    <row r="135" spans="1:29" ht="18" customHeight="1">
      <c r="A135" s="1">
        <f t="shared" si="2"/>
        <v>23</v>
      </c>
      <c r="B135" s="1">
        <v>242510349</v>
      </c>
      <c r="C135" s="32" t="s">
        <v>591</v>
      </c>
      <c r="D135" s="100"/>
      <c r="E135" s="34"/>
      <c r="F135" s="102" t="s">
        <v>3</v>
      </c>
      <c r="G135" s="36"/>
      <c r="H135" s="36"/>
      <c r="I135" s="36"/>
      <c r="J135" s="36"/>
      <c r="K135" s="36"/>
      <c r="L135" s="36"/>
      <c r="M135" s="36"/>
      <c r="N135" s="3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8"/>
      <c r="AB135" s="8"/>
      <c r="AC135" s="8"/>
    </row>
    <row r="136" spans="1:29" ht="18" customHeight="1">
      <c r="A136" s="1">
        <f t="shared" si="2"/>
        <v>24</v>
      </c>
      <c r="B136" s="1">
        <v>242510350</v>
      </c>
      <c r="C136" s="32" t="s">
        <v>593</v>
      </c>
      <c r="D136" s="100"/>
      <c r="E136" s="34"/>
      <c r="F136" s="102" t="s">
        <v>3</v>
      </c>
      <c r="G136" s="36"/>
      <c r="H136" s="36"/>
      <c r="I136" s="36"/>
      <c r="J136" s="36"/>
      <c r="K136" s="36"/>
      <c r="L136" s="36"/>
      <c r="M136" s="36"/>
      <c r="N136" s="3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8"/>
      <c r="AB136" s="8"/>
      <c r="AC136" s="8"/>
    </row>
    <row r="137" spans="1:29" ht="18" customHeight="1">
      <c r="A137" s="1">
        <f t="shared" si="2"/>
        <v>25</v>
      </c>
      <c r="B137" s="1">
        <v>242510065</v>
      </c>
      <c r="C137" s="32" t="s">
        <v>595</v>
      </c>
      <c r="D137" s="100"/>
      <c r="E137" s="34"/>
      <c r="F137" s="102" t="s">
        <v>3</v>
      </c>
      <c r="G137" s="36"/>
      <c r="H137" s="36"/>
      <c r="I137" s="36"/>
      <c r="J137" s="36"/>
      <c r="K137" s="36"/>
      <c r="L137" s="36"/>
      <c r="M137" s="36"/>
      <c r="N137" s="3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8"/>
      <c r="AB137" s="8"/>
      <c r="AC137" s="8"/>
    </row>
    <row r="138" spans="1:29" ht="18" customHeight="1">
      <c r="A138" s="1">
        <f t="shared" si="2"/>
        <v>26</v>
      </c>
      <c r="B138" s="1">
        <v>242510206</v>
      </c>
      <c r="C138" s="32" t="s">
        <v>596</v>
      </c>
      <c r="D138" s="100"/>
      <c r="E138" s="34"/>
      <c r="F138" s="102" t="s">
        <v>3</v>
      </c>
      <c r="G138" s="36"/>
      <c r="H138" s="36"/>
      <c r="I138" s="36"/>
      <c r="J138" s="36"/>
      <c r="K138" s="36"/>
      <c r="L138" s="36"/>
      <c r="M138" s="36"/>
      <c r="N138" s="3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8"/>
      <c r="AB138" s="8"/>
      <c r="AC138" s="8"/>
    </row>
    <row r="139" spans="1:29" ht="18" customHeight="1">
      <c r="A139" s="1">
        <f t="shared" si="2"/>
        <v>27</v>
      </c>
      <c r="B139" s="1">
        <v>242510392</v>
      </c>
      <c r="C139" s="32" t="s">
        <v>598</v>
      </c>
      <c r="D139" s="100"/>
      <c r="E139" s="34"/>
      <c r="F139" s="102" t="s">
        <v>1</v>
      </c>
      <c r="G139" s="36"/>
      <c r="H139" s="36"/>
      <c r="I139" s="36"/>
      <c r="J139" s="36"/>
      <c r="K139" s="36"/>
      <c r="L139" s="36"/>
      <c r="M139" s="36"/>
      <c r="N139" s="3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8"/>
      <c r="AB139" s="8"/>
      <c r="AC139" s="8"/>
    </row>
    <row r="140" spans="1:29" ht="18" customHeight="1">
      <c r="A140" s="1">
        <f t="shared" si="2"/>
        <v>28</v>
      </c>
      <c r="B140" s="1">
        <v>242510320</v>
      </c>
      <c r="C140" s="32" t="s">
        <v>599</v>
      </c>
      <c r="D140" s="100"/>
      <c r="E140" s="34"/>
      <c r="F140" s="102" t="s">
        <v>1</v>
      </c>
      <c r="G140" s="36"/>
      <c r="H140" s="36"/>
      <c r="I140" s="36"/>
      <c r="J140" s="36"/>
      <c r="K140" s="36"/>
      <c r="L140" s="36"/>
      <c r="M140" s="36"/>
      <c r="N140" s="3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8"/>
      <c r="AB140" s="8"/>
      <c r="AC140" s="8"/>
    </row>
    <row r="141" spans="1:29" ht="18" customHeight="1">
      <c r="A141" s="1">
        <f t="shared" si="2"/>
        <v>29</v>
      </c>
      <c r="B141" s="1">
        <v>242510099</v>
      </c>
      <c r="C141" s="32" t="s">
        <v>600</v>
      </c>
      <c r="D141" s="100"/>
      <c r="E141" s="34"/>
      <c r="F141" s="102" t="s">
        <v>3</v>
      </c>
      <c r="G141" s="36"/>
      <c r="H141" s="36"/>
      <c r="I141" s="36"/>
      <c r="J141" s="36"/>
      <c r="K141" s="36"/>
      <c r="L141" s="36"/>
      <c r="M141" s="36"/>
      <c r="N141" s="3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8"/>
      <c r="AB141" s="8"/>
      <c r="AC141" s="8"/>
    </row>
    <row r="142" spans="1:29" ht="18" customHeight="1">
      <c r="A142" s="1">
        <f t="shared" si="2"/>
        <v>30</v>
      </c>
      <c r="B142" s="1">
        <v>242510209</v>
      </c>
      <c r="C142" s="32" t="s">
        <v>601</v>
      </c>
      <c r="D142" s="100"/>
      <c r="E142" s="34"/>
      <c r="F142" s="102" t="s">
        <v>3</v>
      </c>
      <c r="G142" s="36"/>
      <c r="H142" s="36"/>
      <c r="I142" s="36"/>
      <c r="J142" s="36"/>
      <c r="K142" s="36"/>
      <c r="L142" s="36"/>
      <c r="M142" s="36"/>
      <c r="N142" s="3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8"/>
      <c r="AB142" s="8"/>
      <c r="AC142" s="8"/>
    </row>
    <row r="143" spans="1:29" ht="18" customHeight="1">
      <c r="A143" s="1">
        <f t="shared" si="2"/>
        <v>31</v>
      </c>
      <c r="B143" s="1">
        <v>242510395</v>
      </c>
      <c r="C143" s="32" t="s">
        <v>602</v>
      </c>
      <c r="D143" s="100"/>
      <c r="E143" s="34"/>
      <c r="F143" s="102" t="s">
        <v>3</v>
      </c>
      <c r="G143" s="36"/>
      <c r="H143" s="36"/>
      <c r="I143" s="36"/>
      <c r="J143" s="36"/>
      <c r="K143" s="36"/>
      <c r="L143" s="36"/>
      <c r="M143" s="36"/>
      <c r="N143" s="3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8"/>
      <c r="AB143" s="8"/>
      <c r="AC143" s="8"/>
    </row>
    <row r="144" spans="1:29" ht="18" customHeight="1">
      <c r="A144" s="1">
        <f t="shared" si="2"/>
        <v>32</v>
      </c>
      <c r="B144" s="1">
        <v>242510178</v>
      </c>
      <c r="C144" s="32" t="s">
        <v>605</v>
      </c>
      <c r="D144" s="100"/>
      <c r="E144" s="34"/>
      <c r="F144" s="102" t="s">
        <v>1</v>
      </c>
      <c r="G144" s="36"/>
      <c r="H144" s="36"/>
      <c r="I144" s="36"/>
      <c r="J144" s="36"/>
      <c r="K144" s="36"/>
      <c r="L144" s="36"/>
      <c r="M144" s="36"/>
      <c r="N144" s="3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8"/>
      <c r="AB144" s="8"/>
      <c r="AC144" s="8"/>
    </row>
    <row r="145" spans="1:29" ht="18" customHeight="1">
      <c r="A145" s="1">
        <f t="shared" si="2"/>
        <v>33</v>
      </c>
      <c r="B145" s="1">
        <v>242510036</v>
      </c>
      <c r="C145" s="32" t="s">
        <v>607</v>
      </c>
      <c r="D145" s="100"/>
      <c r="E145" s="34"/>
      <c r="F145" s="102" t="s">
        <v>3</v>
      </c>
      <c r="G145" s="36"/>
      <c r="H145" s="36"/>
      <c r="I145" s="36"/>
      <c r="J145" s="36"/>
      <c r="K145" s="36"/>
      <c r="L145" s="36"/>
      <c r="M145" s="36"/>
      <c r="N145" s="36"/>
      <c r="O145" s="6"/>
      <c r="P145" s="8"/>
      <c r="Q145" s="8"/>
      <c r="R145" s="8"/>
      <c r="S145" s="8"/>
      <c r="T145" s="8"/>
      <c r="U145" s="8"/>
      <c r="V145" s="6"/>
      <c r="W145" s="6"/>
      <c r="X145" s="6"/>
      <c r="Y145" s="6"/>
      <c r="Z145" s="6"/>
      <c r="AA145" s="8"/>
      <c r="AB145" s="8"/>
      <c r="AC145" s="8"/>
    </row>
    <row r="146" spans="1:29" ht="18" customHeight="1">
      <c r="A146" s="1">
        <f t="shared" si="2"/>
        <v>34</v>
      </c>
      <c r="B146" s="1">
        <v>242510248</v>
      </c>
      <c r="C146" s="32" t="s">
        <v>609</v>
      </c>
      <c r="D146" s="100"/>
      <c r="E146" s="34"/>
      <c r="F146" s="102" t="s">
        <v>1</v>
      </c>
      <c r="G146" s="36"/>
      <c r="H146" s="36"/>
      <c r="I146" s="36"/>
      <c r="J146" s="36"/>
      <c r="K146" s="36"/>
      <c r="L146" s="36"/>
      <c r="M146" s="36"/>
      <c r="N146" s="36"/>
      <c r="O146" s="6"/>
      <c r="P146" s="8"/>
      <c r="Q146" s="8"/>
      <c r="R146" s="8"/>
      <c r="S146" s="8"/>
      <c r="T146" s="8"/>
      <c r="U146" s="8"/>
      <c r="V146" s="6"/>
      <c r="W146" s="6"/>
      <c r="X146" s="6"/>
      <c r="Y146" s="6"/>
      <c r="Z146" s="6"/>
      <c r="AA146" s="8"/>
      <c r="AB146" s="8"/>
      <c r="AC146" s="8"/>
    </row>
    <row r="147" spans="1:29" ht="18" customHeight="1">
      <c r="A147" s="83">
        <f t="shared" si="2"/>
        <v>35</v>
      </c>
      <c r="B147" s="83">
        <v>242510180</v>
      </c>
      <c r="C147" s="221" t="s">
        <v>612</v>
      </c>
      <c r="D147" s="222"/>
      <c r="E147" s="223"/>
      <c r="F147" s="243" t="s">
        <v>3</v>
      </c>
      <c r="G147" s="135"/>
      <c r="H147" s="135"/>
      <c r="I147" s="135"/>
      <c r="J147" s="135"/>
      <c r="K147" s="135"/>
      <c r="L147" s="135"/>
      <c r="M147" s="135"/>
      <c r="N147" s="135"/>
      <c r="O147" s="6"/>
      <c r="P147" s="8"/>
      <c r="Q147" s="8"/>
      <c r="R147" s="8"/>
      <c r="S147" s="8"/>
      <c r="T147" s="8"/>
      <c r="U147" s="8"/>
      <c r="V147" s="6"/>
      <c r="W147" s="6"/>
      <c r="X147" s="6"/>
      <c r="Y147" s="6"/>
      <c r="Z147" s="6"/>
      <c r="AA147" s="8"/>
      <c r="AB147" s="8"/>
      <c r="AC147" s="8"/>
    </row>
    <row r="148" spans="1:29" ht="18" customHeight="1" thickBot="1">
      <c r="A148" s="215">
        <f t="shared" si="2"/>
        <v>36</v>
      </c>
      <c r="B148" s="216">
        <v>242510252</v>
      </c>
      <c r="C148" s="225" t="s">
        <v>613</v>
      </c>
      <c r="D148" s="226"/>
      <c r="E148" s="227"/>
      <c r="F148" s="255" t="s">
        <v>1</v>
      </c>
      <c r="G148" s="256"/>
      <c r="H148" s="218"/>
      <c r="I148" s="218"/>
      <c r="J148" s="218"/>
      <c r="K148" s="218"/>
      <c r="L148" s="218"/>
      <c r="M148" s="218"/>
      <c r="N148" s="220"/>
      <c r="O148" s="6"/>
      <c r="P148" s="8"/>
      <c r="Q148" s="8"/>
      <c r="R148" s="8"/>
      <c r="S148" s="8"/>
      <c r="T148" s="8"/>
      <c r="U148" s="8"/>
      <c r="V148" s="6"/>
      <c r="W148" s="6"/>
      <c r="X148" s="6"/>
      <c r="Y148" s="6"/>
      <c r="Z148" s="6"/>
      <c r="AA148" s="8"/>
      <c r="AB148" s="8"/>
      <c r="AC148" s="8"/>
    </row>
    <row r="149" spans="1:29" ht="15.8" customHeight="1">
      <c r="A149" s="79"/>
      <c r="B149" s="79"/>
      <c r="C149" s="20"/>
      <c r="D149" s="20"/>
      <c r="E149" s="20"/>
      <c r="F149" s="257" t="s">
        <v>1</v>
      </c>
      <c r="G149" s="247">
        <f>COUNTIF(F113:F148,"L")</f>
        <v>15</v>
      </c>
      <c r="H149" s="20"/>
      <c r="I149" s="20"/>
      <c r="J149" s="20"/>
      <c r="K149" s="20"/>
      <c r="L149" s="20"/>
      <c r="M149" s="20"/>
      <c r="N149" s="20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8"/>
      <c r="AB149" s="8"/>
      <c r="AC149" s="8"/>
    </row>
    <row r="150" spans="1:29" ht="15.8" customHeight="1" thickBot="1">
      <c r="A150" s="79"/>
      <c r="B150" s="79"/>
      <c r="C150" s="20"/>
      <c r="D150" s="20"/>
      <c r="E150" s="20"/>
      <c r="F150" s="248" t="s">
        <v>3</v>
      </c>
      <c r="G150" s="249">
        <f>COUNTIF(F113:F148,"P")</f>
        <v>21</v>
      </c>
      <c r="H150" s="20"/>
      <c r="I150" s="20"/>
      <c r="J150" s="20"/>
      <c r="K150" s="20"/>
      <c r="L150" s="20"/>
      <c r="M150" s="20"/>
      <c r="N150" s="20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8"/>
      <c r="AB150" s="8"/>
      <c r="AC150" s="8"/>
    </row>
    <row r="151" spans="1:29" ht="15.8" customHeight="1" thickBot="1">
      <c r="A151" s="79"/>
      <c r="B151" s="79"/>
      <c r="C151" s="20"/>
      <c r="D151" s="20"/>
      <c r="E151" s="20"/>
      <c r="F151" s="250" t="s">
        <v>251</v>
      </c>
      <c r="G151" s="251">
        <f>SUM(G149:G150)</f>
        <v>36</v>
      </c>
      <c r="H151" s="20"/>
      <c r="I151" s="20"/>
      <c r="J151" s="20"/>
      <c r="K151" s="20"/>
      <c r="L151" s="20"/>
      <c r="M151" s="20"/>
      <c r="N151" s="20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8"/>
      <c r="AB151" s="8"/>
      <c r="AC151" s="8"/>
    </row>
    <row r="152" spans="1:29" ht="15.8" customHeight="1">
      <c r="A152" s="20" t="s">
        <v>275</v>
      </c>
      <c r="B152" s="6"/>
      <c r="C152" s="20"/>
      <c r="D152" s="20"/>
      <c r="E152" s="20"/>
      <c r="F152" s="94"/>
      <c r="G152" s="6"/>
      <c r="H152" s="6"/>
      <c r="I152" s="82" t="s">
        <v>254</v>
      </c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8"/>
      <c r="AB152" s="8"/>
      <c r="AC152" s="8"/>
    </row>
    <row r="153" spans="1:29" ht="15.8" customHeight="1">
      <c r="A153" s="20" t="s">
        <v>280</v>
      </c>
      <c r="B153" s="6"/>
      <c r="C153" s="20"/>
      <c r="D153" s="20"/>
      <c r="E153" s="20" t="s">
        <v>281</v>
      </c>
      <c r="F153" s="94"/>
      <c r="G153" s="6"/>
      <c r="H153" s="6"/>
      <c r="I153" s="6" t="s">
        <v>256</v>
      </c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8"/>
      <c r="AB153" s="8"/>
      <c r="AC153" s="8"/>
    </row>
    <row r="154" spans="1:29" ht="15.8" customHeight="1">
      <c r="A154" s="20"/>
      <c r="B154" s="6"/>
      <c r="C154" s="20"/>
      <c r="D154" s="20"/>
      <c r="E154" s="20"/>
      <c r="F154" s="79"/>
      <c r="G154" s="20"/>
      <c r="H154" s="20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8"/>
      <c r="AB154" s="8"/>
      <c r="AC154" s="8"/>
    </row>
    <row r="155" spans="1:29" ht="15.8" customHeight="1">
      <c r="A155" s="20"/>
      <c r="B155" s="6"/>
      <c r="C155" s="20"/>
      <c r="D155" s="20"/>
      <c r="E155" s="20"/>
      <c r="F155" s="79"/>
      <c r="G155" s="20"/>
      <c r="H155" s="20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8"/>
      <c r="AB155" s="8"/>
      <c r="AC155" s="8"/>
    </row>
    <row r="156" spans="1:29" ht="15.8" customHeight="1">
      <c r="A156" s="16" t="s">
        <v>630</v>
      </c>
      <c r="B156" s="6"/>
      <c r="C156" s="6"/>
      <c r="D156" s="6"/>
      <c r="E156" s="86" t="s">
        <v>631</v>
      </c>
      <c r="F156" s="94"/>
      <c r="G156" s="6"/>
      <c r="H156" s="20"/>
      <c r="I156" s="87"/>
      <c r="J156" s="87"/>
      <c r="K156" s="87"/>
      <c r="L156" s="87"/>
      <c r="M156" s="87"/>
      <c r="N156" s="87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8"/>
      <c r="AB156" s="8"/>
      <c r="AC156" s="8"/>
    </row>
    <row r="157" spans="1:29" ht="15.8" customHeight="1">
      <c r="A157" s="41" t="s">
        <v>634</v>
      </c>
      <c r="B157" s="41"/>
      <c r="C157" s="20"/>
      <c r="D157" s="20"/>
      <c r="E157" s="20" t="s">
        <v>635</v>
      </c>
      <c r="F157" s="79"/>
      <c r="G157" s="20"/>
      <c r="H157" s="20" t="s">
        <v>266</v>
      </c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8"/>
      <c r="AB157" s="8"/>
      <c r="AC157" s="8"/>
    </row>
    <row r="158" spans="1:29" ht="15.8" customHeight="1">
      <c r="A158" s="6"/>
      <c r="B158" s="6"/>
      <c r="C158" s="6"/>
      <c r="D158" s="6"/>
      <c r="E158" s="6"/>
      <c r="F158" s="94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8"/>
      <c r="AB158" s="8"/>
      <c r="AC158" s="8"/>
    </row>
    <row r="159" spans="1:29" ht="19.55" customHeight="1">
      <c r="A159" s="16" t="s">
        <v>79</v>
      </c>
      <c r="B159" s="16"/>
      <c r="C159" s="4" t="s">
        <v>638</v>
      </c>
      <c r="D159" s="16"/>
      <c r="E159" s="22"/>
      <c r="F159" s="23"/>
      <c r="G159" s="17"/>
      <c r="H159" s="19" t="s">
        <v>82</v>
      </c>
      <c r="I159" s="17"/>
      <c r="J159" s="17"/>
      <c r="K159" s="17"/>
      <c r="L159" s="17"/>
      <c r="M159" s="20"/>
      <c r="N159" s="20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8"/>
      <c r="AB159" s="8"/>
      <c r="AC159" s="8"/>
    </row>
    <row r="160" spans="1:29" ht="9" customHeight="1">
      <c r="A160" s="20"/>
      <c r="B160" s="24"/>
      <c r="C160" s="24"/>
      <c r="D160" s="24"/>
      <c r="E160" s="25"/>
      <c r="F160" s="14"/>
      <c r="G160" s="20"/>
      <c r="H160" s="26"/>
      <c r="I160" s="27"/>
      <c r="J160" s="27"/>
      <c r="K160" s="27"/>
      <c r="L160" s="27"/>
      <c r="M160" s="27"/>
      <c r="N160" s="27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8"/>
      <c r="AB160" s="8"/>
      <c r="AC160" s="8"/>
    </row>
    <row r="161" spans="1:29" ht="15.8" customHeight="1">
      <c r="A161" s="176" t="s">
        <v>84</v>
      </c>
      <c r="B161" s="177"/>
      <c r="C161" s="178" t="s">
        <v>85</v>
      </c>
      <c r="D161" s="179"/>
      <c r="E161" s="180"/>
      <c r="F161" s="184" t="s">
        <v>86</v>
      </c>
      <c r="G161" s="176" t="s">
        <v>87</v>
      </c>
      <c r="H161" s="186"/>
      <c r="I161" s="186"/>
      <c r="J161" s="186"/>
      <c r="K161" s="186"/>
      <c r="L161" s="186"/>
      <c r="M161" s="177"/>
      <c r="N161" s="184" t="s">
        <v>88</v>
      </c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8"/>
      <c r="AB161" s="8"/>
      <c r="AC161" s="8"/>
    </row>
    <row r="162" spans="1:29" ht="15.8" customHeight="1">
      <c r="A162" s="28" t="s">
        <v>90</v>
      </c>
      <c r="B162" s="28" t="s">
        <v>91</v>
      </c>
      <c r="C162" s="181"/>
      <c r="D162" s="182"/>
      <c r="E162" s="183"/>
      <c r="F162" s="185"/>
      <c r="G162" s="28"/>
      <c r="H162" s="28"/>
      <c r="I162" s="28"/>
      <c r="J162" s="28"/>
      <c r="K162" s="28"/>
      <c r="L162" s="28"/>
      <c r="M162" s="28"/>
      <c r="N162" s="185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8"/>
      <c r="AB162" s="8"/>
      <c r="AC162" s="8"/>
    </row>
    <row r="163" spans="1:29" ht="18" customHeight="1">
      <c r="A163" s="1">
        <v>1</v>
      </c>
      <c r="B163" s="1">
        <v>242510077</v>
      </c>
      <c r="C163" s="32" t="s">
        <v>647</v>
      </c>
      <c r="D163" s="100"/>
      <c r="E163" s="34"/>
      <c r="F163" s="35" t="s">
        <v>1</v>
      </c>
      <c r="G163" s="36"/>
      <c r="H163" s="36"/>
      <c r="I163" s="36"/>
      <c r="J163" s="36"/>
      <c r="K163" s="36"/>
      <c r="L163" s="36"/>
      <c r="M163" s="36"/>
      <c r="N163" s="3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8"/>
      <c r="AB163" s="8"/>
      <c r="AC163" s="8"/>
    </row>
    <row r="164" spans="1:29" ht="18" customHeight="1">
      <c r="A164" s="1">
        <f t="shared" ref="A164:A198" si="3">A163+1</f>
        <v>2</v>
      </c>
      <c r="B164" s="1">
        <v>242510296</v>
      </c>
      <c r="C164" s="32" t="s">
        <v>650</v>
      </c>
      <c r="D164" s="100"/>
      <c r="E164" s="34"/>
      <c r="F164" s="35" t="s">
        <v>1</v>
      </c>
      <c r="G164" s="36"/>
      <c r="H164" s="36"/>
      <c r="I164" s="36"/>
      <c r="J164" s="36"/>
      <c r="K164" s="36"/>
      <c r="L164" s="36"/>
      <c r="M164" s="36"/>
      <c r="N164" s="3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8"/>
      <c r="AB164" s="8"/>
      <c r="AC164" s="8"/>
    </row>
    <row r="165" spans="1:29" ht="18" customHeight="1">
      <c r="A165" s="1">
        <f t="shared" si="3"/>
        <v>3</v>
      </c>
      <c r="B165" s="1">
        <v>252611407</v>
      </c>
      <c r="C165" s="32" t="s">
        <v>652</v>
      </c>
      <c r="D165" s="100"/>
      <c r="E165" s="34"/>
      <c r="F165" s="35" t="s">
        <v>3</v>
      </c>
      <c r="G165" s="36"/>
      <c r="H165" s="36"/>
      <c r="I165" s="36"/>
      <c r="J165" s="36"/>
      <c r="K165" s="36"/>
      <c r="L165" s="36"/>
      <c r="M165" s="36"/>
      <c r="N165" s="3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8"/>
      <c r="AB165" s="8"/>
      <c r="AC165" s="8"/>
    </row>
    <row r="166" spans="1:29" ht="18" customHeight="1">
      <c r="A166" s="1">
        <f t="shared" si="3"/>
        <v>4</v>
      </c>
      <c r="B166" s="1">
        <v>242510220</v>
      </c>
      <c r="C166" s="32" t="s">
        <v>655</v>
      </c>
      <c r="D166" s="100"/>
      <c r="E166" s="34"/>
      <c r="F166" s="35" t="s">
        <v>1</v>
      </c>
      <c r="G166" s="36"/>
      <c r="H166" s="36"/>
      <c r="I166" s="36"/>
      <c r="J166" s="36"/>
      <c r="K166" s="36"/>
      <c r="L166" s="36"/>
      <c r="M166" s="36"/>
      <c r="N166" s="3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8"/>
      <c r="AB166" s="8"/>
      <c r="AC166" s="8"/>
    </row>
    <row r="167" spans="1:29" ht="18" customHeight="1">
      <c r="A167" s="1">
        <f t="shared" si="3"/>
        <v>5</v>
      </c>
      <c r="B167" s="1">
        <v>252611402</v>
      </c>
      <c r="C167" s="32" t="s">
        <v>658</v>
      </c>
      <c r="D167" s="100"/>
      <c r="E167" s="34"/>
      <c r="F167" s="35" t="s">
        <v>3</v>
      </c>
      <c r="G167" s="36"/>
      <c r="H167" s="36"/>
      <c r="I167" s="36"/>
      <c r="J167" s="36"/>
      <c r="K167" s="36"/>
      <c r="L167" s="36"/>
      <c r="M167" s="36"/>
      <c r="N167" s="3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8"/>
      <c r="AB167" s="8"/>
      <c r="AC167" s="8"/>
    </row>
    <row r="168" spans="1:29" ht="18" customHeight="1">
      <c r="A168" s="1">
        <f t="shared" si="3"/>
        <v>6</v>
      </c>
      <c r="B168" s="1">
        <v>242510189</v>
      </c>
      <c r="C168" s="32" t="s">
        <v>661</v>
      </c>
      <c r="D168" s="100"/>
      <c r="E168" s="34"/>
      <c r="F168" s="35" t="s">
        <v>1</v>
      </c>
      <c r="G168" s="36"/>
      <c r="H168" s="36"/>
      <c r="I168" s="36"/>
      <c r="J168" s="36"/>
      <c r="K168" s="36"/>
      <c r="L168" s="36"/>
      <c r="M168" s="36"/>
      <c r="N168" s="3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8"/>
      <c r="AB168" s="8"/>
      <c r="AC168" s="8"/>
    </row>
    <row r="169" spans="1:29" ht="18" customHeight="1">
      <c r="A169" s="1">
        <f t="shared" si="3"/>
        <v>7</v>
      </c>
      <c r="B169" s="1">
        <v>242510192</v>
      </c>
      <c r="C169" s="32" t="s">
        <v>664</v>
      </c>
      <c r="D169" s="100"/>
      <c r="E169" s="34"/>
      <c r="F169" s="35" t="s">
        <v>1</v>
      </c>
      <c r="G169" s="36"/>
      <c r="H169" s="36"/>
      <c r="I169" s="36"/>
      <c r="J169" s="36"/>
      <c r="K169" s="36"/>
      <c r="L169" s="36"/>
      <c r="M169" s="36"/>
      <c r="N169" s="3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8"/>
      <c r="AB169" s="8"/>
      <c r="AC169" s="8"/>
    </row>
    <row r="170" spans="1:29" ht="18" customHeight="1">
      <c r="A170" s="1">
        <f t="shared" si="3"/>
        <v>8</v>
      </c>
      <c r="B170" s="1">
        <v>242510231</v>
      </c>
      <c r="C170" s="32" t="s">
        <v>667</v>
      </c>
      <c r="D170" s="100"/>
      <c r="E170" s="34"/>
      <c r="F170" s="35" t="s">
        <v>3</v>
      </c>
      <c r="G170" s="36"/>
      <c r="H170" s="36"/>
      <c r="I170" s="36"/>
      <c r="J170" s="36"/>
      <c r="K170" s="36"/>
      <c r="L170" s="36"/>
      <c r="M170" s="36"/>
      <c r="N170" s="3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8"/>
      <c r="AB170" s="8"/>
      <c r="AC170" s="8"/>
    </row>
    <row r="171" spans="1:29" ht="18" customHeight="1">
      <c r="A171" s="1">
        <f t="shared" si="3"/>
        <v>9</v>
      </c>
      <c r="B171" s="1">
        <v>242510123</v>
      </c>
      <c r="C171" s="32" t="s">
        <v>670</v>
      </c>
      <c r="D171" s="100"/>
      <c r="E171" s="34"/>
      <c r="F171" s="35" t="s">
        <v>1</v>
      </c>
      <c r="G171" s="36"/>
      <c r="H171" s="36"/>
      <c r="I171" s="36"/>
      <c r="J171" s="36"/>
      <c r="K171" s="36"/>
      <c r="L171" s="36"/>
      <c r="M171" s="36"/>
      <c r="N171" s="3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8"/>
      <c r="AB171" s="8"/>
      <c r="AC171" s="8"/>
    </row>
    <row r="172" spans="1:29" ht="18" customHeight="1">
      <c r="A172" s="1">
        <f t="shared" si="3"/>
        <v>10</v>
      </c>
      <c r="B172" s="1">
        <v>242510050</v>
      </c>
      <c r="C172" s="32" t="s">
        <v>673</v>
      </c>
      <c r="D172" s="100"/>
      <c r="E172" s="34"/>
      <c r="F172" s="35" t="s">
        <v>3</v>
      </c>
      <c r="G172" s="36"/>
      <c r="H172" s="36"/>
      <c r="I172" s="36"/>
      <c r="J172" s="36"/>
      <c r="K172" s="36"/>
      <c r="L172" s="36"/>
      <c r="M172" s="36"/>
      <c r="N172" s="3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8"/>
      <c r="AB172" s="8"/>
      <c r="AC172" s="8"/>
    </row>
    <row r="173" spans="1:29" ht="18" customHeight="1">
      <c r="A173" s="1">
        <f t="shared" si="3"/>
        <v>11</v>
      </c>
      <c r="B173" s="1">
        <v>252611399</v>
      </c>
      <c r="C173" s="32" t="s">
        <v>676</v>
      </c>
      <c r="D173" s="100"/>
      <c r="E173" s="34"/>
      <c r="F173" s="35" t="s">
        <v>1</v>
      </c>
      <c r="G173" s="36"/>
      <c r="H173" s="36"/>
      <c r="I173" s="36"/>
      <c r="J173" s="36"/>
      <c r="K173" s="36"/>
      <c r="L173" s="36"/>
      <c r="M173" s="36"/>
      <c r="N173" s="3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8"/>
      <c r="AB173" s="8"/>
      <c r="AC173" s="8"/>
    </row>
    <row r="174" spans="1:29" ht="18" customHeight="1">
      <c r="A174" s="1">
        <f t="shared" si="3"/>
        <v>12</v>
      </c>
      <c r="B174" s="1">
        <v>242510273</v>
      </c>
      <c r="C174" s="32" t="s">
        <v>678</v>
      </c>
      <c r="D174" s="100"/>
      <c r="E174" s="34"/>
      <c r="F174" s="35" t="s">
        <v>1</v>
      </c>
      <c r="G174" s="36"/>
      <c r="H174" s="36"/>
      <c r="I174" s="36"/>
      <c r="J174" s="36"/>
      <c r="K174" s="36"/>
      <c r="L174" s="36"/>
      <c r="M174" s="36"/>
      <c r="N174" s="3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8"/>
      <c r="AB174" s="8"/>
      <c r="AC174" s="8"/>
    </row>
    <row r="175" spans="1:29" ht="18" customHeight="1">
      <c r="A175" s="1">
        <f t="shared" si="3"/>
        <v>13</v>
      </c>
      <c r="B175" s="1">
        <v>242510019</v>
      </c>
      <c r="C175" s="32" t="s">
        <v>681</v>
      </c>
      <c r="D175" s="100"/>
      <c r="E175" s="34"/>
      <c r="F175" s="35" t="s">
        <v>1</v>
      </c>
      <c r="G175" s="36"/>
      <c r="H175" s="36"/>
      <c r="I175" s="36"/>
      <c r="J175" s="36"/>
      <c r="K175" s="36"/>
      <c r="L175" s="36"/>
      <c r="M175" s="36"/>
      <c r="N175" s="3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8"/>
      <c r="AB175" s="8"/>
      <c r="AC175" s="8"/>
    </row>
    <row r="176" spans="1:29" ht="18" customHeight="1">
      <c r="A176" s="1">
        <f t="shared" si="3"/>
        <v>14</v>
      </c>
      <c r="B176" s="1">
        <v>242510275</v>
      </c>
      <c r="C176" s="32" t="s">
        <v>683</v>
      </c>
      <c r="D176" s="100"/>
      <c r="E176" s="34"/>
      <c r="F176" s="35" t="s">
        <v>1</v>
      </c>
      <c r="G176" s="36"/>
      <c r="H176" s="36"/>
      <c r="I176" s="36"/>
      <c r="J176" s="36"/>
      <c r="K176" s="36"/>
      <c r="L176" s="36"/>
      <c r="M176" s="36"/>
      <c r="N176" s="3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8"/>
      <c r="AB176" s="8"/>
      <c r="AC176" s="8"/>
    </row>
    <row r="177" spans="1:29" ht="18" customHeight="1">
      <c r="A177" s="1">
        <f t="shared" si="3"/>
        <v>15</v>
      </c>
      <c r="B177" s="1">
        <v>242510382</v>
      </c>
      <c r="C177" s="32" t="s">
        <v>687</v>
      </c>
      <c r="D177" s="100"/>
      <c r="E177" s="34"/>
      <c r="F177" s="35" t="s">
        <v>1</v>
      </c>
      <c r="G177" s="36"/>
      <c r="H177" s="36"/>
      <c r="I177" s="36"/>
      <c r="J177" s="36"/>
      <c r="K177" s="36"/>
      <c r="L177" s="36"/>
      <c r="M177" s="36"/>
      <c r="N177" s="3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8"/>
      <c r="AB177" s="8"/>
      <c r="AC177" s="8"/>
    </row>
    <row r="178" spans="1:29" ht="18" customHeight="1">
      <c r="A178" s="1">
        <f t="shared" si="3"/>
        <v>16</v>
      </c>
      <c r="B178" s="1">
        <v>242510238</v>
      </c>
      <c r="C178" s="32" t="s">
        <v>688</v>
      </c>
      <c r="D178" s="100"/>
      <c r="E178" s="34"/>
      <c r="F178" s="35" t="s">
        <v>1</v>
      </c>
      <c r="G178" s="36"/>
      <c r="H178" s="36"/>
      <c r="I178" s="36"/>
      <c r="J178" s="36"/>
      <c r="K178" s="36"/>
      <c r="L178" s="36"/>
      <c r="M178" s="36"/>
      <c r="N178" s="3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8"/>
      <c r="AB178" s="8"/>
      <c r="AC178" s="8"/>
    </row>
    <row r="179" spans="1:29" ht="18" customHeight="1">
      <c r="A179" s="1">
        <f t="shared" si="3"/>
        <v>17</v>
      </c>
      <c r="B179" s="1">
        <v>242510092</v>
      </c>
      <c r="C179" s="32" t="s">
        <v>691</v>
      </c>
      <c r="D179" s="100"/>
      <c r="E179" s="34"/>
      <c r="F179" s="35" t="s">
        <v>1</v>
      </c>
      <c r="G179" s="36"/>
      <c r="H179" s="36"/>
      <c r="I179" s="36"/>
      <c r="J179" s="36"/>
      <c r="K179" s="36"/>
      <c r="L179" s="36"/>
      <c r="M179" s="36"/>
      <c r="N179" s="3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8"/>
      <c r="AB179" s="8"/>
      <c r="AC179" s="8"/>
    </row>
    <row r="180" spans="1:29" ht="18" customHeight="1">
      <c r="A180" s="1">
        <f t="shared" si="3"/>
        <v>18</v>
      </c>
      <c r="B180" s="1">
        <v>242510135</v>
      </c>
      <c r="C180" s="32" t="s">
        <v>693</v>
      </c>
      <c r="D180" s="100"/>
      <c r="E180" s="34"/>
      <c r="F180" s="35" t="s">
        <v>3</v>
      </c>
      <c r="G180" s="36"/>
      <c r="H180" s="36"/>
      <c r="I180" s="36"/>
      <c r="J180" s="36"/>
      <c r="K180" s="36"/>
      <c r="L180" s="36"/>
      <c r="M180" s="36"/>
      <c r="N180" s="3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8"/>
      <c r="AB180" s="8"/>
      <c r="AC180" s="8"/>
    </row>
    <row r="181" spans="1:29" ht="18" customHeight="1">
      <c r="A181" s="1">
        <f t="shared" si="3"/>
        <v>19</v>
      </c>
      <c r="B181" s="1">
        <v>242510064</v>
      </c>
      <c r="C181" s="32" t="s">
        <v>696</v>
      </c>
      <c r="D181" s="100"/>
      <c r="E181" s="34"/>
      <c r="F181" s="35" t="s">
        <v>1</v>
      </c>
      <c r="G181" s="36"/>
      <c r="H181" s="36"/>
      <c r="I181" s="36"/>
      <c r="J181" s="36"/>
      <c r="K181" s="36"/>
      <c r="L181" s="36"/>
      <c r="M181" s="36"/>
      <c r="N181" s="3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8"/>
      <c r="AB181" s="8"/>
      <c r="AC181" s="8"/>
    </row>
    <row r="182" spans="1:29" ht="18" customHeight="1">
      <c r="A182" s="1">
        <f t="shared" si="3"/>
        <v>20</v>
      </c>
      <c r="B182" s="1">
        <v>242510025</v>
      </c>
      <c r="C182" s="32" t="s">
        <v>698</v>
      </c>
      <c r="D182" s="100"/>
      <c r="E182" s="34"/>
      <c r="F182" s="35" t="s">
        <v>3</v>
      </c>
      <c r="G182" s="36"/>
      <c r="H182" s="36"/>
      <c r="I182" s="36"/>
      <c r="J182" s="36"/>
      <c r="K182" s="36"/>
      <c r="L182" s="36"/>
      <c r="M182" s="36"/>
      <c r="N182" s="1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8"/>
      <c r="AB182" s="8"/>
      <c r="AC182" s="8"/>
    </row>
    <row r="183" spans="1:29" ht="18" customHeight="1">
      <c r="A183" s="1">
        <f t="shared" si="3"/>
        <v>21</v>
      </c>
      <c r="B183" s="1">
        <v>242510389</v>
      </c>
      <c r="C183" s="32" t="s">
        <v>701</v>
      </c>
      <c r="D183" s="100"/>
      <c r="E183" s="34"/>
      <c r="F183" s="35" t="s">
        <v>3</v>
      </c>
      <c r="G183" s="36"/>
      <c r="H183" s="36"/>
      <c r="I183" s="36"/>
      <c r="J183" s="36"/>
      <c r="K183" s="36"/>
      <c r="L183" s="36"/>
      <c r="M183" s="36"/>
      <c r="N183" s="3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8"/>
      <c r="AB183" s="8"/>
      <c r="AC183" s="8"/>
    </row>
    <row r="184" spans="1:29" ht="18" customHeight="1">
      <c r="A184" s="1">
        <f t="shared" si="3"/>
        <v>22</v>
      </c>
      <c r="B184" s="1">
        <v>242510244</v>
      </c>
      <c r="C184" s="32" t="s">
        <v>704</v>
      </c>
      <c r="D184" s="100"/>
      <c r="E184" s="34"/>
      <c r="F184" s="35" t="s">
        <v>1</v>
      </c>
      <c r="G184" s="36"/>
      <c r="H184" s="36"/>
      <c r="I184" s="36"/>
      <c r="J184" s="36"/>
      <c r="K184" s="36"/>
      <c r="L184" s="36"/>
      <c r="M184" s="36"/>
      <c r="N184" s="3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8"/>
      <c r="AB184" s="8"/>
      <c r="AC184" s="8"/>
    </row>
    <row r="185" spans="1:29" ht="18" customHeight="1">
      <c r="A185" s="1">
        <f t="shared" si="3"/>
        <v>23</v>
      </c>
      <c r="B185" s="1">
        <v>242510390</v>
      </c>
      <c r="C185" s="32" t="s">
        <v>707</v>
      </c>
      <c r="D185" s="100"/>
      <c r="E185" s="34"/>
      <c r="F185" s="35" t="s">
        <v>1</v>
      </c>
      <c r="G185" s="36"/>
      <c r="H185" s="36"/>
      <c r="I185" s="36"/>
      <c r="J185" s="36"/>
      <c r="K185" s="36"/>
      <c r="L185" s="36"/>
      <c r="M185" s="36"/>
      <c r="N185" s="3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8"/>
      <c r="AB185" s="8"/>
      <c r="AC185" s="8"/>
    </row>
    <row r="186" spans="1:29" ht="18" customHeight="1">
      <c r="A186" s="1">
        <f t="shared" si="3"/>
        <v>24</v>
      </c>
      <c r="B186" s="1">
        <v>242510205</v>
      </c>
      <c r="C186" s="32" t="s">
        <v>710</v>
      </c>
      <c r="D186" s="100"/>
      <c r="E186" s="34"/>
      <c r="F186" s="35" t="s">
        <v>1</v>
      </c>
      <c r="G186" s="36"/>
      <c r="H186" s="36"/>
      <c r="I186" s="36"/>
      <c r="J186" s="36"/>
      <c r="K186" s="36"/>
      <c r="L186" s="36"/>
      <c r="M186" s="36"/>
      <c r="N186" s="3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8"/>
      <c r="AB186" s="8"/>
      <c r="AC186" s="8"/>
    </row>
    <row r="187" spans="1:29" ht="18" customHeight="1">
      <c r="A187" s="1">
        <f t="shared" si="3"/>
        <v>25</v>
      </c>
      <c r="B187" s="1">
        <v>242510029</v>
      </c>
      <c r="C187" s="32" t="s">
        <v>713</v>
      </c>
      <c r="D187" s="100"/>
      <c r="E187" s="34"/>
      <c r="F187" s="35" t="s">
        <v>1</v>
      </c>
      <c r="G187" s="36"/>
      <c r="H187" s="36"/>
      <c r="I187" s="36"/>
      <c r="J187" s="36"/>
      <c r="K187" s="36"/>
      <c r="L187" s="36"/>
      <c r="M187" s="36"/>
      <c r="N187" s="3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8"/>
      <c r="AB187" s="8"/>
      <c r="AC187" s="8"/>
    </row>
    <row r="188" spans="1:29" ht="18" customHeight="1">
      <c r="A188" s="1">
        <f t="shared" si="3"/>
        <v>26</v>
      </c>
      <c r="B188" s="1">
        <v>242510354</v>
      </c>
      <c r="C188" s="32" t="s">
        <v>716</v>
      </c>
      <c r="D188" s="100"/>
      <c r="E188" s="34"/>
      <c r="F188" s="35" t="s">
        <v>1</v>
      </c>
      <c r="G188" s="36"/>
      <c r="H188" s="36"/>
      <c r="I188" s="36"/>
      <c r="J188" s="36"/>
      <c r="K188" s="36"/>
      <c r="L188" s="36"/>
      <c r="M188" s="36"/>
      <c r="N188" s="3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8"/>
      <c r="AB188" s="8"/>
      <c r="AC188" s="8"/>
    </row>
    <row r="189" spans="1:29" ht="18" customHeight="1">
      <c r="A189" s="1">
        <f t="shared" si="3"/>
        <v>27</v>
      </c>
      <c r="B189" s="1">
        <v>242510245</v>
      </c>
      <c r="C189" s="32" t="s">
        <v>718</v>
      </c>
      <c r="D189" s="100"/>
      <c r="E189" s="34"/>
      <c r="F189" s="35" t="s">
        <v>1</v>
      </c>
      <c r="G189" s="36"/>
      <c r="H189" s="36"/>
      <c r="I189" s="36"/>
      <c r="J189" s="36"/>
      <c r="K189" s="36"/>
      <c r="L189" s="36"/>
      <c r="M189" s="36"/>
      <c r="N189" s="3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8"/>
      <c r="AB189" s="8"/>
      <c r="AC189" s="8"/>
    </row>
    <row r="190" spans="1:29" ht="18" customHeight="1">
      <c r="A190" s="1">
        <f t="shared" si="3"/>
        <v>28</v>
      </c>
      <c r="B190" s="1">
        <v>242510355</v>
      </c>
      <c r="C190" s="32" t="s">
        <v>721</v>
      </c>
      <c r="D190" s="100"/>
      <c r="E190" s="34"/>
      <c r="F190" s="35" t="s">
        <v>1</v>
      </c>
      <c r="G190" s="36"/>
      <c r="H190" s="36"/>
      <c r="I190" s="36"/>
      <c r="J190" s="36"/>
      <c r="K190" s="36"/>
      <c r="L190" s="36"/>
      <c r="M190" s="36"/>
      <c r="N190" s="3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8"/>
      <c r="AB190" s="8"/>
      <c r="AC190" s="8"/>
    </row>
    <row r="191" spans="1:29" ht="18" customHeight="1">
      <c r="A191" s="1">
        <f t="shared" si="3"/>
        <v>29</v>
      </c>
      <c r="B191" s="1">
        <v>242510068</v>
      </c>
      <c r="C191" s="32" t="s">
        <v>723</v>
      </c>
      <c r="D191" s="100"/>
      <c r="E191" s="34"/>
      <c r="F191" s="35" t="s">
        <v>1</v>
      </c>
      <c r="G191" s="36"/>
      <c r="H191" s="36"/>
      <c r="I191" s="36"/>
      <c r="J191" s="36"/>
      <c r="K191" s="36"/>
      <c r="L191" s="36"/>
      <c r="M191" s="36"/>
      <c r="N191" s="3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8"/>
      <c r="AB191" s="8"/>
      <c r="AC191" s="8"/>
    </row>
    <row r="192" spans="1:29" ht="18" customHeight="1">
      <c r="A192" s="1">
        <f t="shared" si="3"/>
        <v>30</v>
      </c>
      <c r="B192" s="1">
        <v>242510321</v>
      </c>
      <c r="C192" s="32" t="s">
        <v>725</v>
      </c>
      <c r="D192" s="100"/>
      <c r="E192" s="34"/>
      <c r="F192" s="35" t="s">
        <v>1</v>
      </c>
      <c r="G192" s="36"/>
      <c r="H192" s="36"/>
      <c r="I192" s="36"/>
      <c r="J192" s="36"/>
      <c r="K192" s="36"/>
      <c r="L192" s="36"/>
      <c r="M192" s="36"/>
      <c r="N192" s="3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8"/>
      <c r="AB192" s="8"/>
      <c r="AC192" s="8"/>
    </row>
    <row r="193" spans="1:29" ht="18" customHeight="1">
      <c r="A193" s="1">
        <f t="shared" si="3"/>
        <v>31</v>
      </c>
      <c r="B193" s="1">
        <v>242510070</v>
      </c>
      <c r="C193" s="32" t="s">
        <v>727</v>
      </c>
      <c r="D193" s="100"/>
      <c r="E193" s="34"/>
      <c r="F193" s="35" t="s">
        <v>3</v>
      </c>
      <c r="G193" s="36"/>
      <c r="H193" s="36"/>
      <c r="I193" s="36"/>
      <c r="J193" s="36"/>
      <c r="K193" s="36"/>
      <c r="L193" s="36"/>
      <c r="M193" s="36"/>
      <c r="N193" s="36"/>
      <c r="O193" s="6"/>
      <c r="P193" s="8"/>
      <c r="Q193" s="8"/>
      <c r="R193" s="8"/>
      <c r="S193" s="8"/>
      <c r="T193" s="8"/>
      <c r="U193" s="8"/>
      <c r="V193" s="6"/>
      <c r="W193" s="6"/>
      <c r="X193" s="6"/>
      <c r="Y193" s="6"/>
      <c r="Z193" s="6"/>
      <c r="AA193" s="8"/>
      <c r="AB193" s="8"/>
      <c r="AC193" s="8"/>
    </row>
    <row r="194" spans="1:29" ht="18" customHeight="1">
      <c r="A194" s="1">
        <f t="shared" si="3"/>
        <v>32</v>
      </c>
      <c r="B194" s="1">
        <v>242510289</v>
      </c>
      <c r="C194" s="32" t="s">
        <v>729</v>
      </c>
      <c r="D194" s="100"/>
      <c r="E194" s="34"/>
      <c r="F194" s="35" t="s">
        <v>3</v>
      </c>
      <c r="G194" s="36"/>
      <c r="H194" s="36"/>
      <c r="I194" s="36"/>
      <c r="J194" s="36"/>
      <c r="K194" s="36"/>
      <c r="L194" s="36"/>
      <c r="M194" s="36"/>
      <c r="N194" s="3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8"/>
      <c r="AB194" s="8"/>
      <c r="AC194" s="8"/>
    </row>
    <row r="195" spans="1:29" ht="18" customHeight="1">
      <c r="A195" s="1">
        <f t="shared" si="3"/>
        <v>33</v>
      </c>
      <c r="B195" s="1">
        <v>252611400</v>
      </c>
      <c r="C195" s="32" t="s">
        <v>731</v>
      </c>
      <c r="D195" s="100"/>
      <c r="E195" s="34"/>
      <c r="F195" s="35" t="s">
        <v>1</v>
      </c>
      <c r="G195" s="36"/>
      <c r="H195" s="36"/>
      <c r="I195" s="36"/>
      <c r="J195" s="36"/>
      <c r="K195" s="36"/>
      <c r="L195" s="36"/>
      <c r="M195" s="36"/>
      <c r="N195" s="3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8"/>
      <c r="AB195" s="8"/>
      <c r="AC195" s="8"/>
    </row>
    <row r="196" spans="1:29" ht="18" customHeight="1">
      <c r="A196" s="83">
        <f t="shared" si="3"/>
        <v>34</v>
      </c>
      <c r="B196" s="83">
        <v>242510037</v>
      </c>
      <c r="C196" s="221" t="s">
        <v>734</v>
      </c>
      <c r="D196" s="222"/>
      <c r="E196" s="223"/>
      <c r="F196" s="224" t="s">
        <v>3</v>
      </c>
      <c r="G196" s="135"/>
      <c r="H196" s="135"/>
      <c r="I196" s="135"/>
      <c r="J196" s="135"/>
      <c r="K196" s="135"/>
      <c r="L196" s="135"/>
      <c r="M196" s="135"/>
      <c r="N196" s="135"/>
      <c r="O196" s="6"/>
      <c r="P196" s="8"/>
      <c r="Q196" s="8"/>
      <c r="R196" s="8"/>
      <c r="S196" s="8"/>
      <c r="T196" s="8"/>
      <c r="U196" s="8"/>
      <c r="V196" s="6"/>
      <c r="W196" s="6"/>
      <c r="X196" s="6"/>
      <c r="Y196" s="6"/>
      <c r="Z196" s="6"/>
      <c r="AA196" s="8"/>
      <c r="AB196" s="8"/>
      <c r="AC196" s="8"/>
    </row>
    <row r="197" spans="1:29" ht="18" customHeight="1">
      <c r="A197" s="228">
        <f t="shared" si="3"/>
        <v>35</v>
      </c>
      <c r="B197" s="229">
        <v>242510253</v>
      </c>
      <c r="C197" s="230" t="s">
        <v>735</v>
      </c>
      <c r="D197" s="231"/>
      <c r="E197" s="232"/>
      <c r="F197" s="233" t="s">
        <v>1</v>
      </c>
      <c r="G197" s="234"/>
      <c r="H197" s="234"/>
      <c r="I197" s="234"/>
      <c r="J197" s="234"/>
      <c r="K197" s="234"/>
      <c r="L197" s="234"/>
      <c r="M197" s="234"/>
      <c r="N197" s="235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8"/>
      <c r="AB197" s="8"/>
      <c r="AC197" s="8"/>
    </row>
    <row r="198" spans="1:29" ht="18" customHeight="1" thickBot="1">
      <c r="A198" s="236">
        <f t="shared" si="3"/>
        <v>36</v>
      </c>
      <c r="B198" s="237">
        <v>242510110</v>
      </c>
      <c r="C198" s="238" t="s">
        <v>737</v>
      </c>
      <c r="D198" s="239"/>
      <c r="E198" s="240"/>
      <c r="F198" s="224" t="s">
        <v>1</v>
      </c>
      <c r="G198" s="135"/>
      <c r="H198" s="241"/>
      <c r="I198" s="241"/>
      <c r="J198" s="241"/>
      <c r="K198" s="241"/>
      <c r="L198" s="241"/>
      <c r="M198" s="241"/>
      <c r="N198" s="242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8"/>
      <c r="AB198" s="8"/>
      <c r="AC198" s="8"/>
    </row>
    <row r="199" spans="1:29" ht="15.8" customHeight="1">
      <c r="A199" s="79"/>
      <c r="B199" s="79"/>
      <c r="C199" s="20"/>
      <c r="D199" s="20"/>
      <c r="E199" s="20"/>
      <c r="F199" s="257" t="s">
        <v>1</v>
      </c>
      <c r="G199" s="247">
        <f>COUNTIF(F163:F198,"L")</f>
        <v>26</v>
      </c>
      <c r="H199" s="20"/>
      <c r="I199" s="20"/>
      <c r="J199" s="20"/>
      <c r="K199" s="20"/>
      <c r="L199" s="20"/>
      <c r="M199" s="20"/>
      <c r="N199" s="20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8"/>
      <c r="AB199" s="8"/>
      <c r="AC199" s="8"/>
    </row>
    <row r="200" spans="1:29" ht="15.8" customHeight="1" thickBot="1">
      <c r="A200" s="79"/>
      <c r="B200" s="79"/>
      <c r="C200" s="20"/>
      <c r="D200" s="20"/>
      <c r="E200" s="20"/>
      <c r="F200" s="248" t="s">
        <v>3</v>
      </c>
      <c r="G200" s="249">
        <f>COUNTIF(F163:F198,"P")</f>
        <v>10</v>
      </c>
      <c r="H200" s="20"/>
      <c r="I200" s="20"/>
      <c r="J200" s="20"/>
      <c r="K200" s="20"/>
      <c r="L200" s="20"/>
      <c r="M200" s="20"/>
      <c r="N200" s="20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8"/>
      <c r="AB200" s="8"/>
      <c r="AC200" s="8"/>
    </row>
    <row r="201" spans="1:29" ht="15.8" customHeight="1" thickBot="1">
      <c r="A201" s="79"/>
      <c r="B201" s="79"/>
      <c r="C201" s="20"/>
      <c r="D201" s="20"/>
      <c r="E201" s="20"/>
      <c r="F201" s="250" t="s">
        <v>251</v>
      </c>
      <c r="G201" s="251">
        <f>SUM(G199:G200)</f>
        <v>36</v>
      </c>
      <c r="H201" s="20"/>
      <c r="I201" s="20"/>
      <c r="J201" s="20"/>
      <c r="K201" s="20"/>
      <c r="L201" s="20"/>
      <c r="M201" s="20"/>
      <c r="N201" s="20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8"/>
      <c r="AB201" s="8"/>
      <c r="AC201" s="8"/>
    </row>
    <row r="202" spans="1:29" ht="15.8" customHeight="1">
      <c r="A202" s="20" t="s">
        <v>275</v>
      </c>
      <c r="B202" s="6"/>
      <c r="C202" s="20"/>
      <c r="D202" s="20"/>
      <c r="E202" s="20"/>
      <c r="F202" s="94"/>
      <c r="G202" s="6"/>
      <c r="H202" s="6"/>
      <c r="I202" s="82" t="s">
        <v>254</v>
      </c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8"/>
      <c r="AB202" s="8"/>
      <c r="AC202" s="8"/>
    </row>
    <row r="203" spans="1:29" ht="15.8" customHeight="1">
      <c r="A203" s="20" t="s">
        <v>280</v>
      </c>
      <c r="B203" s="6"/>
      <c r="C203" s="20"/>
      <c r="D203" s="20"/>
      <c r="E203" s="20" t="s">
        <v>281</v>
      </c>
      <c r="F203" s="94"/>
      <c r="G203" s="6"/>
      <c r="H203" s="6"/>
      <c r="I203" s="6" t="s">
        <v>256</v>
      </c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8"/>
      <c r="AB203" s="8"/>
      <c r="AC203" s="8"/>
    </row>
    <row r="204" spans="1:29" ht="15.8" customHeight="1">
      <c r="A204" s="20"/>
      <c r="B204" s="6"/>
      <c r="C204" s="20"/>
      <c r="D204" s="20"/>
      <c r="E204" s="20"/>
      <c r="F204" s="79"/>
      <c r="G204" s="20"/>
      <c r="H204" s="20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8"/>
      <c r="AB204" s="8"/>
      <c r="AC204" s="8"/>
    </row>
    <row r="205" spans="1:29" ht="15.8" customHeight="1">
      <c r="A205" s="20"/>
      <c r="B205" s="6"/>
      <c r="C205" s="20"/>
      <c r="D205" s="20"/>
      <c r="E205" s="20"/>
      <c r="F205" s="79"/>
      <c r="G205" s="20"/>
      <c r="H205" s="20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8"/>
      <c r="AB205" s="8"/>
      <c r="AC205" s="8"/>
    </row>
    <row r="206" spans="1:29" ht="15.8" customHeight="1">
      <c r="A206" s="24" t="s">
        <v>743</v>
      </c>
      <c r="B206" s="6"/>
      <c r="C206" s="6"/>
      <c r="D206" s="6"/>
      <c r="E206" s="86" t="s">
        <v>744</v>
      </c>
      <c r="F206" s="94"/>
      <c r="G206" s="6"/>
      <c r="H206" s="20"/>
      <c r="I206" s="87"/>
      <c r="J206" s="87"/>
      <c r="K206" s="87"/>
      <c r="L206" s="87"/>
      <c r="M206" s="87"/>
      <c r="N206" s="87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8"/>
      <c r="AB206" s="8"/>
      <c r="AC206" s="8"/>
    </row>
    <row r="207" spans="1:29" ht="15.8" customHeight="1">
      <c r="A207" s="41" t="s">
        <v>745</v>
      </c>
      <c r="B207" s="41"/>
      <c r="C207" s="20"/>
      <c r="D207" s="20"/>
      <c r="E207" s="20" t="s">
        <v>746</v>
      </c>
      <c r="F207" s="79"/>
      <c r="G207" s="20"/>
      <c r="H207" s="20" t="s">
        <v>266</v>
      </c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8"/>
      <c r="AB207" s="8"/>
      <c r="AC207" s="8"/>
    </row>
    <row r="208" spans="1:29" ht="15.8" customHeight="1">
      <c r="A208" s="6"/>
      <c r="B208" s="6"/>
      <c r="C208" s="6"/>
      <c r="D208" s="6"/>
      <c r="E208" s="6"/>
      <c r="F208" s="94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8"/>
      <c r="AB208" s="8"/>
      <c r="AC208" s="8"/>
    </row>
    <row r="209" spans="1:29" ht="19.55" customHeight="1">
      <c r="A209" s="16" t="s">
        <v>79</v>
      </c>
      <c r="B209" s="16"/>
      <c r="C209" s="4" t="s">
        <v>748</v>
      </c>
      <c r="D209" s="16"/>
      <c r="E209" s="22"/>
      <c r="F209" s="23"/>
      <c r="G209" s="17"/>
      <c r="H209" s="19" t="s">
        <v>82</v>
      </c>
      <c r="I209" s="17"/>
      <c r="J209" s="17"/>
      <c r="K209" s="17"/>
      <c r="L209" s="17"/>
      <c r="M209" s="20"/>
      <c r="N209" s="20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8"/>
      <c r="AB209" s="8"/>
      <c r="AC209" s="8"/>
    </row>
    <row r="210" spans="1:29" ht="9" customHeight="1">
      <c r="A210" s="20"/>
      <c r="B210" s="24"/>
      <c r="C210" s="24"/>
      <c r="D210" s="24"/>
      <c r="E210" s="25"/>
      <c r="F210" s="14"/>
      <c r="G210" s="20"/>
      <c r="H210" s="26"/>
      <c r="I210" s="27"/>
      <c r="J210" s="27"/>
      <c r="K210" s="27"/>
      <c r="L210" s="27"/>
      <c r="M210" s="27"/>
      <c r="N210" s="27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8"/>
      <c r="AB210" s="8"/>
      <c r="AC210" s="8"/>
    </row>
    <row r="211" spans="1:29" ht="15.8" customHeight="1">
      <c r="A211" s="176" t="s">
        <v>84</v>
      </c>
      <c r="B211" s="177"/>
      <c r="C211" s="178" t="s">
        <v>85</v>
      </c>
      <c r="D211" s="179"/>
      <c r="E211" s="180"/>
      <c r="F211" s="184" t="s">
        <v>86</v>
      </c>
      <c r="G211" s="176" t="s">
        <v>87</v>
      </c>
      <c r="H211" s="186"/>
      <c r="I211" s="186"/>
      <c r="J211" s="186"/>
      <c r="K211" s="186"/>
      <c r="L211" s="186"/>
      <c r="M211" s="177"/>
      <c r="N211" s="184" t="s">
        <v>88</v>
      </c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8"/>
      <c r="AB211" s="8"/>
      <c r="AC211" s="8"/>
    </row>
    <row r="212" spans="1:29" ht="15.8" customHeight="1">
      <c r="A212" s="28" t="s">
        <v>90</v>
      </c>
      <c r="B212" s="28" t="s">
        <v>91</v>
      </c>
      <c r="C212" s="181"/>
      <c r="D212" s="182"/>
      <c r="E212" s="183"/>
      <c r="F212" s="185"/>
      <c r="G212" s="28"/>
      <c r="H212" s="28"/>
      <c r="I212" s="28"/>
      <c r="J212" s="28"/>
      <c r="K212" s="28"/>
      <c r="L212" s="28"/>
      <c r="M212" s="28"/>
      <c r="N212" s="185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8"/>
      <c r="AB212" s="8"/>
      <c r="AC212" s="8"/>
    </row>
    <row r="213" spans="1:29" ht="18" customHeight="1">
      <c r="A213" s="1">
        <v>1</v>
      </c>
      <c r="B213" s="1">
        <v>242510258</v>
      </c>
      <c r="C213" s="32" t="s">
        <v>751</v>
      </c>
      <c r="D213" s="100"/>
      <c r="E213" s="34"/>
      <c r="F213" s="35" t="s">
        <v>1</v>
      </c>
      <c r="G213" s="36"/>
      <c r="H213" s="36"/>
      <c r="I213" s="36"/>
      <c r="J213" s="36"/>
      <c r="K213" s="36"/>
      <c r="L213" s="36"/>
      <c r="M213" s="36"/>
      <c r="N213" s="3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8"/>
      <c r="AB213" s="8"/>
      <c r="AC213" s="8"/>
    </row>
    <row r="214" spans="1:29" ht="18" customHeight="1">
      <c r="A214" s="1">
        <f t="shared" ref="A214:A248" si="4">A213+1</f>
        <v>2</v>
      </c>
      <c r="B214" s="1">
        <v>242510294</v>
      </c>
      <c r="C214" s="32" t="s">
        <v>752</v>
      </c>
      <c r="D214" s="100"/>
      <c r="E214" s="34"/>
      <c r="F214" s="35" t="s">
        <v>1</v>
      </c>
      <c r="G214" s="36"/>
      <c r="H214" s="36"/>
      <c r="I214" s="36"/>
      <c r="J214" s="36"/>
      <c r="K214" s="36"/>
      <c r="L214" s="36"/>
      <c r="M214" s="36"/>
      <c r="N214" s="3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8"/>
      <c r="AB214" s="8"/>
      <c r="AC214" s="8"/>
    </row>
    <row r="215" spans="1:29" ht="18" customHeight="1">
      <c r="A215" s="1">
        <f t="shared" si="4"/>
        <v>3</v>
      </c>
      <c r="B215" s="1">
        <v>242510152</v>
      </c>
      <c r="C215" s="32" t="s">
        <v>753</v>
      </c>
      <c r="D215" s="100"/>
      <c r="E215" s="34"/>
      <c r="F215" s="35" t="s">
        <v>1</v>
      </c>
      <c r="G215" s="36"/>
      <c r="H215" s="36"/>
      <c r="I215" s="36"/>
      <c r="J215" s="36"/>
      <c r="K215" s="36"/>
      <c r="L215" s="36"/>
      <c r="M215" s="36"/>
      <c r="N215" s="3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8"/>
      <c r="AB215" s="8"/>
      <c r="AC215" s="8"/>
    </row>
    <row r="216" spans="1:29" ht="18" customHeight="1">
      <c r="A216" s="1">
        <f t="shared" si="4"/>
        <v>4</v>
      </c>
      <c r="B216" s="1">
        <v>242510007</v>
      </c>
      <c r="C216" s="32" t="s">
        <v>754</v>
      </c>
      <c r="D216" s="100"/>
      <c r="E216" s="34"/>
      <c r="F216" s="35" t="s">
        <v>3</v>
      </c>
      <c r="G216" s="36"/>
      <c r="H216" s="36"/>
      <c r="I216" s="36"/>
      <c r="J216" s="36"/>
      <c r="K216" s="36"/>
      <c r="L216" s="36"/>
      <c r="M216" s="36"/>
      <c r="N216" s="3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8"/>
      <c r="AB216" s="8"/>
      <c r="AC216" s="8"/>
    </row>
    <row r="217" spans="1:29" ht="18" customHeight="1">
      <c r="A217" s="1">
        <f t="shared" si="4"/>
        <v>5</v>
      </c>
      <c r="B217" s="1">
        <v>242510229</v>
      </c>
      <c r="C217" s="32" t="s">
        <v>756</v>
      </c>
      <c r="D217" s="100"/>
      <c r="E217" s="34"/>
      <c r="F217" s="35" t="s">
        <v>1</v>
      </c>
      <c r="G217" s="36"/>
      <c r="H217" s="36"/>
      <c r="I217" s="36"/>
      <c r="J217" s="36"/>
      <c r="K217" s="36"/>
      <c r="L217" s="36"/>
      <c r="M217" s="36"/>
      <c r="N217" s="3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8"/>
      <c r="AB217" s="8"/>
      <c r="AC217" s="8"/>
    </row>
    <row r="218" spans="1:29" ht="18" customHeight="1">
      <c r="A218" s="1">
        <f t="shared" si="4"/>
        <v>6</v>
      </c>
      <c r="B218" s="1">
        <v>242510230</v>
      </c>
      <c r="C218" s="32" t="s">
        <v>758</v>
      </c>
      <c r="D218" s="100"/>
      <c r="E218" s="34"/>
      <c r="F218" s="35" t="s">
        <v>1</v>
      </c>
      <c r="G218" s="36"/>
      <c r="H218" s="36"/>
      <c r="I218" s="36"/>
      <c r="J218" s="36"/>
      <c r="K218" s="36"/>
      <c r="L218" s="36"/>
      <c r="M218" s="36"/>
      <c r="N218" s="3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8"/>
      <c r="AB218" s="8"/>
      <c r="AC218" s="8"/>
    </row>
    <row r="219" spans="1:29" ht="18" customHeight="1">
      <c r="A219" s="1">
        <f t="shared" si="4"/>
        <v>7</v>
      </c>
      <c r="B219" s="1">
        <v>242510372</v>
      </c>
      <c r="C219" s="32" t="s">
        <v>760</v>
      </c>
      <c r="D219" s="100"/>
      <c r="E219" s="34"/>
      <c r="F219" s="35" t="s">
        <v>3</v>
      </c>
      <c r="G219" s="36"/>
      <c r="H219" s="36"/>
      <c r="I219" s="36"/>
      <c r="J219" s="36"/>
      <c r="K219" s="36"/>
      <c r="L219" s="36"/>
      <c r="M219" s="36"/>
      <c r="N219" s="3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8"/>
      <c r="AB219" s="8"/>
      <c r="AC219" s="8"/>
    </row>
    <row r="220" spans="1:29" ht="18" customHeight="1">
      <c r="A220" s="1">
        <f t="shared" si="4"/>
        <v>8</v>
      </c>
      <c r="B220" s="1">
        <v>242510266</v>
      </c>
      <c r="C220" s="32" t="s">
        <v>763</v>
      </c>
      <c r="D220" s="100"/>
      <c r="E220" s="34"/>
      <c r="F220" s="35" t="s">
        <v>1</v>
      </c>
      <c r="G220" s="36"/>
      <c r="H220" s="36"/>
      <c r="I220" s="36"/>
      <c r="J220" s="36"/>
      <c r="K220" s="36"/>
      <c r="L220" s="36"/>
      <c r="M220" s="36"/>
      <c r="N220" s="3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8"/>
      <c r="AB220" s="8"/>
      <c r="AC220" s="8"/>
    </row>
    <row r="221" spans="1:29" ht="18" customHeight="1">
      <c r="A221" s="1">
        <f t="shared" si="4"/>
        <v>9</v>
      </c>
      <c r="B221" s="1">
        <v>242510232</v>
      </c>
      <c r="C221" s="32" t="s">
        <v>765</v>
      </c>
      <c r="D221" s="100"/>
      <c r="E221" s="34"/>
      <c r="F221" s="35" t="s">
        <v>1</v>
      </c>
      <c r="G221" s="36"/>
      <c r="H221" s="36"/>
      <c r="I221" s="36"/>
      <c r="J221" s="36"/>
      <c r="K221" s="36"/>
      <c r="L221" s="36"/>
      <c r="M221" s="36"/>
      <c r="N221" s="3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8"/>
      <c r="AB221" s="8"/>
      <c r="AC221" s="8"/>
    </row>
    <row r="222" spans="1:29" ht="18" customHeight="1">
      <c r="A222" s="1">
        <f t="shared" si="4"/>
        <v>10</v>
      </c>
      <c r="B222" s="1">
        <v>242510157</v>
      </c>
      <c r="C222" s="32" t="s">
        <v>766</v>
      </c>
      <c r="D222" s="100"/>
      <c r="E222" s="34"/>
      <c r="F222" s="35" t="s">
        <v>1</v>
      </c>
      <c r="G222" s="36"/>
      <c r="H222" s="36"/>
      <c r="I222" s="36"/>
      <c r="J222" s="36"/>
      <c r="K222" s="36"/>
      <c r="L222" s="36"/>
      <c r="M222" s="36"/>
      <c r="N222" s="3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8"/>
      <c r="AB222" s="8"/>
      <c r="AC222" s="8"/>
    </row>
    <row r="223" spans="1:29" ht="18" customHeight="1">
      <c r="A223" s="1">
        <f t="shared" si="4"/>
        <v>11</v>
      </c>
      <c r="B223" s="1">
        <v>242510196</v>
      </c>
      <c r="C223" s="32" t="s">
        <v>770</v>
      </c>
      <c r="D223" s="100"/>
      <c r="E223" s="34"/>
      <c r="F223" s="35" t="s">
        <v>1</v>
      </c>
      <c r="G223" s="36"/>
      <c r="H223" s="36"/>
      <c r="I223" s="36"/>
      <c r="J223" s="36"/>
      <c r="K223" s="36"/>
      <c r="L223" s="36"/>
      <c r="M223" s="36"/>
      <c r="N223" s="3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8"/>
      <c r="AB223" s="8"/>
      <c r="AC223" s="8"/>
    </row>
    <row r="224" spans="1:29" ht="18" customHeight="1">
      <c r="A224" s="1">
        <f t="shared" si="4"/>
        <v>12</v>
      </c>
      <c r="B224" s="1">
        <v>242510013</v>
      </c>
      <c r="C224" s="32" t="s">
        <v>772</v>
      </c>
      <c r="D224" s="100"/>
      <c r="E224" s="34"/>
      <c r="F224" s="35" t="s">
        <v>1</v>
      </c>
      <c r="G224" s="36"/>
      <c r="H224" s="36"/>
      <c r="I224" s="36"/>
      <c r="J224" s="36"/>
      <c r="K224" s="36"/>
      <c r="L224" s="36"/>
      <c r="M224" s="36"/>
      <c r="N224" s="3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8"/>
      <c r="AB224" s="8"/>
      <c r="AC224" s="8"/>
    </row>
    <row r="225" spans="1:29" ht="18" customHeight="1">
      <c r="A225" s="1">
        <f t="shared" si="4"/>
        <v>13</v>
      </c>
      <c r="B225" s="1">
        <v>242510340</v>
      </c>
      <c r="C225" s="32" t="s">
        <v>775</v>
      </c>
      <c r="D225" s="100"/>
      <c r="E225" s="34"/>
      <c r="F225" s="35" t="s">
        <v>3</v>
      </c>
      <c r="G225" s="36"/>
      <c r="H225" s="36"/>
      <c r="I225" s="36"/>
      <c r="J225" s="36"/>
      <c r="K225" s="36"/>
      <c r="L225" s="36"/>
      <c r="M225" s="36"/>
      <c r="N225" s="3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8"/>
      <c r="AB225" s="8"/>
      <c r="AC225" s="8"/>
    </row>
    <row r="226" spans="1:29" ht="18" customHeight="1">
      <c r="A226" s="1">
        <f t="shared" si="4"/>
        <v>14</v>
      </c>
      <c r="B226" s="1">
        <v>252612408</v>
      </c>
      <c r="C226" s="32" t="s">
        <v>777</v>
      </c>
      <c r="D226" s="100"/>
      <c r="E226" s="34"/>
      <c r="F226" s="35" t="s">
        <v>1</v>
      </c>
      <c r="G226" s="36"/>
      <c r="H226" s="36"/>
      <c r="I226" s="36"/>
      <c r="J226" s="36"/>
      <c r="K226" s="36"/>
      <c r="L226" s="36"/>
      <c r="M226" s="36"/>
      <c r="N226" s="3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8"/>
      <c r="AB226" s="8"/>
      <c r="AC226" s="8"/>
    </row>
    <row r="227" spans="1:29" ht="18" customHeight="1">
      <c r="A227" s="1">
        <f t="shared" si="4"/>
        <v>15</v>
      </c>
      <c r="B227" s="1">
        <v>242510343</v>
      </c>
      <c r="C227" s="32" t="s">
        <v>779</v>
      </c>
      <c r="D227" s="100"/>
      <c r="E227" s="34"/>
      <c r="F227" s="35" t="s">
        <v>1</v>
      </c>
      <c r="G227" s="36"/>
      <c r="H227" s="36"/>
      <c r="I227" s="36"/>
      <c r="J227" s="36"/>
      <c r="K227" s="36"/>
      <c r="L227" s="36"/>
      <c r="M227" s="36"/>
      <c r="N227" s="3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8"/>
      <c r="AB227" s="8"/>
      <c r="AC227" s="8"/>
    </row>
    <row r="228" spans="1:29" ht="18" customHeight="1">
      <c r="A228" s="1">
        <f t="shared" si="4"/>
        <v>16</v>
      </c>
      <c r="B228" s="1">
        <v>242510088</v>
      </c>
      <c r="C228" s="32" t="s">
        <v>782</v>
      </c>
      <c r="D228" s="100"/>
      <c r="E228" s="34"/>
      <c r="F228" s="35" t="s">
        <v>3</v>
      </c>
      <c r="G228" s="36"/>
      <c r="H228" s="36"/>
      <c r="I228" s="36"/>
      <c r="J228" s="36"/>
      <c r="K228" s="36"/>
      <c r="L228" s="36"/>
      <c r="M228" s="36"/>
      <c r="N228" s="3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8"/>
      <c r="AB228" s="8"/>
      <c r="AC228" s="8"/>
    </row>
    <row r="229" spans="1:29" ht="18" customHeight="1">
      <c r="A229" s="1">
        <f t="shared" si="4"/>
        <v>17</v>
      </c>
      <c r="B229" s="1">
        <v>252611401</v>
      </c>
      <c r="C229" s="32" t="s">
        <v>785</v>
      </c>
      <c r="D229" s="100"/>
      <c r="E229" s="34"/>
      <c r="F229" s="35" t="s">
        <v>1</v>
      </c>
      <c r="G229" s="36"/>
      <c r="H229" s="36"/>
      <c r="I229" s="36"/>
      <c r="J229" s="36"/>
      <c r="K229" s="36"/>
      <c r="L229" s="36"/>
      <c r="M229" s="36"/>
      <c r="N229" s="3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8"/>
      <c r="AB229" s="8"/>
      <c r="AC229" s="8"/>
    </row>
    <row r="230" spans="1:29" ht="18" customHeight="1">
      <c r="A230" s="1">
        <f t="shared" si="4"/>
        <v>18</v>
      </c>
      <c r="B230" s="1">
        <v>242510274</v>
      </c>
      <c r="C230" s="32" t="s">
        <v>788</v>
      </c>
      <c r="D230" s="100"/>
      <c r="E230" s="34"/>
      <c r="F230" s="35" t="s">
        <v>1</v>
      </c>
      <c r="G230" s="36"/>
      <c r="H230" s="36"/>
      <c r="I230" s="36"/>
      <c r="J230" s="36"/>
      <c r="K230" s="36"/>
      <c r="L230" s="36"/>
      <c r="M230" s="36"/>
      <c r="N230" s="3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8"/>
      <c r="AB230" s="8"/>
      <c r="AC230" s="8"/>
    </row>
    <row r="231" spans="1:29" ht="18" customHeight="1">
      <c r="A231" s="1">
        <f t="shared" si="4"/>
        <v>19</v>
      </c>
      <c r="B231" s="1">
        <v>242510276</v>
      </c>
      <c r="C231" s="32" t="s">
        <v>791</v>
      </c>
      <c r="D231" s="100"/>
      <c r="E231" s="34"/>
      <c r="F231" s="35" t="s">
        <v>1</v>
      </c>
      <c r="G231" s="36"/>
      <c r="H231" s="36"/>
      <c r="I231" s="36"/>
      <c r="J231" s="36"/>
      <c r="K231" s="36"/>
      <c r="L231" s="36"/>
      <c r="M231" s="36"/>
      <c r="N231" s="1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8"/>
      <c r="AB231" s="8"/>
      <c r="AC231" s="8"/>
    </row>
    <row r="232" spans="1:29" ht="18" customHeight="1">
      <c r="A232" s="1">
        <f t="shared" si="4"/>
        <v>20</v>
      </c>
      <c r="B232" s="1">
        <v>242510170</v>
      </c>
      <c r="C232" s="32" t="s">
        <v>794</v>
      </c>
      <c r="D232" s="100"/>
      <c r="E232" s="34"/>
      <c r="F232" s="35" t="s">
        <v>1</v>
      </c>
      <c r="G232" s="36"/>
      <c r="H232" s="36"/>
      <c r="I232" s="36"/>
      <c r="J232" s="36"/>
      <c r="K232" s="36"/>
      <c r="L232" s="36"/>
      <c r="M232" s="36"/>
      <c r="N232" s="3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8"/>
      <c r="AB232" s="8"/>
      <c r="AC232" s="8"/>
    </row>
    <row r="233" spans="1:29" ht="18" customHeight="1">
      <c r="A233" s="1">
        <f t="shared" si="4"/>
        <v>21</v>
      </c>
      <c r="B233" s="1">
        <v>242510383</v>
      </c>
      <c r="C233" s="32" t="s">
        <v>797</v>
      </c>
      <c r="D233" s="100"/>
      <c r="E233" s="34"/>
      <c r="F233" s="35" t="s">
        <v>1</v>
      </c>
      <c r="G233" s="36"/>
      <c r="H233" s="36"/>
      <c r="I233" s="36"/>
      <c r="J233" s="36"/>
      <c r="K233" s="36"/>
      <c r="L233" s="36"/>
      <c r="M233" s="36"/>
      <c r="N233" s="3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8"/>
      <c r="AB233" s="8"/>
      <c r="AC233" s="8"/>
    </row>
    <row r="234" spans="1:29" ht="18" customHeight="1">
      <c r="A234" s="1">
        <f t="shared" si="4"/>
        <v>22</v>
      </c>
      <c r="B234" s="1">
        <v>242510346</v>
      </c>
      <c r="C234" s="32" t="s">
        <v>799</v>
      </c>
      <c r="D234" s="100"/>
      <c r="E234" s="34"/>
      <c r="F234" s="35" t="s">
        <v>1</v>
      </c>
      <c r="G234" s="36"/>
      <c r="H234" s="36"/>
      <c r="I234" s="36"/>
      <c r="J234" s="36"/>
      <c r="K234" s="36"/>
      <c r="L234" s="36"/>
      <c r="M234" s="36"/>
      <c r="N234" s="3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8"/>
      <c r="AB234" s="8"/>
      <c r="AC234" s="8"/>
    </row>
    <row r="235" spans="1:29" ht="18" customHeight="1">
      <c r="A235" s="1">
        <f t="shared" si="4"/>
        <v>23</v>
      </c>
      <c r="B235" s="1">
        <v>242510241</v>
      </c>
      <c r="C235" s="32" t="s">
        <v>801</v>
      </c>
      <c r="D235" s="100"/>
      <c r="E235" s="34"/>
      <c r="F235" s="35" t="s">
        <v>1</v>
      </c>
      <c r="G235" s="36"/>
      <c r="H235" s="36"/>
      <c r="I235" s="36"/>
      <c r="J235" s="36"/>
      <c r="K235" s="36"/>
      <c r="L235" s="36"/>
      <c r="M235" s="36"/>
      <c r="N235" s="3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8"/>
      <c r="AB235" s="8"/>
      <c r="AC235" s="8"/>
    </row>
    <row r="236" spans="1:29" ht="18" customHeight="1">
      <c r="A236" s="1">
        <f t="shared" si="4"/>
        <v>24</v>
      </c>
      <c r="B236" s="1">
        <v>242510388</v>
      </c>
      <c r="C236" s="32" t="s">
        <v>804</v>
      </c>
      <c r="D236" s="100"/>
      <c r="E236" s="34"/>
      <c r="F236" s="35" t="s">
        <v>3</v>
      </c>
      <c r="G236" s="36"/>
      <c r="H236" s="36"/>
      <c r="I236" s="36"/>
      <c r="J236" s="36"/>
      <c r="K236" s="36"/>
      <c r="L236" s="36"/>
      <c r="M236" s="36"/>
      <c r="N236" s="3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8"/>
      <c r="AB236" s="8"/>
      <c r="AC236" s="8"/>
    </row>
    <row r="237" spans="1:29" ht="18" customHeight="1">
      <c r="A237" s="1">
        <f t="shared" si="4"/>
        <v>25</v>
      </c>
      <c r="B237" s="1">
        <v>242510023</v>
      </c>
      <c r="C237" s="32" t="s">
        <v>806</v>
      </c>
      <c r="D237" s="100"/>
      <c r="E237" s="34"/>
      <c r="F237" s="35" t="s">
        <v>1</v>
      </c>
      <c r="G237" s="36"/>
      <c r="H237" s="36"/>
      <c r="I237" s="36"/>
      <c r="J237" s="36"/>
      <c r="K237" s="36"/>
      <c r="L237" s="36"/>
      <c r="M237" s="36"/>
      <c r="N237" s="3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8"/>
      <c r="AB237" s="8"/>
      <c r="AC237" s="8"/>
    </row>
    <row r="238" spans="1:29" ht="18" customHeight="1">
      <c r="A238" s="1">
        <f t="shared" si="4"/>
        <v>26</v>
      </c>
      <c r="B238" s="1">
        <v>242510094</v>
      </c>
      <c r="C238" s="32" t="s">
        <v>809</v>
      </c>
      <c r="D238" s="100"/>
      <c r="E238" s="34"/>
      <c r="F238" s="35" t="s">
        <v>3</v>
      </c>
      <c r="G238" s="36"/>
      <c r="H238" s="36"/>
      <c r="I238" s="36"/>
      <c r="J238" s="36"/>
      <c r="K238" s="36"/>
      <c r="L238" s="36"/>
      <c r="M238" s="36"/>
      <c r="N238" s="3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8"/>
      <c r="AB238" s="8"/>
      <c r="AC238" s="8"/>
    </row>
    <row r="239" spans="1:29" ht="18" customHeight="1">
      <c r="A239" s="1">
        <f t="shared" si="4"/>
        <v>27</v>
      </c>
      <c r="B239" s="1">
        <v>242510391</v>
      </c>
      <c r="C239" s="32" t="s">
        <v>811</v>
      </c>
      <c r="D239" s="100"/>
      <c r="E239" s="34"/>
      <c r="F239" s="35" t="s">
        <v>3</v>
      </c>
      <c r="G239" s="36"/>
      <c r="H239" s="36"/>
      <c r="I239" s="36"/>
      <c r="J239" s="36"/>
      <c r="K239" s="36"/>
      <c r="L239" s="36"/>
      <c r="M239" s="36"/>
      <c r="N239" s="3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8"/>
      <c r="AB239" s="8"/>
      <c r="AC239" s="8"/>
    </row>
    <row r="240" spans="1:29" ht="18" customHeight="1">
      <c r="A240" s="1">
        <f t="shared" si="4"/>
        <v>28</v>
      </c>
      <c r="B240" s="1">
        <v>242510136</v>
      </c>
      <c r="C240" s="32" t="s">
        <v>814</v>
      </c>
      <c r="D240" s="100"/>
      <c r="E240" s="34"/>
      <c r="F240" s="35" t="s">
        <v>3</v>
      </c>
      <c r="G240" s="36"/>
      <c r="H240" s="36"/>
      <c r="I240" s="36"/>
      <c r="J240" s="36"/>
      <c r="K240" s="36"/>
      <c r="L240" s="36"/>
      <c r="M240" s="36"/>
      <c r="N240" s="3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8"/>
      <c r="AB240" s="8"/>
      <c r="AC240" s="8"/>
    </row>
    <row r="241" spans="1:29" ht="18" customHeight="1">
      <c r="A241" s="1">
        <f t="shared" si="4"/>
        <v>29</v>
      </c>
      <c r="B241" s="1">
        <v>242510067</v>
      </c>
      <c r="C241" s="32" t="s">
        <v>817</v>
      </c>
      <c r="D241" s="100"/>
      <c r="E241" s="34"/>
      <c r="F241" s="35" t="s">
        <v>3</v>
      </c>
      <c r="G241" s="36"/>
      <c r="H241" s="36"/>
      <c r="I241" s="36"/>
      <c r="J241" s="36"/>
      <c r="K241" s="36"/>
      <c r="L241" s="36"/>
      <c r="M241" s="36"/>
      <c r="N241" s="3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8"/>
      <c r="AB241" s="8"/>
      <c r="AC241" s="8"/>
    </row>
    <row r="242" spans="1:29" ht="18" customHeight="1">
      <c r="A242" s="1">
        <f t="shared" si="4"/>
        <v>30</v>
      </c>
      <c r="B242" s="1">
        <v>242510137</v>
      </c>
      <c r="C242" s="32" t="s">
        <v>820</v>
      </c>
      <c r="D242" s="100"/>
      <c r="E242" s="34"/>
      <c r="F242" s="35" t="s">
        <v>1</v>
      </c>
      <c r="G242" s="36"/>
      <c r="H242" s="36"/>
      <c r="I242" s="36"/>
      <c r="J242" s="36"/>
      <c r="K242" s="36"/>
      <c r="L242" s="36"/>
      <c r="M242" s="36"/>
      <c r="N242" s="3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8"/>
      <c r="AB242" s="8"/>
      <c r="AC242" s="8"/>
    </row>
    <row r="243" spans="1:29" ht="18" customHeight="1">
      <c r="A243" s="1">
        <f t="shared" si="4"/>
        <v>31</v>
      </c>
      <c r="B243" s="1">
        <v>242510139</v>
      </c>
      <c r="C243" s="32" t="s">
        <v>822</v>
      </c>
      <c r="D243" s="100"/>
      <c r="E243" s="34"/>
      <c r="F243" s="35" t="s">
        <v>3</v>
      </c>
      <c r="G243" s="36"/>
      <c r="H243" s="36"/>
      <c r="I243" s="36"/>
      <c r="J243" s="36"/>
      <c r="K243" s="36"/>
      <c r="L243" s="36"/>
      <c r="M243" s="36"/>
      <c r="N243" s="3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8"/>
      <c r="AB243" s="8"/>
      <c r="AC243" s="8"/>
    </row>
    <row r="244" spans="1:29" ht="18" customHeight="1">
      <c r="A244" s="1">
        <f t="shared" si="4"/>
        <v>32</v>
      </c>
      <c r="B244" s="1">
        <v>242510069</v>
      </c>
      <c r="C244" s="32" t="s">
        <v>824</v>
      </c>
      <c r="D244" s="100"/>
      <c r="E244" s="34"/>
      <c r="F244" s="35" t="s">
        <v>3</v>
      </c>
      <c r="G244" s="36"/>
      <c r="H244" s="36"/>
      <c r="I244" s="36"/>
      <c r="J244" s="36"/>
      <c r="K244" s="36"/>
      <c r="L244" s="36"/>
      <c r="M244" s="36"/>
      <c r="N244" s="3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8"/>
      <c r="AB244" s="8"/>
      <c r="AC244" s="8"/>
    </row>
    <row r="245" spans="1:29" ht="18" customHeight="1">
      <c r="A245" s="1">
        <f t="shared" si="4"/>
        <v>33</v>
      </c>
      <c r="B245" s="1">
        <v>242510394</v>
      </c>
      <c r="C245" s="32" t="s">
        <v>827</v>
      </c>
      <c r="D245" s="100"/>
      <c r="E245" s="34"/>
      <c r="F245" s="35" t="s">
        <v>1</v>
      </c>
      <c r="G245" s="36"/>
      <c r="H245" s="36"/>
      <c r="I245" s="36"/>
      <c r="J245" s="36"/>
      <c r="K245" s="36"/>
      <c r="L245" s="36"/>
      <c r="M245" s="36"/>
      <c r="N245" s="3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8"/>
      <c r="AB245" s="8"/>
      <c r="AC245" s="8"/>
    </row>
    <row r="246" spans="1:29" ht="18" customHeight="1">
      <c r="A246" s="1">
        <f t="shared" si="4"/>
        <v>34</v>
      </c>
      <c r="B246" s="1">
        <v>242510035</v>
      </c>
      <c r="C246" s="32" t="s">
        <v>829</v>
      </c>
      <c r="D246" s="100"/>
      <c r="E246" s="34"/>
      <c r="F246" s="35" t="s">
        <v>1</v>
      </c>
      <c r="G246" s="36"/>
      <c r="H246" s="36"/>
      <c r="I246" s="36"/>
      <c r="J246" s="36"/>
      <c r="K246" s="36"/>
      <c r="L246" s="36"/>
      <c r="M246" s="36"/>
      <c r="N246" s="3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8"/>
      <c r="AB246" s="8"/>
      <c r="AC246" s="8"/>
    </row>
    <row r="247" spans="1:29" ht="18" customHeight="1">
      <c r="A247" s="83">
        <f t="shared" si="4"/>
        <v>35</v>
      </c>
      <c r="B247" s="83">
        <v>242510217</v>
      </c>
      <c r="C247" s="221" t="s">
        <v>832</v>
      </c>
      <c r="D247" s="222"/>
      <c r="E247" s="223"/>
      <c r="F247" s="224" t="s">
        <v>1</v>
      </c>
      <c r="G247" s="135"/>
      <c r="H247" s="135"/>
      <c r="I247" s="135"/>
      <c r="J247" s="135"/>
      <c r="K247" s="135"/>
      <c r="L247" s="135"/>
      <c r="M247" s="135"/>
      <c r="N247" s="135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8"/>
      <c r="AB247" s="8"/>
      <c r="AC247" s="8"/>
    </row>
    <row r="248" spans="1:29" ht="18" customHeight="1" thickBot="1">
      <c r="A248" s="215">
        <f t="shared" si="4"/>
        <v>36</v>
      </c>
      <c r="B248" s="216">
        <v>242510361</v>
      </c>
      <c r="C248" s="225" t="s">
        <v>835</v>
      </c>
      <c r="D248" s="226"/>
      <c r="E248" s="227"/>
      <c r="F248" s="258" t="s">
        <v>3</v>
      </c>
      <c r="G248" s="256"/>
      <c r="H248" s="218"/>
      <c r="I248" s="218"/>
      <c r="J248" s="218"/>
      <c r="K248" s="218"/>
      <c r="L248" s="218"/>
      <c r="M248" s="218"/>
      <c r="N248" s="220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8"/>
      <c r="AB248" s="8"/>
      <c r="AC248" s="8"/>
    </row>
    <row r="249" spans="1:29" ht="15.8" customHeight="1">
      <c r="A249" s="79"/>
      <c r="B249" s="79"/>
      <c r="C249" s="20"/>
      <c r="D249" s="20"/>
      <c r="E249" s="20"/>
      <c r="F249" s="257" t="s">
        <v>1</v>
      </c>
      <c r="G249" s="247">
        <f>COUNTIF(F213:F248,"L")</f>
        <v>24</v>
      </c>
      <c r="H249" s="20"/>
      <c r="I249" s="20"/>
      <c r="J249" s="20"/>
      <c r="K249" s="20"/>
      <c r="L249" s="20"/>
      <c r="M249" s="20"/>
      <c r="N249" s="20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8"/>
      <c r="AB249" s="8"/>
      <c r="AC249" s="8"/>
    </row>
    <row r="250" spans="1:29" ht="15.8" customHeight="1" thickBot="1">
      <c r="A250" s="79"/>
      <c r="B250" s="79"/>
      <c r="C250" s="20"/>
      <c r="D250" s="20"/>
      <c r="E250" s="20"/>
      <c r="F250" s="248" t="s">
        <v>3</v>
      </c>
      <c r="G250" s="249">
        <f>COUNTIF(F213:F248,"P")</f>
        <v>12</v>
      </c>
      <c r="H250" s="20"/>
      <c r="I250" s="20"/>
      <c r="J250" s="20"/>
      <c r="K250" s="20"/>
      <c r="L250" s="20"/>
      <c r="M250" s="20"/>
      <c r="N250" s="20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8"/>
      <c r="AB250" s="8"/>
      <c r="AC250" s="8"/>
    </row>
    <row r="251" spans="1:29" ht="15.8" customHeight="1" thickBot="1">
      <c r="A251" s="79"/>
      <c r="B251" s="79"/>
      <c r="C251" s="20"/>
      <c r="D251" s="20"/>
      <c r="E251" s="20"/>
      <c r="F251" s="250" t="s">
        <v>251</v>
      </c>
      <c r="G251" s="251">
        <f>SUM(G249:G250)</f>
        <v>36</v>
      </c>
      <c r="H251" s="20"/>
      <c r="I251" s="20"/>
      <c r="J251" s="20"/>
      <c r="K251" s="20"/>
      <c r="L251" s="20"/>
      <c r="M251" s="20"/>
      <c r="N251" s="20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8"/>
      <c r="AB251" s="8"/>
      <c r="AC251" s="8"/>
    </row>
    <row r="252" spans="1:29" ht="15.8" customHeight="1">
      <c r="A252" s="20" t="s">
        <v>275</v>
      </c>
      <c r="B252" s="6"/>
      <c r="C252" s="20"/>
      <c r="D252" s="20"/>
      <c r="E252" s="20"/>
      <c r="F252" s="94"/>
      <c r="G252" s="6"/>
      <c r="H252" s="6"/>
      <c r="I252" s="82" t="s">
        <v>254</v>
      </c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8"/>
      <c r="AB252" s="8"/>
      <c r="AC252" s="8"/>
    </row>
    <row r="253" spans="1:29" ht="15.8" customHeight="1">
      <c r="A253" s="20" t="s">
        <v>280</v>
      </c>
      <c r="B253" s="6"/>
      <c r="C253" s="20"/>
      <c r="D253" s="20"/>
      <c r="E253" s="20" t="s">
        <v>281</v>
      </c>
      <c r="F253" s="94"/>
      <c r="G253" s="6"/>
      <c r="H253" s="6"/>
      <c r="I253" s="6" t="s">
        <v>256</v>
      </c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8"/>
      <c r="AB253" s="8"/>
      <c r="AC253" s="8"/>
    </row>
    <row r="254" spans="1:29" ht="15.8" customHeight="1">
      <c r="A254" s="20"/>
      <c r="B254" s="6"/>
      <c r="C254" s="20"/>
      <c r="D254" s="20"/>
      <c r="E254" s="20"/>
      <c r="F254" s="79"/>
      <c r="G254" s="20"/>
      <c r="H254" s="20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8"/>
      <c r="AB254" s="8"/>
      <c r="AC254" s="8"/>
    </row>
    <row r="255" spans="1:29" ht="15.8" customHeight="1">
      <c r="A255" s="20"/>
      <c r="B255" s="6"/>
      <c r="C255" s="20"/>
      <c r="D255" s="20"/>
      <c r="E255" s="20"/>
      <c r="F255" s="79"/>
      <c r="G255" s="20"/>
      <c r="H255" s="20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8"/>
      <c r="AB255" s="8"/>
      <c r="AC255" s="8"/>
    </row>
    <row r="256" spans="1:29" ht="15.8" customHeight="1">
      <c r="A256" s="24" t="s">
        <v>857</v>
      </c>
      <c r="B256" s="6"/>
      <c r="C256" s="6"/>
      <c r="D256" s="6"/>
      <c r="E256" s="86" t="s">
        <v>744</v>
      </c>
      <c r="F256" s="94"/>
      <c r="G256" s="6"/>
      <c r="H256" s="20"/>
      <c r="I256" s="87"/>
      <c r="J256" s="87"/>
      <c r="K256" s="87"/>
      <c r="L256" s="87"/>
      <c r="M256" s="87"/>
      <c r="N256" s="87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8"/>
      <c r="AB256" s="8"/>
      <c r="AC256" s="8"/>
    </row>
    <row r="257" spans="1:29" ht="15.8" customHeight="1">
      <c r="A257" s="41" t="s">
        <v>860</v>
      </c>
      <c r="B257" s="41"/>
      <c r="C257" s="20"/>
      <c r="D257" s="20"/>
      <c r="E257" s="20" t="s">
        <v>746</v>
      </c>
      <c r="F257" s="79"/>
      <c r="G257" s="20"/>
      <c r="H257" s="20" t="s">
        <v>266</v>
      </c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8"/>
      <c r="AB257" s="8"/>
      <c r="AC257" s="8"/>
    </row>
    <row r="258" spans="1:29" ht="15.8" customHeight="1">
      <c r="A258" s="43"/>
      <c r="B258" s="44"/>
      <c r="C258" s="44"/>
      <c r="D258" s="44"/>
      <c r="E258" s="44"/>
      <c r="F258" s="45"/>
      <c r="G258" s="46"/>
      <c r="H258" s="46"/>
      <c r="I258" s="44"/>
      <c r="J258" s="44"/>
      <c r="K258" s="44"/>
      <c r="L258" s="44"/>
      <c r="M258" s="44"/>
      <c r="N258" s="44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8"/>
      <c r="AB258" s="8"/>
      <c r="AC258" s="8"/>
    </row>
    <row r="259" spans="1:29" ht="19.55" customHeight="1">
      <c r="A259" s="16" t="s">
        <v>79</v>
      </c>
      <c r="B259" s="16"/>
      <c r="C259" s="4" t="s">
        <v>864</v>
      </c>
      <c r="D259" s="16"/>
      <c r="E259" s="22"/>
      <c r="F259" s="23"/>
      <c r="G259" s="17"/>
      <c r="H259" s="19" t="s">
        <v>82</v>
      </c>
      <c r="I259" s="17"/>
      <c r="J259" s="17"/>
      <c r="K259" s="17"/>
      <c r="L259" s="17"/>
      <c r="M259" s="20"/>
      <c r="N259" s="20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8"/>
      <c r="AB259" s="8"/>
      <c r="AC259" s="8"/>
    </row>
    <row r="260" spans="1:29" ht="9" customHeight="1">
      <c r="A260" s="20"/>
      <c r="B260" s="24"/>
      <c r="C260" s="24"/>
      <c r="D260" s="24"/>
      <c r="E260" s="25"/>
      <c r="F260" s="14"/>
      <c r="G260" s="20"/>
      <c r="H260" s="26"/>
      <c r="I260" s="27"/>
      <c r="J260" s="27"/>
      <c r="K260" s="27"/>
      <c r="L260" s="27"/>
      <c r="M260" s="27"/>
      <c r="N260" s="27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8"/>
      <c r="AB260" s="8"/>
      <c r="AC260" s="8"/>
    </row>
    <row r="261" spans="1:29" ht="15.8" customHeight="1">
      <c r="A261" s="176" t="s">
        <v>84</v>
      </c>
      <c r="B261" s="177"/>
      <c r="C261" s="178" t="s">
        <v>85</v>
      </c>
      <c r="D261" s="179"/>
      <c r="E261" s="180"/>
      <c r="F261" s="184" t="s">
        <v>86</v>
      </c>
      <c r="G261" s="176" t="s">
        <v>87</v>
      </c>
      <c r="H261" s="186"/>
      <c r="I261" s="186"/>
      <c r="J261" s="186"/>
      <c r="K261" s="186"/>
      <c r="L261" s="186"/>
      <c r="M261" s="177"/>
      <c r="N261" s="184" t="s">
        <v>88</v>
      </c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8"/>
      <c r="AB261" s="8"/>
      <c r="AC261" s="8"/>
    </row>
    <row r="262" spans="1:29" ht="15.8" customHeight="1">
      <c r="A262" s="28" t="s">
        <v>90</v>
      </c>
      <c r="B262" s="28" t="s">
        <v>91</v>
      </c>
      <c r="C262" s="181"/>
      <c r="D262" s="182"/>
      <c r="E262" s="183"/>
      <c r="F262" s="185"/>
      <c r="G262" s="28"/>
      <c r="H262" s="28"/>
      <c r="I262" s="28"/>
      <c r="J262" s="28"/>
      <c r="K262" s="28"/>
      <c r="L262" s="28"/>
      <c r="M262" s="28"/>
      <c r="N262" s="185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8"/>
      <c r="AB262" s="8"/>
      <c r="AC262" s="8"/>
    </row>
    <row r="263" spans="1:29" ht="18" customHeight="1">
      <c r="A263" s="1">
        <v>1</v>
      </c>
      <c r="B263" s="1">
        <v>242510184</v>
      </c>
      <c r="C263" s="32" t="s">
        <v>872</v>
      </c>
      <c r="D263" s="100"/>
      <c r="E263" s="34"/>
      <c r="F263" s="35" t="s">
        <v>3</v>
      </c>
      <c r="G263" s="36"/>
      <c r="H263" s="36"/>
      <c r="I263" s="36"/>
      <c r="J263" s="36"/>
      <c r="K263" s="36"/>
      <c r="L263" s="36"/>
      <c r="M263" s="36"/>
      <c r="N263" s="3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8"/>
      <c r="AB263" s="8"/>
      <c r="AC263" s="8"/>
    </row>
    <row r="264" spans="1:29" ht="18" customHeight="1">
      <c r="A264" s="1">
        <f t="shared" ref="A264:A297" si="5">A263+1</f>
        <v>2</v>
      </c>
      <c r="B264" s="1">
        <v>242510185</v>
      </c>
      <c r="C264" s="32" t="s">
        <v>875</v>
      </c>
      <c r="D264" s="100"/>
      <c r="E264" s="34"/>
      <c r="F264" s="35" t="s">
        <v>3</v>
      </c>
      <c r="G264" s="36"/>
      <c r="H264" s="36"/>
      <c r="I264" s="36"/>
      <c r="J264" s="36"/>
      <c r="K264" s="36"/>
      <c r="L264" s="36"/>
      <c r="M264" s="36"/>
      <c r="N264" s="3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8"/>
      <c r="AB264" s="8"/>
      <c r="AC264" s="8"/>
    </row>
    <row r="265" spans="1:29" ht="18" customHeight="1">
      <c r="A265" s="1">
        <f t="shared" si="5"/>
        <v>3</v>
      </c>
      <c r="B265" s="1">
        <v>252611404</v>
      </c>
      <c r="C265" s="128" t="s">
        <v>877</v>
      </c>
      <c r="D265" s="100"/>
      <c r="E265" s="34"/>
      <c r="F265" s="35" t="s">
        <v>1</v>
      </c>
      <c r="G265" s="36"/>
      <c r="H265" s="36"/>
      <c r="I265" s="36"/>
      <c r="J265" s="36"/>
      <c r="K265" s="36"/>
      <c r="L265" s="36"/>
      <c r="M265" s="36"/>
      <c r="N265" s="3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8"/>
      <c r="AB265" s="8"/>
      <c r="AC265" s="8"/>
    </row>
    <row r="266" spans="1:29" ht="18" customHeight="1">
      <c r="A266" s="1">
        <f t="shared" si="5"/>
        <v>4</v>
      </c>
      <c r="B266" s="1">
        <v>242510295</v>
      </c>
      <c r="C266" s="32" t="s">
        <v>879</v>
      </c>
      <c r="D266" s="100"/>
      <c r="E266" s="34"/>
      <c r="F266" s="35" t="s">
        <v>3</v>
      </c>
      <c r="G266" s="36"/>
      <c r="H266" s="36"/>
      <c r="I266" s="36"/>
      <c r="J266" s="36"/>
      <c r="K266" s="36"/>
      <c r="L266" s="36"/>
      <c r="M266" s="36"/>
      <c r="N266" s="3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8"/>
      <c r="AB266" s="8"/>
      <c r="AC266" s="8"/>
    </row>
    <row r="267" spans="1:29" ht="18" customHeight="1">
      <c r="A267" s="1">
        <f t="shared" si="5"/>
        <v>5</v>
      </c>
      <c r="B267" s="1">
        <v>242510079</v>
      </c>
      <c r="C267" s="32" t="s">
        <v>881</v>
      </c>
      <c r="D267" s="100"/>
      <c r="E267" s="34"/>
      <c r="F267" s="35" t="s">
        <v>3</v>
      </c>
      <c r="G267" s="36"/>
      <c r="H267" s="36"/>
      <c r="I267" s="36"/>
      <c r="J267" s="36"/>
      <c r="K267" s="36"/>
      <c r="L267" s="36"/>
      <c r="M267" s="36"/>
      <c r="N267" s="3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8"/>
      <c r="AB267" s="8"/>
      <c r="AC267" s="8"/>
    </row>
    <row r="268" spans="1:29" ht="18" customHeight="1">
      <c r="A268" s="1">
        <f t="shared" si="5"/>
        <v>6</v>
      </c>
      <c r="B268" s="1">
        <v>242510259</v>
      </c>
      <c r="C268" s="32" t="s">
        <v>882</v>
      </c>
      <c r="D268" s="100"/>
      <c r="E268" s="34"/>
      <c r="F268" s="35" t="s">
        <v>3</v>
      </c>
      <c r="G268" s="36"/>
      <c r="H268" s="36"/>
      <c r="I268" s="36"/>
      <c r="J268" s="36"/>
      <c r="K268" s="36"/>
      <c r="L268" s="36"/>
      <c r="M268" s="36"/>
      <c r="N268" s="3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8"/>
      <c r="AB268" s="8"/>
      <c r="AC268" s="8"/>
    </row>
    <row r="269" spans="1:29" ht="18" customHeight="1">
      <c r="A269" s="1">
        <f t="shared" si="5"/>
        <v>7</v>
      </c>
      <c r="B269" s="1">
        <v>242510116</v>
      </c>
      <c r="C269" s="32" t="s">
        <v>883</v>
      </c>
      <c r="D269" s="100"/>
      <c r="E269" s="34"/>
      <c r="F269" s="35" t="s">
        <v>3</v>
      </c>
      <c r="G269" s="36"/>
      <c r="H269" s="36"/>
      <c r="I269" s="36"/>
      <c r="J269" s="36"/>
      <c r="K269" s="36"/>
      <c r="L269" s="36"/>
      <c r="M269" s="36"/>
      <c r="N269" s="3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8"/>
      <c r="AB269" s="8"/>
      <c r="AC269" s="8"/>
    </row>
    <row r="270" spans="1:29" ht="18" customHeight="1">
      <c r="A270" s="1">
        <f t="shared" si="5"/>
        <v>8</v>
      </c>
      <c r="B270" s="1">
        <v>242510044</v>
      </c>
      <c r="C270" s="32" t="s">
        <v>884</v>
      </c>
      <c r="D270" s="100"/>
      <c r="E270" s="34"/>
      <c r="F270" s="35" t="s">
        <v>3</v>
      </c>
      <c r="G270" s="36"/>
      <c r="H270" s="36"/>
      <c r="I270" s="36"/>
      <c r="J270" s="36"/>
      <c r="K270" s="36"/>
      <c r="L270" s="36"/>
      <c r="M270" s="36"/>
      <c r="N270" s="3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8"/>
      <c r="AB270" s="8"/>
      <c r="AC270" s="8"/>
    </row>
    <row r="271" spans="1:29" ht="18" customHeight="1">
      <c r="A271" s="1">
        <f t="shared" si="5"/>
        <v>9</v>
      </c>
      <c r="B271" s="1">
        <v>242510225</v>
      </c>
      <c r="C271" s="32" t="s">
        <v>885</v>
      </c>
      <c r="D271" s="100"/>
      <c r="E271" s="34"/>
      <c r="F271" s="35" t="s">
        <v>1</v>
      </c>
      <c r="G271" s="36"/>
      <c r="H271" s="36"/>
      <c r="I271" s="36"/>
      <c r="J271" s="36"/>
      <c r="K271" s="36"/>
      <c r="L271" s="36"/>
      <c r="M271" s="36"/>
      <c r="N271" s="3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8"/>
      <c r="AB271" s="8"/>
      <c r="AC271" s="8"/>
    </row>
    <row r="272" spans="1:29" ht="18" customHeight="1">
      <c r="A272" s="1">
        <f t="shared" si="5"/>
        <v>10</v>
      </c>
      <c r="B272" s="1">
        <v>242510190</v>
      </c>
      <c r="C272" s="32" t="s">
        <v>886</v>
      </c>
      <c r="D272" s="100"/>
      <c r="E272" s="34"/>
      <c r="F272" s="35" t="s">
        <v>3</v>
      </c>
      <c r="G272" s="36"/>
      <c r="H272" s="36"/>
      <c r="I272" s="36"/>
      <c r="J272" s="36"/>
      <c r="K272" s="36"/>
      <c r="L272" s="36"/>
      <c r="M272" s="36"/>
      <c r="N272" s="3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8"/>
      <c r="AB272" s="8"/>
      <c r="AC272" s="8"/>
    </row>
    <row r="273" spans="1:29" ht="18" customHeight="1">
      <c r="A273" s="1">
        <f t="shared" si="5"/>
        <v>11</v>
      </c>
      <c r="B273" s="1">
        <v>242510332</v>
      </c>
      <c r="C273" s="32" t="s">
        <v>887</v>
      </c>
      <c r="D273" s="100"/>
      <c r="E273" s="34"/>
      <c r="F273" s="35" t="s">
        <v>1</v>
      </c>
      <c r="G273" s="36"/>
      <c r="H273" s="36"/>
      <c r="I273" s="36"/>
      <c r="J273" s="36"/>
      <c r="K273" s="36"/>
      <c r="L273" s="36"/>
      <c r="M273" s="36"/>
      <c r="N273" s="3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8"/>
      <c r="AB273" s="8"/>
      <c r="AC273" s="8"/>
    </row>
    <row r="274" spans="1:29" ht="18" customHeight="1">
      <c r="A274" s="1">
        <f t="shared" si="5"/>
        <v>12</v>
      </c>
      <c r="B274" s="1">
        <v>242510046</v>
      </c>
      <c r="C274" s="32" t="s">
        <v>888</v>
      </c>
      <c r="D274" s="100"/>
      <c r="E274" s="34"/>
      <c r="F274" s="35" t="s">
        <v>3</v>
      </c>
      <c r="G274" s="36"/>
      <c r="H274" s="36"/>
      <c r="I274" s="36"/>
      <c r="J274" s="36"/>
      <c r="K274" s="36"/>
      <c r="L274" s="36"/>
      <c r="M274" s="36"/>
      <c r="N274" s="3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8"/>
      <c r="AB274" s="8"/>
      <c r="AC274" s="8"/>
    </row>
    <row r="275" spans="1:29" ht="18" customHeight="1">
      <c r="A275" s="1">
        <f t="shared" si="5"/>
        <v>13</v>
      </c>
      <c r="B275" s="1">
        <v>242510305</v>
      </c>
      <c r="C275" s="32" t="s">
        <v>891</v>
      </c>
      <c r="D275" s="100"/>
      <c r="E275" s="34"/>
      <c r="F275" s="35" t="s">
        <v>1</v>
      </c>
      <c r="G275" s="36"/>
      <c r="H275" s="36"/>
      <c r="I275" s="36"/>
      <c r="J275" s="36"/>
      <c r="K275" s="36"/>
      <c r="L275" s="36"/>
      <c r="M275" s="36"/>
      <c r="N275" s="3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8"/>
      <c r="AB275" s="8"/>
      <c r="AC275" s="8"/>
    </row>
    <row r="276" spans="1:29" ht="18" customHeight="1">
      <c r="A276" s="1">
        <f t="shared" si="5"/>
        <v>14</v>
      </c>
      <c r="B276" s="1">
        <v>242510083</v>
      </c>
      <c r="C276" s="32" t="s">
        <v>893</v>
      </c>
      <c r="D276" s="100"/>
      <c r="E276" s="34"/>
      <c r="F276" s="35" t="s">
        <v>1</v>
      </c>
      <c r="G276" s="36"/>
      <c r="H276" s="36"/>
      <c r="I276" s="36"/>
      <c r="J276" s="36"/>
      <c r="K276" s="36"/>
      <c r="L276" s="36"/>
      <c r="M276" s="36"/>
      <c r="N276" s="3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8"/>
      <c r="AB276" s="8"/>
      <c r="AC276" s="8"/>
    </row>
    <row r="277" spans="1:29" ht="18" customHeight="1">
      <c r="A277" s="1">
        <f t="shared" si="5"/>
        <v>15</v>
      </c>
      <c r="B277" s="1">
        <v>242510339</v>
      </c>
      <c r="C277" s="32" t="s">
        <v>895</v>
      </c>
      <c r="D277" s="100"/>
      <c r="E277" s="34"/>
      <c r="F277" s="35" t="s">
        <v>1</v>
      </c>
      <c r="G277" s="36"/>
      <c r="H277" s="36"/>
      <c r="I277" s="36"/>
      <c r="J277" s="36"/>
      <c r="K277" s="36"/>
      <c r="L277" s="36"/>
      <c r="M277" s="36"/>
      <c r="N277" s="3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8"/>
      <c r="AB277" s="8"/>
      <c r="AC277" s="8"/>
    </row>
    <row r="278" spans="1:29" ht="18" customHeight="1">
      <c r="A278" s="1">
        <f t="shared" si="5"/>
        <v>16</v>
      </c>
      <c r="B278" s="1">
        <v>242510085</v>
      </c>
      <c r="C278" s="32" t="s">
        <v>896</v>
      </c>
      <c r="D278" s="100"/>
      <c r="E278" s="34"/>
      <c r="F278" s="35" t="s">
        <v>3</v>
      </c>
      <c r="G278" s="36"/>
      <c r="H278" s="36"/>
      <c r="I278" s="36"/>
      <c r="J278" s="36"/>
      <c r="K278" s="36"/>
      <c r="L278" s="36"/>
      <c r="M278" s="36"/>
      <c r="N278" s="3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8"/>
      <c r="AB278" s="8"/>
      <c r="AC278" s="8"/>
    </row>
    <row r="279" spans="1:29" ht="18" customHeight="1">
      <c r="A279" s="1">
        <f t="shared" si="5"/>
        <v>17</v>
      </c>
      <c r="B279" s="1">
        <v>242510158</v>
      </c>
      <c r="C279" s="32" t="s">
        <v>898</v>
      </c>
      <c r="D279" s="100"/>
      <c r="E279" s="34"/>
      <c r="F279" s="35" t="s">
        <v>3</v>
      </c>
      <c r="G279" s="36"/>
      <c r="H279" s="36"/>
      <c r="I279" s="36"/>
      <c r="J279" s="36"/>
      <c r="K279" s="36"/>
      <c r="L279" s="36"/>
      <c r="M279" s="36"/>
      <c r="N279" s="3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8"/>
      <c r="AB279" s="8"/>
      <c r="AC279" s="8"/>
    </row>
    <row r="280" spans="1:29" ht="18" customHeight="1">
      <c r="A280" s="1">
        <f t="shared" si="5"/>
        <v>18</v>
      </c>
      <c r="B280" s="1">
        <v>242510309</v>
      </c>
      <c r="C280" s="32" t="s">
        <v>900</v>
      </c>
      <c r="D280" s="100"/>
      <c r="E280" s="34"/>
      <c r="F280" s="35" t="s">
        <v>3</v>
      </c>
      <c r="G280" s="36"/>
      <c r="H280" s="36"/>
      <c r="I280" s="36"/>
      <c r="J280" s="36"/>
      <c r="K280" s="36"/>
      <c r="L280" s="36"/>
      <c r="M280" s="36"/>
      <c r="N280" s="3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8"/>
      <c r="AB280" s="8"/>
      <c r="AC280" s="8"/>
    </row>
    <row r="281" spans="1:29" ht="18" customHeight="1">
      <c r="A281" s="1">
        <f t="shared" si="5"/>
        <v>19</v>
      </c>
      <c r="B281" s="1">
        <v>242510159</v>
      </c>
      <c r="C281" s="32" t="s">
        <v>901</v>
      </c>
      <c r="D281" s="100"/>
      <c r="E281" s="34"/>
      <c r="F281" s="35" t="s">
        <v>3</v>
      </c>
      <c r="G281" s="36"/>
      <c r="H281" s="36"/>
      <c r="I281" s="36"/>
      <c r="J281" s="36"/>
      <c r="K281" s="36"/>
      <c r="L281" s="36"/>
      <c r="M281" s="36"/>
      <c r="N281" s="1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8"/>
      <c r="AB281" s="8"/>
      <c r="AC281" s="8"/>
    </row>
    <row r="282" spans="1:29" ht="18" customHeight="1">
      <c r="A282" s="1">
        <f t="shared" si="5"/>
        <v>20</v>
      </c>
      <c r="B282" s="1">
        <v>252611403</v>
      </c>
      <c r="C282" s="117" t="s">
        <v>902</v>
      </c>
      <c r="D282" s="100"/>
      <c r="E282" s="34"/>
      <c r="F282" s="35" t="s">
        <v>3</v>
      </c>
      <c r="G282" s="36"/>
      <c r="H282" s="36"/>
      <c r="I282" s="36"/>
      <c r="J282" s="36"/>
      <c r="K282" s="36"/>
      <c r="L282" s="36"/>
      <c r="M282" s="36"/>
      <c r="N282" s="1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8"/>
      <c r="AB282" s="8"/>
      <c r="AC282" s="8"/>
    </row>
    <row r="283" spans="1:29" ht="18" customHeight="1">
      <c r="A283" s="1">
        <f t="shared" si="5"/>
        <v>21</v>
      </c>
      <c r="B283" s="1">
        <v>242510310</v>
      </c>
      <c r="C283" s="32" t="s">
        <v>904</v>
      </c>
      <c r="D283" s="100"/>
      <c r="E283" s="34"/>
      <c r="F283" s="35" t="s">
        <v>3</v>
      </c>
      <c r="G283" s="36"/>
      <c r="H283" s="36"/>
      <c r="I283" s="36"/>
      <c r="J283" s="36"/>
      <c r="K283" s="36"/>
      <c r="L283" s="36"/>
      <c r="M283" s="36"/>
      <c r="N283" s="3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8"/>
      <c r="AB283" s="8"/>
      <c r="AC283" s="8"/>
    </row>
    <row r="284" spans="1:29" ht="18" customHeight="1">
      <c r="A284" s="1">
        <f t="shared" si="5"/>
        <v>22</v>
      </c>
      <c r="B284" s="1">
        <v>242510087</v>
      </c>
      <c r="C284" s="32" t="s">
        <v>907</v>
      </c>
      <c r="D284" s="100"/>
      <c r="E284" s="34"/>
      <c r="F284" s="35" t="s">
        <v>3</v>
      </c>
      <c r="G284" s="36"/>
      <c r="H284" s="36"/>
      <c r="I284" s="36"/>
      <c r="J284" s="36"/>
      <c r="K284" s="36"/>
      <c r="L284" s="36"/>
      <c r="M284" s="36"/>
      <c r="N284" s="3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8"/>
      <c r="AB284" s="8"/>
      <c r="AC284" s="8"/>
    </row>
    <row r="285" spans="1:29" ht="18" customHeight="1">
      <c r="A285" s="1">
        <f t="shared" si="5"/>
        <v>23</v>
      </c>
      <c r="B285" s="1">
        <v>242510342</v>
      </c>
      <c r="C285" s="32" t="s">
        <v>910</v>
      </c>
      <c r="D285" s="100"/>
      <c r="E285" s="34"/>
      <c r="F285" s="35" t="s">
        <v>1</v>
      </c>
      <c r="G285" s="36"/>
      <c r="H285" s="36"/>
      <c r="I285" s="36"/>
      <c r="J285" s="36"/>
      <c r="K285" s="36"/>
      <c r="L285" s="36"/>
      <c r="M285" s="36"/>
      <c r="N285" s="3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8"/>
      <c r="AB285" s="8"/>
      <c r="AC285" s="8"/>
    </row>
    <row r="286" spans="1:29" ht="18" customHeight="1">
      <c r="A286" s="1">
        <f t="shared" si="5"/>
        <v>24</v>
      </c>
      <c r="B286" s="1">
        <v>242510056</v>
      </c>
      <c r="C286" s="32" t="s">
        <v>912</v>
      </c>
      <c r="D286" s="100"/>
      <c r="E286" s="34"/>
      <c r="F286" s="35" t="s">
        <v>3</v>
      </c>
      <c r="G286" s="36"/>
      <c r="H286" s="36"/>
      <c r="I286" s="36"/>
      <c r="J286" s="36"/>
      <c r="K286" s="36"/>
      <c r="L286" s="36"/>
      <c r="M286" s="36"/>
      <c r="N286" s="3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8"/>
      <c r="AB286" s="8"/>
      <c r="AC286" s="8"/>
    </row>
    <row r="287" spans="1:29" ht="18" customHeight="1">
      <c r="A287" s="1">
        <f t="shared" si="5"/>
        <v>25</v>
      </c>
      <c r="B287" s="1">
        <v>242510344</v>
      </c>
      <c r="C287" s="32" t="s">
        <v>914</v>
      </c>
      <c r="D287" s="100"/>
      <c r="E287" s="34"/>
      <c r="F287" s="35" t="s">
        <v>3</v>
      </c>
      <c r="G287" s="36"/>
      <c r="H287" s="36"/>
      <c r="I287" s="36"/>
      <c r="J287" s="36"/>
      <c r="K287" s="36"/>
      <c r="L287" s="36"/>
      <c r="M287" s="36"/>
      <c r="N287" s="3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8"/>
      <c r="AB287" s="8"/>
      <c r="AC287" s="8"/>
    </row>
    <row r="288" spans="1:29" ht="18" customHeight="1">
      <c r="A288" s="1">
        <f t="shared" si="5"/>
        <v>26</v>
      </c>
      <c r="B288" s="1">
        <v>242510171</v>
      </c>
      <c r="C288" s="32" t="s">
        <v>917</v>
      </c>
      <c r="D288" s="100"/>
      <c r="E288" s="34"/>
      <c r="F288" s="35" t="s">
        <v>1</v>
      </c>
      <c r="G288" s="36"/>
      <c r="H288" s="36"/>
      <c r="I288" s="36"/>
      <c r="J288" s="36"/>
      <c r="K288" s="36"/>
      <c r="L288" s="36"/>
      <c r="M288" s="36"/>
      <c r="N288" s="3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8"/>
      <c r="AB288" s="8"/>
      <c r="AC288" s="8"/>
    </row>
    <row r="289" spans="1:29" ht="18" customHeight="1">
      <c r="A289" s="1">
        <f t="shared" si="5"/>
        <v>27</v>
      </c>
      <c r="B289" s="1">
        <v>242510242</v>
      </c>
      <c r="C289" s="32" t="s">
        <v>920</v>
      </c>
      <c r="D289" s="100"/>
      <c r="E289" s="34"/>
      <c r="F289" s="35" t="s">
        <v>3</v>
      </c>
      <c r="G289" s="36"/>
      <c r="H289" s="36"/>
      <c r="I289" s="36"/>
      <c r="J289" s="36"/>
      <c r="K289" s="36"/>
      <c r="L289" s="36"/>
      <c r="M289" s="36"/>
      <c r="N289" s="3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8"/>
      <c r="AB289" s="8"/>
      <c r="AC289" s="8"/>
    </row>
    <row r="290" spans="1:29" ht="18" customHeight="1">
      <c r="A290" s="1">
        <f t="shared" si="5"/>
        <v>28</v>
      </c>
      <c r="B290" s="1">
        <v>242510134</v>
      </c>
      <c r="C290" s="32" t="s">
        <v>923</v>
      </c>
      <c r="D290" s="100"/>
      <c r="E290" s="34"/>
      <c r="F290" s="35" t="s">
        <v>3</v>
      </c>
      <c r="G290" s="36"/>
      <c r="H290" s="36"/>
      <c r="I290" s="36"/>
      <c r="J290" s="36"/>
      <c r="K290" s="36"/>
      <c r="L290" s="36"/>
      <c r="M290" s="36"/>
      <c r="N290" s="3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8"/>
      <c r="AB290" s="8"/>
      <c r="AC290" s="8"/>
    </row>
    <row r="291" spans="1:29" ht="18" customHeight="1">
      <c r="A291" s="1">
        <f t="shared" si="5"/>
        <v>29</v>
      </c>
      <c r="B291" s="1">
        <v>252611406</v>
      </c>
      <c r="C291" s="32" t="s">
        <v>926</v>
      </c>
      <c r="D291" s="100"/>
      <c r="E291" s="34"/>
      <c r="F291" s="35" t="s">
        <v>3</v>
      </c>
      <c r="G291" s="36"/>
      <c r="H291" s="36"/>
      <c r="I291" s="36"/>
      <c r="J291" s="36"/>
      <c r="K291" s="36"/>
      <c r="L291" s="36"/>
      <c r="M291" s="36"/>
      <c r="N291" s="3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8"/>
      <c r="AB291" s="8"/>
      <c r="AC291" s="8"/>
    </row>
    <row r="292" spans="1:29" ht="18" customHeight="1">
      <c r="A292" s="1">
        <f t="shared" si="5"/>
        <v>30</v>
      </c>
      <c r="B292" s="1">
        <v>242510176</v>
      </c>
      <c r="C292" s="32" t="s">
        <v>929</v>
      </c>
      <c r="D292" s="100"/>
      <c r="E292" s="34"/>
      <c r="F292" s="35" t="s">
        <v>3</v>
      </c>
      <c r="G292" s="36"/>
      <c r="H292" s="36"/>
      <c r="I292" s="36"/>
      <c r="J292" s="36"/>
      <c r="K292" s="36"/>
      <c r="L292" s="36"/>
      <c r="M292" s="36"/>
      <c r="N292" s="3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8"/>
      <c r="AB292" s="8"/>
      <c r="AC292" s="8"/>
    </row>
    <row r="293" spans="1:29" ht="18" customHeight="1">
      <c r="A293" s="1">
        <f t="shared" si="5"/>
        <v>31</v>
      </c>
      <c r="B293" s="1">
        <v>242510208</v>
      </c>
      <c r="C293" s="32" t="s">
        <v>931</v>
      </c>
      <c r="D293" s="100"/>
      <c r="E293" s="34"/>
      <c r="F293" s="35" t="s">
        <v>3</v>
      </c>
      <c r="G293" s="36"/>
      <c r="H293" s="36"/>
      <c r="I293" s="36"/>
      <c r="J293" s="36"/>
      <c r="K293" s="36"/>
      <c r="L293" s="36"/>
      <c r="M293" s="36"/>
      <c r="N293" s="3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8"/>
      <c r="AB293" s="8"/>
      <c r="AC293" s="8"/>
    </row>
    <row r="294" spans="1:29" ht="18" customHeight="1">
      <c r="A294" s="1">
        <f t="shared" si="5"/>
        <v>32</v>
      </c>
      <c r="B294" s="1">
        <v>242510212</v>
      </c>
      <c r="C294" s="32" t="s">
        <v>934</v>
      </c>
      <c r="D294" s="100"/>
      <c r="E294" s="34"/>
      <c r="F294" s="35" t="s">
        <v>3</v>
      </c>
      <c r="G294" s="36"/>
      <c r="H294" s="36"/>
      <c r="I294" s="36"/>
      <c r="J294" s="36"/>
      <c r="K294" s="36"/>
      <c r="L294" s="36"/>
      <c r="M294" s="36"/>
      <c r="N294" s="3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8"/>
      <c r="AB294" s="8"/>
      <c r="AC294" s="8"/>
    </row>
    <row r="295" spans="1:29" ht="18" customHeight="1">
      <c r="A295" s="1">
        <f t="shared" si="5"/>
        <v>33</v>
      </c>
      <c r="B295" s="1">
        <v>242510071</v>
      </c>
      <c r="C295" s="32" t="s">
        <v>937</v>
      </c>
      <c r="D295" s="100"/>
      <c r="E295" s="34"/>
      <c r="F295" s="35" t="s">
        <v>3</v>
      </c>
      <c r="G295" s="36"/>
      <c r="H295" s="36"/>
      <c r="I295" s="36"/>
      <c r="J295" s="36"/>
      <c r="K295" s="36"/>
      <c r="L295" s="36"/>
      <c r="M295" s="36"/>
      <c r="N295" s="3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8"/>
      <c r="AB295" s="8"/>
      <c r="AC295" s="8"/>
    </row>
    <row r="296" spans="1:29" ht="18" customHeight="1">
      <c r="A296" s="83">
        <f t="shared" si="5"/>
        <v>34</v>
      </c>
      <c r="B296" s="83">
        <v>242510181</v>
      </c>
      <c r="C296" s="221" t="s">
        <v>940</v>
      </c>
      <c r="D296" s="222"/>
      <c r="E296" s="223"/>
      <c r="F296" s="224" t="s">
        <v>1</v>
      </c>
      <c r="G296" s="135"/>
      <c r="H296" s="135"/>
      <c r="I296" s="135"/>
      <c r="J296" s="135"/>
      <c r="K296" s="135"/>
      <c r="L296" s="135"/>
      <c r="M296" s="135"/>
      <c r="N296" s="135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8"/>
      <c r="AB296" s="8"/>
      <c r="AC296" s="8"/>
    </row>
    <row r="297" spans="1:29" ht="18" customHeight="1" thickBot="1">
      <c r="A297" s="215">
        <f t="shared" si="5"/>
        <v>35</v>
      </c>
      <c r="B297" s="216">
        <v>242510360</v>
      </c>
      <c r="C297" s="225" t="s">
        <v>943</v>
      </c>
      <c r="D297" s="226"/>
      <c r="E297" s="227"/>
      <c r="F297" s="258" t="s">
        <v>3</v>
      </c>
      <c r="G297" s="256"/>
      <c r="H297" s="218"/>
      <c r="I297" s="218"/>
      <c r="J297" s="218"/>
      <c r="K297" s="218"/>
      <c r="L297" s="218"/>
      <c r="M297" s="218"/>
      <c r="N297" s="220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8"/>
      <c r="AB297" s="8"/>
      <c r="AC297" s="8"/>
    </row>
    <row r="298" spans="1:29" ht="15.8" customHeight="1">
      <c r="A298" s="79"/>
      <c r="B298" s="79"/>
      <c r="C298" s="20"/>
      <c r="D298" s="20"/>
      <c r="E298" s="20"/>
      <c r="F298" s="257" t="s">
        <v>1</v>
      </c>
      <c r="G298" s="247">
        <f>COUNTIF(F263:F297,"L")</f>
        <v>9</v>
      </c>
      <c r="H298" s="20"/>
      <c r="I298" s="20"/>
      <c r="J298" s="20"/>
      <c r="K298" s="20"/>
      <c r="L298" s="20"/>
      <c r="M298" s="20"/>
      <c r="N298" s="20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8"/>
      <c r="AB298" s="8"/>
      <c r="AC298" s="8"/>
    </row>
    <row r="299" spans="1:29" ht="15.8" customHeight="1" thickBot="1">
      <c r="A299" s="79"/>
      <c r="B299" s="79"/>
      <c r="C299" s="20"/>
      <c r="D299" s="20"/>
      <c r="E299" s="20"/>
      <c r="F299" s="248" t="s">
        <v>3</v>
      </c>
      <c r="G299" s="249">
        <f>COUNTIF(F263:F297,"P")</f>
        <v>26</v>
      </c>
      <c r="H299" s="20"/>
      <c r="I299" s="20"/>
      <c r="J299" s="20"/>
      <c r="K299" s="20"/>
      <c r="L299" s="20"/>
      <c r="M299" s="20"/>
      <c r="N299" s="20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8"/>
      <c r="AB299" s="8"/>
      <c r="AC299" s="8"/>
    </row>
    <row r="300" spans="1:29" ht="15.8" customHeight="1" thickBot="1">
      <c r="A300" s="79"/>
      <c r="B300" s="79"/>
      <c r="C300" s="20"/>
      <c r="D300" s="20"/>
      <c r="E300" s="20"/>
      <c r="F300" s="250" t="s">
        <v>251</v>
      </c>
      <c r="G300" s="251">
        <f>SUM(G298:G299)</f>
        <v>35</v>
      </c>
      <c r="H300" s="20"/>
      <c r="I300" s="20"/>
      <c r="J300" s="20"/>
      <c r="K300" s="20"/>
      <c r="L300" s="20"/>
      <c r="M300" s="20"/>
      <c r="N300" s="20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8"/>
      <c r="AB300" s="8"/>
      <c r="AC300" s="8"/>
    </row>
    <row r="301" spans="1:29" ht="15.8" customHeight="1">
      <c r="A301" s="20" t="s">
        <v>275</v>
      </c>
      <c r="B301" s="6"/>
      <c r="C301" s="20"/>
      <c r="D301" s="20"/>
      <c r="E301" s="20"/>
      <c r="F301" s="94"/>
      <c r="G301" s="6"/>
      <c r="H301" s="6"/>
      <c r="I301" s="82" t="s">
        <v>254</v>
      </c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8"/>
      <c r="AB301" s="8"/>
      <c r="AC301" s="8"/>
    </row>
    <row r="302" spans="1:29" ht="15.8" customHeight="1">
      <c r="A302" s="20" t="s">
        <v>280</v>
      </c>
      <c r="B302" s="6"/>
      <c r="C302" s="20"/>
      <c r="D302" s="20"/>
      <c r="E302" s="20" t="s">
        <v>281</v>
      </c>
      <c r="F302" s="94"/>
      <c r="G302" s="6"/>
      <c r="H302" s="6"/>
      <c r="I302" s="6" t="s">
        <v>256</v>
      </c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8"/>
      <c r="AB302" s="8"/>
      <c r="AC302" s="8"/>
    </row>
    <row r="303" spans="1:29" ht="15.8" customHeight="1">
      <c r="A303" s="20"/>
      <c r="B303" s="6"/>
      <c r="C303" s="20"/>
      <c r="D303" s="20"/>
      <c r="E303" s="20"/>
      <c r="F303" s="79"/>
      <c r="G303" s="20"/>
      <c r="H303" s="20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8"/>
      <c r="AB303" s="8"/>
      <c r="AC303" s="8"/>
    </row>
    <row r="304" spans="1:29" ht="15.8" customHeight="1">
      <c r="A304" s="20"/>
      <c r="B304" s="6"/>
      <c r="C304" s="20"/>
      <c r="D304" s="20"/>
      <c r="E304" s="20"/>
      <c r="F304" s="79"/>
      <c r="G304" s="20"/>
      <c r="H304" s="20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8"/>
      <c r="AB304" s="8"/>
      <c r="AC304" s="8"/>
    </row>
    <row r="305" spans="1:29" ht="15.8" customHeight="1">
      <c r="A305" s="24" t="s">
        <v>961</v>
      </c>
      <c r="B305" s="6"/>
      <c r="C305" s="6"/>
      <c r="D305" s="6"/>
      <c r="E305" s="86" t="s">
        <v>300</v>
      </c>
      <c r="F305" s="94"/>
      <c r="G305" s="6"/>
      <c r="H305" s="20"/>
      <c r="I305" s="87"/>
      <c r="J305" s="87"/>
      <c r="K305" s="87"/>
      <c r="L305" s="87"/>
      <c r="M305" s="87"/>
      <c r="N305" s="87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8"/>
      <c r="AB305" s="8"/>
      <c r="AC305" s="8"/>
    </row>
    <row r="306" spans="1:29" ht="15.8" customHeight="1">
      <c r="A306" s="41" t="s">
        <v>965</v>
      </c>
      <c r="B306" s="41"/>
      <c r="C306" s="20"/>
      <c r="D306" s="20"/>
      <c r="E306" s="20" t="s">
        <v>308</v>
      </c>
      <c r="F306" s="79"/>
      <c r="G306" s="20"/>
      <c r="H306" s="20" t="s">
        <v>266</v>
      </c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8"/>
      <c r="AB306" s="8"/>
      <c r="AC306" s="8"/>
    </row>
    <row r="307" spans="1:29" ht="15.8" customHeight="1">
      <c r="A307" s="6"/>
      <c r="B307" s="6"/>
      <c r="C307" s="6"/>
      <c r="D307" s="6"/>
      <c r="E307" s="6"/>
      <c r="F307" s="94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8"/>
      <c r="AB307" s="8"/>
      <c r="AC307" s="8"/>
    </row>
    <row r="308" spans="1:29" ht="19.55" customHeight="1">
      <c r="A308" s="16" t="s">
        <v>79</v>
      </c>
      <c r="B308" s="16"/>
      <c r="C308" s="4" t="s">
        <v>968</v>
      </c>
      <c r="D308" s="16"/>
      <c r="E308" s="22"/>
      <c r="F308" s="23"/>
      <c r="G308" s="17"/>
      <c r="H308" s="19" t="s">
        <v>82</v>
      </c>
      <c r="I308" s="17"/>
      <c r="J308" s="17"/>
      <c r="K308" s="17"/>
      <c r="L308" s="17"/>
      <c r="M308" s="20"/>
      <c r="N308" s="20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8"/>
      <c r="AB308" s="8"/>
      <c r="AC308" s="8"/>
    </row>
    <row r="309" spans="1:29" ht="9" customHeight="1">
      <c r="A309" s="20"/>
      <c r="B309" s="24"/>
      <c r="C309" s="24"/>
      <c r="D309" s="24"/>
      <c r="E309" s="25"/>
      <c r="F309" s="14"/>
      <c r="G309" s="20"/>
      <c r="H309" s="26"/>
      <c r="I309" s="27"/>
      <c r="J309" s="27"/>
      <c r="K309" s="27"/>
      <c r="L309" s="27"/>
      <c r="M309" s="27"/>
      <c r="N309" s="27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8"/>
      <c r="AB309" s="8"/>
      <c r="AC309" s="8"/>
    </row>
    <row r="310" spans="1:29" ht="15.8" customHeight="1">
      <c r="A310" s="176" t="s">
        <v>84</v>
      </c>
      <c r="B310" s="177"/>
      <c r="C310" s="178" t="s">
        <v>85</v>
      </c>
      <c r="D310" s="179"/>
      <c r="E310" s="180"/>
      <c r="F310" s="184" t="s">
        <v>86</v>
      </c>
      <c r="G310" s="176" t="s">
        <v>87</v>
      </c>
      <c r="H310" s="186"/>
      <c r="I310" s="186"/>
      <c r="J310" s="186"/>
      <c r="K310" s="186"/>
      <c r="L310" s="186"/>
      <c r="M310" s="177"/>
      <c r="N310" s="184" t="s">
        <v>88</v>
      </c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8"/>
      <c r="AB310" s="8"/>
      <c r="AC310" s="8"/>
    </row>
    <row r="311" spans="1:29" ht="15.8" customHeight="1">
      <c r="A311" s="28" t="s">
        <v>90</v>
      </c>
      <c r="B311" s="28" t="s">
        <v>91</v>
      </c>
      <c r="C311" s="181"/>
      <c r="D311" s="182"/>
      <c r="E311" s="183"/>
      <c r="F311" s="185"/>
      <c r="G311" s="28"/>
      <c r="H311" s="28"/>
      <c r="I311" s="28"/>
      <c r="J311" s="28"/>
      <c r="K311" s="28"/>
      <c r="L311" s="28"/>
      <c r="M311" s="28"/>
      <c r="N311" s="185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8"/>
      <c r="AB311" s="8"/>
      <c r="AC311" s="8"/>
    </row>
    <row r="312" spans="1:29" ht="18" customHeight="1">
      <c r="A312" s="1">
        <v>1</v>
      </c>
      <c r="B312" s="1">
        <v>242510183</v>
      </c>
      <c r="C312" s="32" t="s">
        <v>976</v>
      </c>
      <c r="D312" s="100"/>
      <c r="E312" s="34"/>
      <c r="F312" s="35" t="s">
        <v>1</v>
      </c>
      <c r="G312" s="36"/>
      <c r="H312" s="36"/>
      <c r="I312" s="36"/>
      <c r="J312" s="36"/>
      <c r="K312" s="36"/>
      <c r="L312" s="36"/>
      <c r="M312" s="36"/>
      <c r="N312" s="3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8"/>
      <c r="AB312" s="8"/>
      <c r="AC312" s="8"/>
    </row>
    <row r="313" spans="1:29" ht="18" customHeight="1">
      <c r="A313" s="1">
        <f t="shared" ref="A313:A346" si="6">A312+1</f>
        <v>2</v>
      </c>
      <c r="B313" s="1">
        <v>242510002</v>
      </c>
      <c r="C313" s="32" t="s">
        <v>980</v>
      </c>
      <c r="D313" s="100"/>
      <c r="E313" s="34"/>
      <c r="F313" s="35" t="s">
        <v>3</v>
      </c>
      <c r="G313" s="36"/>
      <c r="H313" s="36"/>
      <c r="I313" s="36"/>
      <c r="J313" s="36"/>
      <c r="K313" s="36"/>
      <c r="L313" s="36"/>
      <c r="M313" s="36"/>
      <c r="N313" s="3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8"/>
      <c r="AB313" s="8"/>
      <c r="AC313" s="8"/>
    </row>
    <row r="314" spans="1:29" ht="18" customHeight="1">
      <c r="A314" s="1">
        <f t="shared" si="6"/>
        <v>3</v>
      </c>
      <c r="B314" s="1">
        <v>242510041</v>
      </c>
      <c r="C314" s="32" t="s">
        <v>983</v>
      </c>
      <c r="D314" s="100"/>
      <c r="E314" s="34"/>
      <c r="F314" s="35" t="s">
        <v>3</v>
      </c>
      <c r="G314" s="36"/>
      <c r="H314" s="36"/>
      <c r="I314" s="36"/>
      <c r="J314" s="36"/>
      <c r="K314" s="36"/>
      <c r="L314" s="36"/>
      <c r="M314" s="36"/>
      <c r="N314" s="3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8"/>
      <c r="AB314" s="8"/>
      <c r="AC314" s="8"/>
    </row>
    <row r="315" spans="1:29" ht="18" customHeight="1">
      <c r="A315" s="1">
        <f t="shared" si="6"/>
        <v>4</v>
      </c>
      <c r="B315" s="1">
        <v>242510045</v>
      </c>
      <c r="C315" s="32" t="s">
        <v>986</v>
      </c>
      <c r="D315" s="100"/>
      <c r="E315" s="34"/>
      <c r="F315" s="35" t="s">
        <v>1</v>
      </c>
      <c r="G315" s="36"/>
      <c r="H315" s="36"/>
      <c r="I315" s="36"/>
      <c r="J315" s="36"/>
      <c r="K315" s="36"/>
      <c r="L315" s="36"/>
      <c r="M315" s="36"/>
      <c r="N315" s="3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8"/>
      <c r="AB315" s="8"/>
      <c r="AC315" s="8"/>
    </row>
    <row r="316" spans="1:29" ht="18" customHeight="1">
      <c r="A316" s="1">
        <f t="shared" si="6"/>
        <v>5</v>
      </c>
      <c r="B316" s="1">
        <v>242510191</v>
      </c>
      <c r="C316" s="32" t="s">
        <v>989</v>
      </c>
      <c r="D316" s="100"/>
      <c r="E316" s="34"/>
      <c r="F316" s="35" t="s">
        <v>1</v>
      </c>
      <c r="G316" s="36"/>
      <c r="H316" s="36"/>
      <c r="I316" s="36"/>
      <c r="J316" s="36"/>
      <c r="K316" s="36"/>
      <c r="L316" s="36"/>
      <c r="M316" s="36"/>
      <c r="N316" s="3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8"/>
      <c r="AB316" s="8"/>
      <c r="AC316" s="8"/>
    </row>
    <row r="317" spans="1:29" ht="18" customHeight="1">
      <c r="A317" s="1">
        <f t="shared" si="6"/>
        <v>6</v>
      </c>
      <c r="B317" s="1">
        <v>242510082</v>
      </c>
      <c r="C317" s="32" t="s">
        <v>992</v>
      </c>
      <c r="D317" s="100"/>
      <c r="E317" s="34"/>
      <c r="F317" s="35" t="s">
        <v>3</v>
      </c>
      <c r="G317" s="36"/>
      <c r="H317" s="36"/>
      <c r="I317" s="36"/>
      <c r="J317" s="36"/>
      <c r="K317" s="36"/>
      <c r="L317" s="36"/>
      <c r="M317" s="36"/>
      <c r="N317" s="3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8"/>
      <c r="AB317" s="8"/>
      <c r="AC317" s="8"/>
    </row>
    <row r="318" spans="1:29" ht="18" customHeight="1">
      <c r="A318" s="1">
        <f t="shared" si="6"/>
        <v>7</v>
      </c>
      <c r="B318" s="1">
        <v>242510371</v>
      </c>
      <c r="C318" s="32" t="s">
        <v>995</v>
      </c>
      <c r="D318" s="100"/>
      <c r="E318" s="34"/>
      <c r="F318" s="35" t="s">
        <v>3</v>
      </c>
      <c r="G318" s="36"/>
      <c r="H318" s="36"/>
      <c r="I318" s="36"/>
      <c r="J318" s="36"/>
      <c r="K318" s="36"/>
      <c r="L318" s="36"/>
      <c r="M318" s="36"/>
      <c r="N318" s="3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8"/>
      <c r="AB318" s="8"/>
      <c r="AC318" s="8"/>
    </row>
    <row r="319" spans="1:29" ht="18" customHeight="1">
      <c r="A319" s="1">
        <f t="shared" si="6"/>
        <v>8</v>
      </c>
      <c r="B319" s="1">
        <v>242510374</v>
      </c>
      <c r="C319" s="32" t="s">
        <v>998</v>
      </c>
      <c r="D319" s="100"/>
      <c r="E319" s="34"/>
      <c r="F319" s="35" t="s">
        <v>3</v>
      </c>
      <c r="G319" s="36"/>
      <c r="H319" s="36"/>
      <c r="I319" s="36"/>
      <c r="J319" s="36"/>
      <c r="K319" s="36"/>
      <c r="L319" s="36"/>
      <c r="M319" s="36"/>
      <c r="N319" s="3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8"/>
      <c r="AB319" s="8"/>
      <c r="AC319" s="8"/>
    </row>
    <row r="320" spans="1:29" ht="18" customHeight="1">
      <c r="A320" s="1">
        <f t="shared" si="6"/>
        <v>9</v>
      </c>
      <c r="B320" s="1">
        <v>242510233</v>
      </c>
      <c r="C320" s="32" t="s">
        <v>1001</v>
      </c>
      <c r="D320" s="100"/>
      <c r="E320" s="34"/>
      <c r="F320" s="35" t="s">
        <v>3</v>
      </c>
      <c r="G320" s="36"/>
      <c r="H320" s="36"/>
      <c r="I320" s="36"/>
      <c r="J320" s="36"/>
      <c r="K320" s="36"/>
      <c r="L320" s="36"/>
      <c r="M320" s="36"/>
      <c r="N320" s="3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8"/>
      <c r="AB320" s="8"/>
      <c r="AC320" s="8"/>
    </row>
    <row r="321" spans="1:29" ht="18" customHeight="1">
      <c r="A321" s="1">
        <f t="shared" si="6"/>
        <v>10</v>
      </c>
      <c r="B321" s="1">
        <v>242510052</v>
      </c>
      <c r="C321" s="32" t="s">
        <v>1004</v>
      </c>
      <c r="D321" s="100"/>
      <c r="E321" s="34"/>
      <c r="F321" s="35" t="s">
        <v>3</v>
      </c>
      <c r="G321" s="36"/>
      <c r="H321" s="36"/>
      <c r="I321" s="36"/>
      <c r="J321" s="36"/>
      <c r="K321" s="36"/>
      <c r="L321" s="36"/>
      <c r="M321" s="36"/>
      <c r="N321" s="3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8"/>
      <c r="AB321" s="8"/>
      <c r="AC321" s="8"/>
    </row>
    <row r="322" spans="1:29" ht="18" customHeight="1">
      <c r="A322" s="1">
        <f t="shared" si="6"/>
        <v>11</v>
      </c>
      <c r="B322" s="1">
        <v>242510053</v>
      </c>
      <c r="C322" s="32" t="s">
        <v>1007</v>
      </c>
      <c r="D322" s="100"/>
      <c r="E322" s="34"/>
      <c r="F322" s="35" t="s">
        <v>1</v>
      </c>
      <c r="G322" s="36"/>
      <c r="H322" s="36"/>
      <c r="I322" s="36"/>
      <c r="J322" s="36"/>
      <c r="K322" s="36"/>
      <c r="L322" s="36"/>
      <c r="M322" s="36"/>
      <c r="N322" s="3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8"/>
      <c r="AB322" s="8"/>
      <c r="AC322" s="8"/>
    </row>
    <row r="323" spans="1:29" ht="18" customHeight="1">
      <c r="A323" s="1">
        <f t="shared" si="6"/>
        <v>12</v>
      </c>
      <c r="B323" s="1">
        <v>242510198</v>
      </c>
      <c r="C323" s="32" t="s">
        <v>1010</v>
      </c>
      <c r="D323" s="100"/>
      <c r="E323" s="34"/>
      <c r="F323" s="35" t="s">
        <v>1</v>
      </c>
      <c r="G323" s="36"/>
      <c r="H323" s="36"/>
      <c r="I323" s="36"/>
      <c r="J323" s="36"/>
      <c r="K323" s="36"/>
      <c r="L323" s="36"/>
      <c r="M323" s="36"/>
      <c r="N323" s="3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8"/>
      <c r="AB323" s="8"/>
      <c r="AC323" s="8"/>
    </row>
    <row r="324" spans="1:29" ht="18" customHeight="1">
      <c r="A324" s="1">
        <f t="shared" si="6"/>
        <v>13</v>
      </c>
      <c r="B324" s="1">
        <v>242510018</v>
      </c>
      <c r="C324" s="32" t="s">
        <v>1013</v>
      </c>
      <c r="D324" s="100"/>
      <c r="E324" s="34"/>
      <c r="F324" s="35" t="s">
        <v>1</v>
      </c>
      <c r="G324" s="36"/>
      <c r="H324" s="36"/>
      <c r="I324" s="36"/>
      <c r="J324" s="36"/>
      <c r="K324" s="36"/>
      <c r="L324" s="36"/>
      <c r="M324" s="36"/>
      <c r="N324" s="3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8"/>
      <c r="AB324" s="8"/>
      <c r="AC324" s="8"/>
    </row>
    <row r="325" spans="1:29" ht="18" customHeight="1">
      <c r="A325" s="1">
        <f t="shared" si="6"/>
        <v>14</v>
      </c>
      <c r="B325" s="1">
        <v>242510130</v>
      </c>
      <c r="C325" s="32" t="s">
        <v>1016</v>
      </c>
      <c r="D325" s="100"/>
      <c r="E325" s="34"/>
      <c r="F325" s="35" t="s">
        <v>1</v>
      </c>
      <c r="G325" s="36"/>
      <c r="H325" s="36"/>
      <c r="I325" s="36"/>
      <c r="J325" s="36"/>
      <c r="K325" s="36"/>
      <c r="L325" s="36"/>
      <c r="M325" s="36"/>
      <c r="N325" s="3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8"/>
      <c r="AB325" s="8"/>
      <c r="AC325" s="8"/>
    </row>
    <row r="326" spans="1:29" ht="18" customHeight="1">
      <c r="A326" s="1">
        <f t="shared" si="6"/>
        <v>15</v>
      </c>
      <c r="B326" s="1">
        <v>242510314</v>
      </c>
      <c r="C326" s="32" t="s">
        <v>1018</v>
      </c>
      <c r="D326" s="100"/>
      <c r="E326" s="34"/>
      <c r="F326" s="35" t="s">
        <v>1</v>
      </c>
      <c r="G326" s="36"/>
      <c r="H326" s="36"/>
      <c r="I326" s="36"/>
      <c r="J326" s="36"/>
      <c r="K326" s="36"/>
      <c r="L326" s="36"/>
      <c r="M326" s="36"/>
      <c r="N326" s="3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8"/>
      <c r="AB326" s="8"/>
      <c r="AC326" s="8"/>
    </row>
    <row r="327" spans="1:29" ht="18" customHeight="1">
      <c r="A327" s="1">
        <f t="shared" si="6"/>
        <v>16</v>
      </c>
      <c r="B327" s="1">
        <v>242510315</v>
      </c>
      <c r="C327" s="32" t="s">
        <v>1021</v>
      </c>
      <c r="D327" s="100"/>
      <c r="E327" s="34"/>
      <c r="F327" s="35" t="s">
        <v>1</v>
      </c>
      <c r="G327" s="36"/>
      <c r="H327" s="36"/>
      <c r="I327" s="36"/>
      <c r="J327" s="36"/>
      <c r="K327" s="36"/>
      <c r="L327" s="36"/>
      <c r="M327" s="36"/>
      <c r="N327" s="3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8"/>
      <c r="AB327" s="8"/>
      <c r="AC327" s="8"/>
    </row>
    <row r="328" spans="1:29" ht="18" customHeight="1">
      <c r="A328" s="1">
        <f t="shared" si="6"/>
        <v>17</v>
      </c>
      <c r="B328" s="1">
        <v>242510060</v>
      </c>
      <c r="C328" s="32" t="s">
        <v>1024</v>
      </c>
      <c r="D328" s="100"/>
      <c r="E328" s="34"/>
      <c r="F328" s="35" t="s">
        <v>1</v>
      </c>
      <c r="G328" s="36"/>
      <c r="H328" s="36"/>
      <c r="I328" s="36"/>
      <c r="J328" s="36"/>
      <c r="K328" s="36"/>
      <c r="L328" s="36"/>
      <c r="M328" s="36"/>
      <c r="N328" s="3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8"/>
      <c r="AB328" s="8"/>
      <c r="AC328" s="8"/>
    </row>
    <row r="329" spans="1:29" ht="18" customHeight="1">
      <c r="A329" s="1">
        <f t="shared" si="6"/>
        <v>18</v>
      </c>
      <c r="B329" s="1">
        <v>242510200</v>
      </c>
      <c r="C329" s="32" t="s">
        <v>1026</v>
      </c>
      <c r="D329" s="100"/>
      <c r="E329" s="34"/>
      <c r="F329" s="35" t="s">
        <v>1</v>
      </c>
      <c r="G329" s="36"/>
      <c r="H329" s="36"/>
      <c r="I329" s="36"/>
      <c r="J329" s="36"/>
      <c r="K329" s="36"/>
      <c r="L329" s="36"/>
      <c r="M329" s="36"/>
      <c r="N329" s="3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8"/>
      <c r="AB329" s="8"/>
      <c r="AC329" s="8"/>
    </row>
    <row r="330" spans="1:29" ht="18" customHeight="1">
      <c r="A330" s="1">
        <f t="shared" si="6"/>
        <v>19</v>
      </c>
      <c r="B330" s="1">
        <v>242510133</v>
      </c>
      <c r="C330" s="32" t="s">
        <v>1028</v>
      </c>
      <c r="D330" s="100"/>
      <c r="E330" s="34"/>
      <c r="F330" s="35" t="s">
        <v>1</v>
      </c>
      <c r="G330" s="36"/>
      <c r="H330" s="36"/>
      <c r="I330" s="36"/>
      <c r="J330" s="36"/>
      <c r="K330" s="36"/>
      <c r="L330" s="36"/>
      <c r="M330" s="36"/>
      <c r="N330" s="1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8"/>
      <c r="AB330" s="8"/>
      <c r="AC330" s="8"/>
    </row>
    <row r="331" spans="1:29" ht="18" customHeight="1">
      <c r="A331" s="1">
        <f t="shared" si="6"/>
        <v>20</v>
      </c>
      <c r="B331" s="1">
        <v>242510202</v>
      </c>
      <c r="C331" s="32" t="s">
        <v>1030</v>
      </c>
      <c r="D331" s="100"/>
      <c r="E331" s="34"/>
      <c r="F331" s="35" t="s">
        <v>3</v>
      </c>
      <c r="G331" s="36"/>
      <c r="H331" s="36"/>
      <c r="I331" s="36"/>
      <c r="J331" s="36"/>
      <c r="K331" s="36"/>
      <c r="L331" s="36"/>
      <c r="M331" s="36"/>
      <c r="N331" s="3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8"/>
      <c r="AB331" s="8"/>
      <c r="AC331" s="8"/>
    </row>
    <row r="332" spans="1:29" ht="18" customHeight="1">
      <c r="A332" s="1">
        <f t="shared" si="6"/>
        <v>21</v>
      </c>
      <c r="B332" s="1">
        <v>242510203</v>
      </c>
      <c r="C332" s="32" t="s">
        <v>1032</v>
      </c>
      <c r="D332" s="100"/>
      <c r="E332" s="34"/>
      <c r="F332" s="35" t="s">
        <v>3</v>
      </c>
      <c r="G332" s="36"/>
      <c r="H332" s="36"/>
      <c r="I332" s="36"/>
      <c r="J332" s="36"/>
      <c r="K332" s="36"/>
      <c r="L332" s="36"/>
      <c r="M332" s="36"/>
      <c r="N332" s="3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8"/>
      <c r="AB332" s="8"/>
      <c r="AC332" s="8"/>
    </row>
    <row r="333" spans="1:29" ht="18" customHeight="1">
      <c r="A333" s="1">
        <f t="shared" si="6"/>
        <v>22</v>
      </c>
      <c r="B333" s="1">
        <v>242510095</v>
      </c>
      <c r="C333" s="32" t="s">
        <v>1033</v>
      </c>
      <c r="D333" s="100"/>
      <c r="E333" s="34"/>
      <c r="F333" s="35" t="s">
        <v>3</v>
      </c>
      <c r="G333" s="36"/>
      <c r="H333" s="36"/>
      <c r="I333" s="36"/>
      <c r="J333" s="36"/>
      <c r="K333" s="36"/>
      <c r="L333" s="36"/>
      <c r="M333" s="36"/>
      <c r="N333" s="3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8"/>
      <c r="AB333" s="8"/>
      <c r="AC333" s="8"/>
    </row>
    <row r="334" spans="1:29" ht="18" customHeight="1">
      <c r="A334" s="1">
        <f t="shared" si="6"/>
        <v>23</v>
      </c>
      <c r="B334" s="1">
        <v>242510204</v>
      </c>
      <c r="C334" s="32" t="s">
        <v>1035</v>
      </c>
      <c r="D334" s="100"/>
      <c r="E334" s="34"/>
      <c r="F334" s="35" t="s">
        <v>3</v>
      </c>
      <c r="G334" s="36"/>
      <c r="H334" s="36"/>
      <c r="I334" s="36"/>
      <c r="J334" s="36"/>
      <c r="K334" s="36"/>
      <c r="L334" s="36"/>
      <c r="M334" s="36"/>
      <c r="N334" s="3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8"/>
      <c r="AB334" s="8"/>
      <c r="AC334" s="8"/>
    </row>
    <row r="335" spans="1:29" ht="18" customHeight="1">
      <c r="A335" s="1">
        <f t="shared" si="6"/>
        <v>24</v>
      </c>
      <c r="B335" s="1">
        <v>242510026</v>
      </c>
      <c r="C335" s="32" t="s">
        <v>1036</v>
      </c>
      <c r="D335" s="100"/>
      <c r="E335" s="34"/>
      <c r="F335" s="35" t="s">
        <v>3</v>
      </c>
      <c r="G335" s="36"/>
      <c r="H335" s="36"/>
      <c r="I335" s="36"/>
      <c r="J335" s="36"/>
      <c r="K335" s="36"/>
      <c r="L335" s="36"/>
      <c r="M335" s="36"/>
      <c r="N335" s="3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8"/>
      <c r="AB335" s="8"/>
      <c r="AC335" s="8"/>
    </row>
    <row r="336" spans="1:29" ht="18" customHeight="1">
      <c r="A336" s="1">
        <f t="shared" si="6"/>
        <v>25</v>
      </c>
      <c r="B336" s="1">
        <v>242510030</v>
      </c>
      <c r="C336" s="32" t="s">
        <v>1038</v>
      </c>
      <c r="D336" s="100"/>
      <c r="E336" s="34"/>
      <c r="F336" s="35" t="s">
        <v>1</v>
      </c>
      <c r="G336" s="36"/>
      <c r="H336" s="36"/>
      <c r="I336" s="36"/>
      <c r="J336" s="36"/>
      <c r="K336" s="36"/>
      <c r="L336" s="36"/>
      <c r="M336" s="36"/>
      <c r="N336" s="3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8"/>
      <c r="AB336" s="8"/>
      <c r="AC336" s="8"/>
    </row>
    <row r="337" spans="1:29" ht="18" customHeight="1">
      <c r="A337" s="1">
        <f t="shared" si="6"/>
        <v>26</v>
      </c>
      <c r="B337" s="1">
        <v>242510096</v>
      </c>
      <c r="C337" s="32" t="s">
        <v>1040</v>
      </c>
      <c r="D337" s="100"/>
      <c r="E337" s="34"/>
      <c r="F337" s="35" t="s">
        <v>3</v>
      </c>
      <c r="G337" s="36"/>
      <c r="H337" s="36"/>
      <c r="I337" s="36"/>
      <c r="J337" s="36"/>
      <c r="K337" s="36"/>
      <c r="L337" s="36"/>
      <c r="M337" s="36"/>
      <c r="N337" s="3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8"/>
      <c r="AB337" s="8"/>
      <c r="AC337" s="8"/>
    </row>
    <row r="338" spans="1:29" ht="18" customHeight="1">
      <c r="A338" s="1">
        <f t="shared" si="6"/>
        <v>27</v>
      </c>
      <c r="B338" s="1">
        <v>242510097</v>
      </c>
      <c r="C338" s="32" t="s">
        <v>1041</v>
      </c>
      <c r="D338" s="100"/>
      <c r="E338" s="34"/>
      <c r="F338" s="35" t="s">
        <v>1</v>
      </c>
      <c r="G338" s="36"/>
      <c r="H338" s="36"/>
      <c r="I338" s="36"/>
      <c r="J338" s="36"/>
      <c r="K338" s="36"/>
      <c r="L338" s="36"/>
      <c r="M338" s="36"/>
      <c r="N338" s="3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8"/>
      <c r="AB338" s="8"/>
      <c r="AC338" s="8"/>
    </row>
    <row r="339" spans="1:29" ht="18" customHeight="1">
      <c r="A339" s="1">
        <f t="shared" si="6"/>
        <v>28</v>
      </c>
      <c r="B339" s="1">
        <v>242510210</v>
      </c>
      <c r="C339" s="32" t="s">
        <v>1042</v>
      </c>
      <c r="D339" s="100"/>
      <c r="E339" s="34"/>
      <c r="F339" s="35" t="s">
        <v>1</v>
      </c>
      <c r="G339" s="36"/>
      <c r="H339" s="36"/>
      <c r="I339" s="36"/>
      <c r="J339" s="36"/>
      <c r="K339" s="36"/>
      <c r="L339" s="36"/>
      <c r="M339" s="36"/>
      <c r="N339" s="3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8"/>
      <c r="AB339" s="8"/>
      <c r="AC339" s="8"/>
    </row>
    <row r="340" spans="1:29" ht="18" customHeight="1">
      <c r="A340" s="1">
        <f t="shared" si="6"/>
        <v>29</v>
      </c>
      <c r="B340" s="1">
        <v>242510177</v>
      </c>
      <c r="C340" s="32" t="s">
        <v>1044</v>
      </c>
      <c r="D340" s="100"/>
      <c r="E340" s="34"/>
      <c r="F340" s="35" t="s">
        <v>3</v>
      </c>
      <c r="G340" s="36"/>
      <c r="H340" s="36"/>
      <c r="I340" s="36"/>
      <c r="J340" s="36"/>
      <c r="K340" s="36"/>
      <c r="L340" s="36"/>
      <c r="M340" s="36"/>
      <c r="N340" s="3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8"/>
      <c r="AB340" s="8"/>
      <c r="AC340" s="8"/>
    </row>
    <row r="341" spans="1:29" ht="18" customHeight="1">
      <c r="A341" s="1">
        <f t="shared" si="6"/>
        <v>30</v>
      </c>
      <c r="B341" s="1">
        <v>242510287</v>
      </c>
      <c r="C341" s="32" t="s">
        <v>1045</v>
      </c>
      <c r="D341" s="100"/>
      <c r="E341" s="34"/>
      <c r="F341" s="35" t="s">
        <v>3</v>
      </c>
      <c r="G341" s="36"/>
      <c r="H341" s="36"/>
      <c r="I341" s="36"/>
      <c r="J341" s="36"/>
      <c r="K341" s="36"/>
      <c r="L341" s="36"/>
      <c r="M341" s="36"/>
      <c r="N341" s="3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8"/>
      <c r="AB341" s="8"/>
      <c r="AC341" s="8"/>
    </row>
    <row r="342" spans="1:29" ht="18" customHeight="1">
      <c r="A342" s="1">
        <f t="shared" si="6"/>
        <v>31</v>
      </c>
      <c r="B342" s="1">
        <v>242510103</v>
      </c>
      <c r="C342" s="32" t="s">
        <v>1047</v>
      </c>
      <c r="D342" s="100"/>
      <c r="E342" s="34"/>
      <c r="F342" s="35" t="s">
        <v>1</v>
      </c>
      <c r="G342" s="36"/>
      <c r="H342" s="36"/>
      <c r="I342" s="36"/>
      <c r="J342" s="36"/>
      <c r="K342" s="36"/>
      <c r="L342" s="36"/>
      <c r="M342" s="36"/>
      <c r="N342" s="3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8"/>
      <c r="AB342" s="8"/>
      <c r="AC342" s="8"/>
    </row>
    <row r="343" spans="1:29" ht="18" customHeight="1">
      <c r="A343" s="1">
        <f t="shared" si="6"/>
        <v>32</v>
      </c>
      <c r="B343" s="1">
        <v>242510105</v>
      </c>
      <c r="C343" s="32" t="s">
        <v>1049</v>
      </c>
      <c r="D343" s="100"/>
      <c r="E343" s="34"/>
      <c r="F343" s="35" t="s">
        <v>1</v>
      </c>
      <c r="G343" s="36"/>
      <c r="H343" s="36"/>
      <c r="I343" s="36"/>
      <c r="J343" s="36"/>
      <c r="K343" s="36"/>
      <c r="L343" s="36"/>
      <c r="M343" s="36"/>
      <c r="N343" s="3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8"/>
      <c r="AB343" s="8"/>
      <c r="AC343" s="8"/>
    </row>
    <row r="344" spans="1:29" ht="18" customHeight="1">
      <c r="A344" s="1">
        <f t="shared" si="6"/>
        <v>33</v>
      </c>
      <c r="B344" s="1">
        <v>242510359</v>
      </c>
      <c r="C344" s="32" t="s">
        <v>1050</v>
      </c>
      <c r="D344" s="100"/>
      <c r="E344" s="34"/>
      <c r="F344" s="35" t="s">
        <v>1</v>
      </c>
      <c r="G344" s="36"/>
      <c r="H344" s="36"/>
      <c r="I344" s="36"/>
      <c r="J344" s="36"/>
      <c r="K344" s="36"/>
      <c r="L344" s="36"/>
      <c r="M344" s="36"/>
      <c r="N344" s="3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8"/>
      <c r="AB344" s="8"/>
      <c r="AC344" s="8"/>
    </row>
    <row r="345" spans="1:29" ht="18" customHeight="1">
      <c r="A345" s="1">
        <f t="shared" si="6"/>
        <v>34</v>
      </c>
      <c r="B345" s="1">
        <v>242510216</v>
      </c>
      <c r="C345" s="32" t="s">
        <v>1052</v>
      </c>
      <c r="D345" s="100"/>
      <c r="E345" s="34"/>
      <c r="F345" s="35" t="s">
        <v>1</v>
      </c>
      <c r="G345" s="36"/>
      <c r="H345" s="36"/>
      <c r="I345" s="36"/>
      <c r="J345" s="36"/>
      <c r="K345" s="36"/>
      <c r="L345" s="36"/>
      <c r="M345" s="36"/>
      <c r="N345" s="3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8"/>
      <c r="AB345" s="8"/>
      <c r="AC345" s="8"/>
    </row>
    <row r="346" spans="1:29" ht="18" customHeight="1" thickBot="1">
      <c r="A346" s="1">
        <f t="shared" si="6"/>
        <v>35</v>
      </c>
      <c r="B346" s="1">
        <v>242510107</v>
      </c>
      <c r="C346" s="32" t="s">
        <v>1055</v>
      </c>
      <c r="D346" s="100"/>
      <c r="E346" s="34"/>
      <c r="F346" s="224" t="s">
        <v>3</v>
      </c>
      <c r="G346" s="135"/>
      <c r="H346" s="36"/>
      <c r="I346" s="36"/>
      <c r="J346" s="36"/>
      <c r="K346" s="36"/>
      <c r="L346" s="36"/>
      <c r="M346" s="36"/>
      <c r="N346" s="3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8"/>
      <c r="AB346" s="8"/>
      <c r="AC346" s="8"/>
    </row>
    <row r="347" spans="1:29" ht="15.8" customHeight="1">
      <c r="A347" s="79"/>
      <c r="B347" s="115"/>
      <c r="C347" s="20"/>
      <c r="D347" s="20"/>
      <c r="E347" s="20"/>
      <c r="F347" s="257" t="s">
        <v>1</v>
      </c>
      <c r="G347" s="247">
        <f>COUNTIF(F312:F346,"L")</f>
        <v>19</v>
      </c>
      <c r="H347" s="20"/>
      <c r="I347" s="20"/>
      <c r="J347" s="20"/>
      <c r="K347" s="20"/>
      <c r="L347" s="20"/>
      <c r="M347" s="20"/>
      <c r="N347" s="20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8"/>
      <c r="AB347" s="8"/>
      <c r="AC347" s="8"/>
    </row>
    <row r="348" spans="1:29" ht="15.8" customHeight="1" thickBot="1">
      <c r="A348" s="79"/>
      <c r="B348" s="79"/>
      <c r="C348" s="20"/>
      <c r="D348" s="20"/>
      <c r="E348" s="20"/>
      <c r="F348" s="248" t="s">
        <v>3</v>
      </c>
      <c r="G348" s="249">
        <f>COUNTIF(F312:F346,"P")</f>
        <v>16</v>
      </c>
      <c r="H348" s="20"/>
      <c r="I348" s="20"/>
      <c r="J348" s="20"/>
      <c r="K348" s="20"/>
      <c r="L348" s="20"/>
      <c r="M348" s="20"/>
      <c r="N348" s="20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8"/>
      <c r="AB348" s="8"/>
      <c r="AC348" s="8"/>
    </row>
    <row r="349" spans="1:29" ht="15.8" customHeight="1" thickBot="1">
      <c r="A349" s="79"/>
      <c r="B349" s="79"/>
      <c r="C349" s="20"/>
      <c r="D349" s="20"/>
      <c r="E349" s="20"/>
      <c r="F349" s="250" t="s">
        <v>251</v>
      </c>
      <c r="G349" s="251">
        <f>SUM(G347:G348)</f>
        <v>35</v>
      </c>
      <c r="H349" s="20"/>
      <c r="I349" s="20"/>
      <c r="J349" s="20"/>
      <c r="K349" s="20"/>
      <c r="L349" s="20"/>
      <c r="M349" s="20"/>
      <c r="N349" s="20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8"/>
      <c r="AB349" s="8"/>
      <c r="AC349" s="8"/>
    </row>
    <row r="350" spans="1:29" ht="15.8" customHeight="1">
      <c r="A350" s="20" t="s">
        <v>275</v>
      </c>
      <c r="B350" s="79"/>
      <c r="C350" s="20"/>
      <c r="D350" s="20"/>
      <c r="E350" s="20"/>
      <c r="F350" s="94"/>
      <c r="G350" s="6"/>
      <c r="H350" s="6"/>
      <c r="I350" s="82" t="s">
        <v>254</v>
      </c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8"/>
      <c r="AB350" s="8"/>
      <c r="AC350" s="8"/>
    </row>
    <row r="351" spans="1:29" ht="15.8" customHeight="1">
      <c r="A351" s="20" t="s">
        <v>280</v>
      </c>
      <c r="B351" s="79"/>
      <c r="C351" s="20"/>
      <c r="D351" s="20"/>
      <c r="E351" s="20" t="s">
        <v>281</v>
      </c>
      <c r="F351" s="94"/>
      <c r="G351" s="6"/>
      <c r="H351" s="6"/>
      <c r="I351" s="6" t="s">
        <v>256</v>
      </c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8"/>
      <c r="AB351" s="8"/>
      <c r="AC351" s="8"/>
    </row>
    <row r="352" spans="1:29" ht="15.8" customHeight="1">
      <c r="A352" s="20"/>
      <c r="B352" s="6"/>
      <c r="C352" s="20"/>
      <c r="D352" s="20"/>
      <c r="E352" s="20"/>
      <c r="F352" s="79"/>
      <c r="G352" s="20"/>
      <c r="H352" s="20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8"/>
      <c r="AB352" s="8"/>
      <c r="AC352" s="8"/>
    </row>
    <row r="353" spans="1:29" ht="15.8" customHeight="1">
      <c r="A353" s="20"/>
      <c r="B353" s="6"/>
      <c r="C353" s="20"/>
      <c r="D353" s="20"/>
      <c r="E353" s="20"/>
      <c r="F353" s="79"/>
      <c r="G353" s="20"/>
      <c r="H353" s="20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8"/>
      <c r="AB353" s="8"/>
      <c r="AC353" s="8"/>
    </row>
    <row r="354" spans="1:29" ht="15.8" customHeight="1">
      <c r="A354" s="24" t="s">
        <v>1067</v>
      </c>
      <c r="B354" s="6"/>
      <c r="C354" s="6"/>
      <c r="D354" s="6"/>
      <c r="E354" s="86" t="s">
        <v>380</v>
      </c>
      <c r="F354" s="94"/>
      <c r="G354" s="6"/>
      <c r="H354" s="20"/>
      <c r="I354" s="87"/>
      <c r="J354" s="87"/>
      <c r="K354" s="87"/>
      <c r="L354" s="87"/>
      <c r="M354" s="87"/>
      <c r="N354" s="87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8"/>
      <c r="AB354" s="8"/>
      <c r="AC354" s="8"/>
    </row>
    <row r="355" spans="1:29" ht="15.8" customHeight="1">
      <c r="A355" s="41" t="s">
        <v>1069</v>
      </c>
      <c r="B355" s="41"/>
      <c r="C355" s="20"/>
      <c r="D355" s="20"/>
      <c r="E355" s="20" t="s">
        <v>635</v>
      </c>
      <c r="F355" s="79"/>
      <c r="G355" s="20"/>
      <c r="H355" s="20" t="s">
        <v>266</v>
      </c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8"/>
      <c r="AB355" s="8"/>
      <c r="AC355" s="8"/>
    </row>
    <row r="356" spans="1:29" ht="15.8" customHeight="1">
      <c r="A356" s="43"/>
      <c r="B356" s="44"/>
      <c r="C356" s="44"/>
      <c r="D356" s="44"/>
      <c r="E356" s="44"/>
      <c r="F356" s="45"/>
      <c r="G356" s="46"/>
      <c r="H356" s="46"/>
      <c r="I356" s="44"/>
      <c r="J356" s="44"/>
      <c r="K356" s="44"/>
      <c r="L356" s="44"/>
      <c r="M356" s="44"/>
      <c r="N356" s="44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8"/>
      <c r="AB356" s="8"/>
      <c r="AC356" s="8"/>
    </row>
    <row r="357" spans="1:29" ht="19.55" customHeight="1">
      <c r="A357" s="16" t="s">
        <v>79</v>
      </c>
      <c r="B357" s="16"/>
      <c r="C357" s="4" t="s">
        <v>1074</v>
      </c>
      <c r="D357" s="16"/>
      <c r="E357" s="22"/>
      <c r="F357" s="23"/>
      <c r="G357" s="17"/>
      <c r="H357" s="19" t="s">
        <v>82</v>
      </c>
      <c r="I357" s="17"/>
      <c r="J357" s="17"/>
      <c r="K357" s="17"/>
      <c r="L357" s="17"/>
      <c r="M357" s="20"/>
      <c r="N357" s="20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8"/>
      <c r="AB357" s="8"/>
      <c r="AC357" s="8"/>
    </row>
    <row r="358" spans="1:29" ht="9" customHeight="1">
      <c r="A358" s="20"/>
      <c r="B358" s="24"/>
      <c r="C358" s="24"/>
      <c r="D358" s="24"/>
      <c r="E358" s="25"/>
      <c r="F358" s="14"/>
      <c r="G358" s="20"/>
      <c r="H358" s="26"/>
      <c r="I358" s="27"/>
      <c r="J358" s="27"/>
      <c r="K358" s="27"/>
      <c r="L358" s="27"/>
      <c r="M358" s="27"/>
      <c r="N358" s="27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8"/>
      <c r="AB358" s="8"/>
      <c r="AC358" s="8"/>
    </row>
    <row r="359" spans="1:29" ht="15.8" customHeight="1">
      <c r="A359" s="176" t="s">
        <v>84</v>
      </c>
      <c r="B359" s="177"/>
      <c r="C359" s="178" t="s">
        <v>85</v>
      </c>
      <c r="D359" s="179"/>
      <c r="E359" s="180"/>
      <c r="F359" s="184" t="s">
        <v>86</v>
      </c>
      <c r="G359" s="176" t="s">
        <v>87</v>
      </c>
      <c r="H359" s="186"/>
      <c r="I359" s="186"/>
      <c r="J359" s="186"/>
      <c r="K359" s="186"/>
      <c r="L359" s="186"/>
      <c r="M359" s="177"/>
      <c r="N359" s="184" t="s">
        <v>88</v>
      </c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8"/>
      <c r="AB359" s="8"/>
      <c r="AC359" s="8"/>
    </row>
    <row r="360" spans="1:29" ht="15.8" customHeight="1">
      <c r="A360" s="28" t="s">
        <v>90</v>
      </c>
      <c r="B360" s="28" t="s">
        <v>91</v>
      </c>
      <c r="C360" s="181"/>
      <c r="D360" s="182"/>
      <c r="E360" s="183"/>
      <c r="F360" s="185"/>
      <c r="G360" s="28"/>
      <c r="H360" s="28"/>
      <c r="I360" s="28"/>
      <c r="J360" s="28"/>
      <c r="K360" s="28"/>
      <c r="L360" s="28"/>
      <c r="M360" s="28"/>
      <c r="N360" s="185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8"/>
      <c r="AB360" s="8"/>
      <c r="AC360" s="8"/>
    </row>
    <row r="361" spans="1:29" ht="18" customHeight="1">
      <c r="A361" s="1">
        <v>1</v>
      </c>
      <c r="B361" s="1">
        <v>242510039</v>
      </c>
      <c r="C361" s="32" t="s">
        <v>1084</v>
      </c>
      <c r="D361" s="100"/>
      <c r="E361" s="34"/>
      <c r="F361" s="35" t="s">
        <v>1</v>
      </c>
      <c r="G361" s="36"/>
      <c r="H361" s="36"/>
      <c r="I361" s="36"/>
      <c r="J361" s="36"/>
      <c r="K361" s="36"/>
      <c r="L361" s="36"/>
      <c r="M361" s="36"/>
      <c r="N361" s="3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8"/>
      <c r="AB361" s="8"/>
      <c r="AC361" s="8"/>
    </row>
    <row r="362" spans="1:29" ht="18" customHeight="1">
      <c r="A362" s="1">
        <f t="shared" ref="A362:A395" si="7">A361+1</f>
        <v>2</v>
      </c>
      <c r="B362" s="1">
        <v>242510219</v>
      </c>
      <c r="C362" s="32" t="s">
        <v>1087</v>
      </c>
      <c r="D362" s="100"/>
      <c r="E362" s="34"/>
      <c r="F362" s="35" t="s">
        <v>1</v>
      </c>
      <c r="G362" s="36"/>
      <c r="H362" s="36"/>
      <c r="I362" s="36"/>
      <c r="J362" s="36"/>
      <c r="K362" s="36"/>
      <c r="L362" s="36"/>
      <c r="M362" s="36"/>
      <c r="N362" s="3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8"/>
      <c r="AB362" s="8"/>
      <c r="AC362" s="8"/>
    </row>
    <row r="363" spans="1:29" ht="18" customHeight="1">
      <c r="A363" s="1">
        <f t="shared" si="7"/>
        <v>3</v>
      </c>
      <c r="B363" s="1">
        <v>242510040</v>
      </c>
      <c r="C363" s="32" t="s">
        <v>1091</v>
      </c>
      <c r="D363" s="100"/>
      <c r="E363" s="34"/>
      <c r="F363" s="35" t="s">
        <v>3</v>
      </c>
      <c r="G363" s="36"/>
      <c r="H363" s="36"/>
      <c r="I363" s="36"/>
      <c r="J363" s="36"/>
      <c r="K363" s="36"/>
      <c r="L363" s="36"/>
      <c r="M363" s="36"/>
      <c r="N363" s="3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8"/>
      <c r="AB363" s="8"/>
      <c r="AC363" s="8"/>
    </row>
    <row r="364" spans="1:29" ht="18" customHeight="1">
      <c r="A364" s="1">
        <f t="shared" si="7"/>
        <v>4</v>
      </c>
      <c r="B364" s="1">
        <v>242510257</v>
      </c>
      <c r="C364" s="32" t="s">
        <v>1094</v>
      </c>
      <c r="D364" s="100"/>
      <c r="E364" s="34"/>
      <c r="F364" s="35" t="s">
        <v>3</v>
      </c>
      <c r="G364" s="36"/>
      <c r="H364" s="36"/>
      <c r="I364" s="36"/>
      <c r="J364" s="36"/>
      <c r="K364" s="36"/>
      <c r="L364" s="36"/>
      <c r="M364" s="36"/>
      <c r="N364" s="3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8"/>
      <c r="AB364" s="8"/>
      <c r="AC364" s="8"/>
    </row>
    <row r="365" spans="1:29" ht="18" customHeight="1">
      <c r="A365" s="1">
        <f t="shared" si="7"/>
        <v>5</v>
      </c>
      <c r="B365" s="1">
        <v>242510330</v>
      </c>
      <c r="C365" s="32" t="s">
        <v>1097</v>
      </c>
      <c r="D365" s="100"/>
      <c r="E365" s="34"/>
      <c r="F365" s="35" t="s">
        <v>3</v>
      </c>
      <c r="G365" s="36"/>
      <c r="H365" s="36"/>
      <c r="I365" s="36"/>
      <c r="J365" s="36"/>
      <c r="K365" s="36"/>
      <c r="L365" s="36"/>
      <c r="M365" s="36"/>
      <c r="N365" s="3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8"/>
      <c r="AB365" s="8"/>
      <c r="AC365" s="8"/>
    </row>
    <row r="366" spans="1:29" ht="18" customHeight="1">
      <c r="A366" s="1">
        <f t="shared" si="7"/>
        <v>6</v>
      </c>
      <c r="B366" s="1">
        <v>242510043</v>
      </c>
      <c r="C366" s="32" t="s">
        <v>1100</v>
      </c>
      <c r="D366" s="100"/>
      <c r="E366" s="34"/>
      <c r="F366" s="35" t="s">
        <v>3</v>
      </c>
      <c r="G366" s="36"/>
      <c r="H366" s="36"/>
      <c r="I366" s="36"/>
      <c r="J366" s="36"/>
      <c r="K366" s="36"/>
      <c r="L366" s="36"/>
      <c r="M366" s="36"/>
      <c r="N366" s="3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8"/>
      <c r="AB366" s="8"/>
      <c r="AC366" s="8"/>
    </row>
    <row r="367" spans="1:29" ht="18" customHeight="1">
      <c r="A367" s="1">
        <f t="shared" si="7"/>
        <v>7</v>
      </c>
      <c r="B367" s="1">
        <v>242510188</v>
      </c>
      <c r="C367" s="32" t="s">
        <v>1102</v>
      </c>
      <c r="D367" s="100"/>
      <c r="E367" s="34"/>
      <c r="F367" s="35" t="s">
        <v>3</v>
      </c>
      <c r="G367" s="36"/>
      <c r="H367" s="36"/>
      <c r="I367" s="36"/>
      <c r="J367" s="36"/>
      <c r="K367" s="36"/>
      <c r="L367" s="36"/>
      <c r="M367" s="36"/>
      <c r="N367" s="3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8"/>
      <c r="AB367" s="8"/>
      <c r="AC367" s="8"/>
    </row>
    <row r="368" spans="1:29" ht="18" customHeight="1">
      <c r="A368" s="1">
        <f t="shared" si="7"/>
        <v>8</v>
      </c>
      <c r="B368" s="1">
        <v>242510081</v>
      </c>
      <c r="C368" s="32" t="s">
        <v>1105</v>
      </c>
      <c r="D368" s="100"/>
      <c r="E368" s="34"/>
      <c r="F368" s="35" t="s">
        <v>1</v>
      </c>
      <c r="G368" s="36"/>
      <c r="H368" s="36"/>
      <c r="I368" s="36"/>
      <c r="J368" s="36"/>
      <c r="K368" s="36"/>
      <c r="L368" s="36"/>
      <c r="M368" s="36"/>
      <c r="N368" s="3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8"/>
      <c r="AB368" s="8"/>
      <c r="AC368" s="8"/>
    </row>
    <row r="369" spans="1:29" ht="18" customHeight="1">
      <c r="A369" s="1">
        <f t="shared" si="7"/>
        <v>9</v>
      </c>
      <c r="B369" s="1">
        <v>242510118</v>
      </c>
      <c r="C369" s="32" t="s">
        <v>1108</v>
      </c>
      <c r="D369" s="100"/>
      <c r="E369" s="34"/>
      <c r="F369" s="35" t="s">
        <v>1</v>
      </c>
      <c r="G369" s="36"/>
      <c r="H369" s="36"/>
      <c r="I369" s="36"/>
      <c r="J369" s="36"/>
      <c r="K369" s="36"/>
      <c r="L369" s="36"/>
      <c r="M369" s="36"/>
      <c r="N369" s="3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8"/>
      <c r="AB369" s="8"/>
      <c r="AC369" s="8"/>
    </row>
    <row r="370" spans="1:29" ht="18" customHeight="1">
      <c r="A370" s="1">
        <f t="shared" si="7"/>
        <v>10</v>
      </c>
      <c r="B370" s="1">
        <v>242510261</v>
      </c>
      <c r="C370" s="32" t="s">
        <v>1111</v>
      </c>
      <c r="D370" s="100"/>
      <c r="E370" s="34"/>
      <c r="F370" s="35" t="s">
        <v>3</v>
      </c>
      <c r="G370" s="36"/>
      <c r="H370" s="36"/>
      <c r="I370" s="36"/>
      <c r="J370" s="36"/>
      <c r="K370" s="36"/>
      <c r="L370" s="36"/>
      <c r="M370" s="36"/>
      <c r="N370" s="3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8"/>
      <c r="AB370" s="8"/>
      <c r="AC370" s="8"/>
    </row>
    <row r="371" spans="1:29" ht="18" customHeight="1">
      <c r="A371" s="1">
        <f t="shared" si="7"/>
        <v>11</v>
      </c>
      <c r="B371" s="1">
        <v>242510154</v>
      </c>
      <c r="C371" s="32" t="s">
        <v>1114</v>
      </c>
      <c r="D371" s="100"/>
      <c r="E371" s="34"/>
      <c r="F371" s="35" t="s">
        <v>3</v>
      </c>
      <c r="G371" s="36"/>
      <c r="H371" s="36"/>
      <c r="I371" s="36"/>
      <c r="J371" s="36"/>
      <c r="K371" s="36"/>
      <c r="L371" s="36"/>
      <c r="M371" s="36"/>
      <c r="N371" s="3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8"/>
      <c r="AB371" s="8"/>
      <c r="AC371" s="8"/>
    </row>
    <row r="372" spans="1:29" ht="18" customHeight="1">
      <c r="A372" s="1">
        <f t="shared" si="7"/>
        <v>12</v>
      </c>
      <c r="B372" s="1">
        <v>242510370</v>
      </c>
      <c r="C372" s="32" t="s">
        <v>1116</v>
      </c>
      <c r="D372" s="100"/>
      <c r="E372" s="34"/>
      <c r="F372" s="35" t="s">
        <v>1</v>
      </c>
      <c r="G372" s="36"/>
      <c r="H372" s="36"/>
      <c r="I372" s="36"/>
      <c r="J372" s="36"/>
      <c r="K372" s="36"/>
      <c r="L372" s="36"/>
      <c r="M372" s="36"/>
      <c r="N372" s="3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8"/>
      <c r="AB372" s="8"/>
      <c r="AC372" s="8"/>
    </row>
    <row r="373" spans="1:29" ht="18" customHeight="1">
      <c r="A373" s="1">
        <f t="shared" si="7"/>
        <v>13</v>
      </c>
      <c r="B373" s="1">
        <v>242510194</v>
      </c>
      <c r="C373" s="32" t="s">
        <v>1119</v>
      </c>
      <c r="D373" s="100"/>
      <c r="E373" s="34"/>
      <c r="F373" s="35" t="s">
        <v>1</v>
      </c>
      <c r="G373" s="36"/>
      <c r="H373" s="36"/>
      <c r="I373" s="36"/>
      <c r="J373" s="36"/>
      <c r="K373" s="36"/>
      <c r="L373" s="36"/>
      <c r="M373" s="36"/>
      <c r="N373" s="36"/>
      <c r="O373" s="6"/>
      <c r="P373" s="6" t="s">
        <v>1121</v>
      </c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8"/>
      <c r="AB373" s="8"/>
      <c r="AC373" s="8"/>
    </row>
    <row r="374" spans="1:29" ht="18" customHeight="1">
      <c r="A374" s="1">
        <f t="shared" si="7"/>
        <v>14</v>
      </c>
      <c r="B374" s="1">
        <v>242510051</v>
      </c>
      <c r="C374" s="32" t="s">
        <v>1122</v>
      </c>
      <c r="D374" s="100"/>
      <c r="E374" s="34"/>
      <c r="F374" s="35" t="s">
        <v>1</v>
      </c>
      <c r="G374" s="36"/>
      <c r="H374" s="36"/>
      <c r="I374" s="36"/>
      <c r="J374" s="36"/>
      <c r="K374" s="36"/>
      <c r="L374" s="36"/>
      <c r="M374" s="36"/>
      <c r="N374" s="3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8"/>
      <c r="AB374" s="8"/>
      <c r="AC374" s="8"/>
    </row>
    <row r="375" spans="1:29" ht="18" customHeight="1">
      <c r="A375" s="1">
        <f t="shared" si="7"/>
        <v>15</v>
      </c>
      <c r="B375" s="1">
        <v>242510012</v>
      </c>
      <c r="C375" s="32" t="s">
        <v>1125</v>
      </c>
      <c r="D375" s="100"/>
      <c r="E375" s="34"/>
      <c r="F375" s="35" t="s">
        <v>3</v>
      </c>
      <c r="G375" s="36"/>
      <c r="H375" s="36"/>
      <c r="I375" s="36"/>
      <c r="J375" s="36"/>
      <c r="K375" s="36"/>
      <c r="L375" s="36"/>
      <c r="M375" s="36"/>
      <c r="N375" s="3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8"/>
      <c r="AB375" s="8"/>
      <c r="AC375" s="8"/>
    </row>
    <row r="376" spans="1:29" ht="18" customHeight="1">
      <c r="A376" s="1">
        <f t="shared" si="7"/>
        <v>16</v>
      </c>
      <c r="B376" s="1">
        <v>242510161</v>
      </c>
      <c r="C376" s="32" t="s">
        <v>1128</v>
      </c>
      <c r="D376" s="100"/>
      <c r="E376" s="34"/>
      <c r="F376" s="35" t="s">
        <v>3</v>
      </c>
      <c r="G376" s="36"/>
      <c r="H376" s="36"/>
      <c r="I376" s="36"/>
      <c r="J376" s="36"/>
      <c r="K376" s="36"/>
      <c r="L376" s="36"/>
      <c r="M376" s="36"/>
      <c r="N376" s="3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8"/>
      <c r="AB376" s="8"/>
      <c r="AC376" s="8"/>
    </row>
    <row r="377" spans="1:29" ht="18" customHeight="1">
      <c r="A377" s="1">
        <f t="shared" si="7"/>
        <v>17</v>
      </c>
      <c r="B377" s="1">
        <v>242510086</v>
      </c>
      <c r="C377" s="32" t="s">
        <v>1131</v>
      </c>
      <c r="D377" s="100"/>
      <c r="E377" s="34"/>
      <c r="F377" s="35" t="s">
        <v>3</v>
      </c>
      <c r="G377" s="36"/>
      <c r="H377" s="36"/>
      <c r="I377" s="36"/>
      <c r="J377" s="36"/>
      <c r="K377" s="36"/>
      <c r="L377" s="36"/>
      <c r="M377" s="36"/>
      <c r="N377" s="3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8"/>
      <c r="AB377" s="8"/>
      <c r="AC377" s="8"/>
    </row>
    <row r="378" spans="1:29" ht="18" customHeight="1">
      <c r="A378" s="1">
        <f t="shared" si="7"/>
        <v>18</v>
      </c>
      <c r="B378" s="1">
        <v>242510162</v>
      </c>
      <c r="C378" s="32" t="s">
        <v>1135</v>
      </c>
      <c r="D378" s="100"/>
      <c r="E378" s="34"/>
      <c r="F378" s="35" t="s">
        <v>3</v>
      </c>
      <c r="G378" s="36"/>
      <c r="H378" s="36"/>
      <c r="I378" s="36"/>
      <c r="J378" s="36"/>
      <c r="K378" s="36"/>
      <c r="L378" s="36"/>
      <c r="M378" s="36"/>
      <c r="N378" s="1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8"/>
      <c r="AB378" s="8"/>
      <c r="AC378" s="8"/>
    </row>
    <row r="379" spans="1:29" ht="18" customHeight="1">
      <c r="A379" s="1">
        <f t="shared" si="7"/>
        <v>19</v>
      </c>
      <c r="B379" s="1">
        <v>242510197</v>
      </c>
      <c r="C379" s="32" t="s">
        <v>1139</v>
      </c>
      <c r="D379" s="100"/>
      <c r="E379" s="34"/>
      <c r="F379" s="35" t="s">
        <v>1</v>
      </c>
      <c r="G379" s="36"/>
      <c r="H379" s="36"/>
      <c r="I379" s="36"/>
      <c r="J379" s="36"/>
      <c r="K379" s="36"/>
      <c r="L379" s="36"/>
      <c r="M379" s="36"/>
      <c r="N379" s="3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8"/>
      <c r="AB379" s="8"/>
      <c r="AC379" s="8"/>
    </row>
    <row r="380" spans="1:29" ht="18" customHeight="1">
      <c r="A380" s="1">
        <f t="shared" si="7"/>
        <v>20</v>
      </c>
      <c r="B380" s="1">
        <v>242510090</v>
      </c>
      <c r="C380" s="32" t="s">
        <v>1142</v>
      </c>
      <c r="D380" s="100"/>
      <c r="E380" s="34"/>
      <c r="F380" s="35" t="s">
        <v>1</v>
      </c>
      <c r="G380" s="36"/>
      <c r="H380" s="36"/>
      <c r="I380" s="36"/>
      <c r="J380" s="36"/>
      <c r="K380" s="36"/>
      <c r="L380" s="36"/>
      <c r="M380" s="36"/>
      <c r="N380" s="3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8"/>
      <c r="AB380" s="8"/>
      <c r="AC380" s="8"/>
    </row>
    <row r="381" spans="1:29" ht="18" customHeight="1">
      <c r="A381" s="1">
        <f t="shared" si="7"/>
        <v>21</v>
      </c>
      <c r="B381" s="1">
        <v>242510057</v>
      </c>
      <c r="C381" s="32" t="s">
        <v>1145</v>
      </c>
      <c r="D381" s="100"/>
      <c r="E381" s="34"/>
      <c r="F381" s="35" t="s">
        <v>1</v>
      </c>
      <c r="G381" s="36"/>
      <c r="H381" s="36"/>
      <c r="I381" s="36"/>
      <c r="J381" s="36"/>
      <c r="K381" s="36"/>
      <c r="L381" s="36"/>
      <c r="M381" s="36"/>
      <c r="N381" s="3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8"/>
      <c r="AB381" s="8"/>
      <c r="AC381" s="8"/>
    </row>
    <row r="382" spans="1:29" ht="18" customHeight="1">
      <c r="A382" s="1">
        <f t="shared" si="7"/>
        <v>22</v>
      </c>
      <c r="B382" s="1">
        <v>242510169</v>
      </c>
      <c r="C382" s="32" t="s">
        <v>1147</v>
      </c>
      <c r="D382" s="100"/>
      <c r="E382" s="34"/>
      <c r="F382" s="35" t="s">
        <v>1</v>
      </c>
      <c r="G382" s="36"/>
      <c r="H382" s="36"/>
      <c r="I382" s="36"/>
      <c r="J382" s="36"/>
      <c r="K382" s="36"/>
      <c r="L382" s="36"/>
      <c r="M382" s="36"/>
      <c r="N382" s="3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8"/>
      <c r="AB382" s="8"/>
      <c r="AC382" s="8"/>
    </row>
    <row r="383" spans="1:29" ht="18" customHeight="1">
      <c r="A383" s="1">
        <f t="shared" si="7"/>
        <v>23</v>
      </c>
      <c r="B383" s="1">
        <v>242510199</v>
      </c>
      <c r="C383" s="32" t="s">
        <v>1150</v>
      </c>
      <c r="D383" s="100"/>
      <c r="E383" s="34"/>
      <c r="F383" s="35" t="s">
        <v>1</v>
      </c>
      <c r="G383" s="36"/>
      <c r="H383" s="36"/>
      <c r="I383" s="36"/>
      <c r="J383" s="36"/>
      <c r="K383" s="36"/>
      <c r="L383" s="36"/>
      <c r="M383" s="36"/>
      <c r="N383" s="3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8"/>
      <c r="AB383" s="8"/>
      <c r="AC383" s="8"/>
    </row>
    <row r="384" spans="1:29" ht="18" customHeight="1">
      <c r="A384" s="1">
        <f t="shared" si="7"/>
        <v>24</v>
      </c>
      <c r="B384" s="1">
        <v>242510022</v>
      </c>
      <c r="C384" s="32" t="s">
        <v>1153</v>
      </c>
      <c r="D384" s="100"/>
      <c r="E384" s="34"/>
      <c r="F384" s="35" t="s">
        <v>1</v>
      </c>
      <c r="G384" s="36"/>
      <c r="H384" s="36"/>
      <c r="I384" s="36"/>
      <c r="J384" s="36"/>
      <c r="K384" s="36"/>
      <c r="L384" s="36"/>
      <c r="M384" s="36"/>
      <c r="N384" s="3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8"/>
      <c r="AB384" s="8"/>
      <c r="AC384" s="8"/>
    </row>
    <row r="385" spans="1:29" ht="18" customHeight="1">
      <c r="A385" s="1">
        <f t="shared" si="7"/>
        <v>25</v>
      </c>
      <c r="B385" s="1">
        <v>242510201</v>
      </c>
      <c r="C385" s="32" t="s">
        <v>1156</v>
      </c>
      <c r="D385" s="100"/>
      <c r="E385" s="34"/>
      <c r="F385" s="35" t="s">
        <v>1</v>
      </c>
      <c r="G385" s="36"/>
      <c r="H385" s="36"/>
      <c r="I385" s="36"/>
      <c r="J385" s="36"/>
      <c r="K385" s="36"/>
      <c r="L385" s="36"/>
      <c r="M385" s="36"/>
      <c r="N385" s="3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8"/>
      <c r="AB385" s="8"/>
      <c r="AC385" s="8"/>
    </row>
    <row r="386" spans="1:29" ht="18" customHeight="1">
      <c r="A386" s="1">
        <f t="shared" si="7"/>
        <v>26</v>
      </c>
      <c r="B386" s="1">
        <v>242510174</v>
      </c>
      <c r="C386" s="32" t="s">
        <v>1158</v>
      </c>
      <c r="D386" s="100"/>
      <c r="E386" s="34"/>
      <c r="F386" s="134" t="s">
        <v>1</v>
      </c>
      <c r="G386" s="36"/>
      <c r="H386" s="36"/>
      <c r="I386" s="36"/>
      <c r="J386" s="36"/>
      <c r="K386" s="36"/>
      <c r="L386" s="36"/>
      <c r="M386" s="36"/>
      <c r="N386" s="3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8"/>
      <c r="AB386" s="8"/>
      <c r="AC386" s="8"/>
    </row>
    <row r="387" spans="1:29" ht="18" customHeight="1">
      <c r="A387" s="1">
        <f t="shared" si="7"/>
        <v>27</v>
      </c>
      <c r="B387" s="1">
        <v>242510319</v>
      </c>
      <c r="C387" s="32" t="s">
        <v>1161</v>
      </c>
      <c r="D387" s="100"/>
      <c r="E387" s="34"/>
      <c r="F387" s="134" t="s">
        <v>3</v>
      </c>
      <c r="G387" s="36"/>
      <c r="H387" s="36"/>
      <c r="I387" s="36"/>
      <c r="J387" s="36"/>
      <c r="K387" s="36"/>
      <c r="L387" s="36"/>
      <c r="M387" s="36"/>
      <c r="N387" s="3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8"/>
      <c r="AB387" s="8"/>
      <c r="AC387" s="8"/>
    </row>
    <row r="388" spans="1:29" ht="18" customHeight="1">
      <c r="A388" s="1">
        <f t="shared" si="7"/>
        <v>28</v>
      </c>
      <c r="B388" s="1">
        <v>242510027</v>
      </c>
      <c r="C388" s="32" t="s">
        <v>1165</v>
      </c>
      <c r="D388" s="100"/>
      <c r="E388" s="34"/>
      <c r="F388" s="35" t="s">
        <v>3</v>
      </c>
      <c r="G388" s="36"/>
      <c r="H388" s="36"/>
      <c r="I388" s="36"/>
      <c r="J388" s="36"/>
      <c r="K388" s="36"/>
      <c r="L388" s="36"/>
      <c r="M388" s="36"/>
      <c r="N388" s="3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8"/>
      <c r="AB388" s="8"/>
      <c r="AC388" s="8"/>
    </row>
    <row r="389" spans="1:29" ht="18" customHeight="1">
      <c r="A389" s="1">
        <f t="shared" si="7"/>
        <v>29</v>
      </c>
      <c r="B389" s="1">
        <v>242510352</v>
      </c>
      <c r="C389" s="32" t="s">
        <v>1168</v>
      </c>
      <c r="D389" s="100"/>
      <c r="E389" s="34"/>
      <c r="F389" s="134" t="s">
        <v>3</v>
      </c>
      <c r="G389" s="36"/>
      <c r="H389" s="36"/>
      <c r="I389" s="36"/>
      <c r="J389" s="36"/>
      <c r="K389" s="36"/>
      <c r="L389" s="36"/>
      <c r="M389" s="36"/>
      <c r="N389" s="3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8"/>
      <c r="AB389" s="8"/>
      <c r="AC389" s="8"/>
    </row>
    <row r="390" spans="1:29" ht="18" customHeight="1">
      <c r="A390" s="1">
        <f t="shared" si="7"/>
        <v>30</v>
      </c>
      <c r="B390" s="1">
        <v>242510031</v>
      </c>
      <c r="C390" s="32" t="s">
        <v>1170</v>
      </c>
      <c r="D390" s="100"/>
      <c r="E390" s="34"/>
      <c r="F390" s="35" t="s">
        <v>1</v>
      </c>
      <c r="G390" s="36"/>
      <c r="H390" s="36"/>
      <c r="I390" s="36"/>
      <c r="J390" s="36"/>
      <c r="K390" s="36"/>
      <c r="L390" s="36"/>
      <c r="M390" s="36"/>
      <c r="N390" s="3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8"/>
      <c r="AB390" s="8"/>
      <c r="AC390" s="8"/>
    </row>
    <row r="391" spans="1:29" ht="18" customHeight="1">
      <c r="A391" s="1">
        <f t="shared" si="7"/>
        <v>31</v>
      </c>
      <c r="B391" s="1">
        <v>242510098</v>
      </c>
      <c r="C391" s="32" t="s">
        <v>1172</v>
      </c>
      <c r="D391" s="100"/>
      <c r="E391" s="34"/>
      <c r="F391" s="35" t="s">
        <v>1</v>
      </c>
      <c r="G391" s="36"/>
      <c r="H391" s="36"/>
      <c r="I391" s="36"/>
      <c r="J391" s="36"/>
      <c r="K391" s="36"/>
      <c r="L391" s="36"/>
      <c r="M391" s="36"/>
      <c r="N391" s="3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8"/>
      <c r="AB391" s="8"/>
      <c r="AC391" s="8"/>
    </row>
    <row r="392" spans="1:29" ht="18" customHeight="1">
      <c r="A392" s="1">
        <f t="shared" si="7"/>
        <v>32</v>
      </c>
      <c r="B392" s="1">
        <v>242510072</v>
      </c>
      <c r="C392" s="32" t="s">
        <v>1174</v>
      </c>
      <c r="D392" s="100"/>
      <c r="E392" s="34"/>
      <c r="F392" s="35" t="s">
        <v>1</v>
      </c>
      <c r="G392" s="36"/>
      <c r="H392" s="36"/>
      <c r="I392" s="36"/>
      <c r="J392" s="36"/>
      <c r="K392" s="36"/>
      <c r="L392" s="36"/>
      <c r="M392" s="36"/>
      <c r="N392" s="3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8"/>
      <c r="AB392" s="8"/>
      <c r="AC392" s="8"/>
    </row>
    <row r="393" spans="1:29" ht="18" customHeight="1">
      <c r="A393" s="1">
        <f t="shared" si="7"/>
        <v>33</v>
      </c>
      <c r="B393" s="1">
        <v>242510104</v>
      </c>
      <c r="C393" s="32" t="s">
        <v>1176</v>
      </c>
      <c r="D393" s="100"/>
      <c r="E393" s="34"/>
      <c r="F393" s="134" t="s">
        <v>1</v>
      </c>
      <c r="G393" s="36"/>
      <c r="H393" s="36"/>
      <c r="I393" s="36"/>
      <c r="J393" s="36"/>
      <c r="K393" s="36"/>
      <c r="L393" s="36"/>
      <c r="M393" s="36"/>
      <c r="N393" s="3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8"/>
      <c r="AB393" s="8"/>
      <c r="AC393" s="8"/>
    </row>
    <row r="394" spans="1:29" ht="18" customHeight="1">
      <c r="A394" s="1">
        <f t="shared" si="7"/>
        <v>34</v>
      </c>
      <c r="B394" s="1">
        <v>242510106</v>
      </c>
      <c r="C394" s="32" t="s">
        <v>1178</v>
      </c>
      <c r="D394" s="100"/>
      <c r="E394" s="34"/>
      <c r="F394" s="35" t="s">
        <v>3</v>
      </c>
      <c r="G394" s="36"/>
      <c r="H394" s="36"/>
      <c r="I394" s="36"/>
      <c r="J394" s="36"/>
      <c r="K394" s="36"/>
      <c r="L394" s="36"/>
      <c r="M394" s="36"/>
      <c r="N394" s="3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8"/>
      <c r="AB394" s="8"/>
      <c r="AC394" s="8"/>
    </row>
    <row r="395" spans="1:29" ht="18" customHeight="1" thickBot="1">
      <c r="A395" s="1">
        <f t="shared" si="7"/>
        <v>35</v>
      </c>
      <c r="B395" s="1">
        <v>242510215</v>
      </c>
      <c r="C395" s="32" t="s">
        <v>1180</v>
      </c>
      <c r="D395" s="100"/>
      <c r="E395" s="34"/>
      <c r="F395" s="224" t="s">
        <v>3</v>
      </c>
      <c r="G395" s="135"/>
      <c r="H395" s="36"/>
      <c r="I395" s="36"/>
      <c r="J395" s="36"/>
      <c r="K395" s="36"/>
      <c r="L395" s="36"/>
      <c r="M395" s="36"/>
      <c r="N395" s="3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8"/>
      <c r="AB395" s="8"/>
      <c r="AC395" s="8"/>
    </row>
    <row r="396" spans="1:29" ht="15.8" customHeight="1">
      <c r="A396" s="79"/>
      <c r="B396" s="79"/>
      <c r="C396" s="20" t="s">
        <v>1181</v>
      </c>
      <c r="D396" s="20"/>
      <c r="E396" s="20"/>
      <c r="F396" s="257" t="s">
        <v>1</v>
      </c>
      <c r="G396" s="247">
        <f>COUNTIF(F361:F395,"L")</f>
        <v>19</v>
      </c>
      <c r="H396" s="20"/>
      <c r="I396" s="20"/>
      <c r="J396" s="20"/>
      <c r="K396" s="20"/>
      <c r="L396" s="20"/>
      <c r="M396" s="20"/>
      <c r="N396" s="20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8"/>
      <c r="AB396" s="8"/>
      <c r="AC396" s="8"/>
    </row>
    <row r="397" spans="1:29" ht="15.8" customHeight="1" thickBot="1">
      <c r="A397" s="79"/>
      <c r="B397" s="79"/>
      <c r="C397" s="20"/>
      <c r="D397" s="20"/>
      <c r="E397" s="20"/>
      <c r="F397" s="248" t="s">
        <v>3</v>
      </c>
      <c r="G397" s="249">
        <f>COUNTIF(F361:F395,"P")</f>
        <v>16</v>
      </c>
      <c r="H397" s="20"/>
      <c r="I397" s="20"/>
      <c r="J397" s="20"/>
      <c r="K397" s="20"/>
      <c r="L397" s="20"/>
      <c r="M397" s="20"/>
      <c r="N397" s="20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8"/>
      <c r="AB397" s="8"/>
      <c r="AC397" s="8"/>
    </row>
    <row r="398" spans="1:29" ht="15.8" customHeight="1" thickBot="1">
      <c r="A398" s="79"/>
      <c r="B398" s="79"/>
      <c r="C398" s="20"/>
      <c r="D398" s="20"/>
      <c r="E398" s="20"/>
      <c r="F398" s="250" t="s">
        <v>251</v>
      </c>
      <c r="G398" s="251">
        <f>SUM(G396:G397)</f>
        <v>35</v>
      </c>
      <c r="H398" s="20"/>
      <c r="I398" s="20"/>
      <c r="J398" s="20"/>
      <c r="K398" s="20"/>
      <c r="L398" s="20"/>
      <c r="M398" s="20"/>
      <c r="N398" s="20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8"/>
      <c r="AB398" s="8"/>
      <c r="AC398" s="8"/>
    </row>
    <row r="399" spans="1:29" ht="15.8" customHeight="1">
      <c r="A399" s="20" t="s">
        <v>275</v>
      </c>
      <c r="B399" s="6"/>
      <c r="C399" s="20"/>
      <c r="D399" s="20"/>
      <c r="E399" s="20"/>
      <c r="F399" s="94"/>
      <c r="G399" s="6"/>
      <c r="H399" s="6"/>
      <c r="I399" s="82" t="s">
        <v>254</v>
      </c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8"/>
      <c r="AB399" s="8"/>
      <c r="AC399" s="8"/>
    </row>
    <row r="400" spans="1:29" ht="15.8" customHeight="1">
      <c r="A400" s="20" t="s">
        <v>280</v>
      </c>
      <c r="B400" s="6"/>
      <c r="C400" s="20"/>
      <c r="D400" s="20"/>
      <c r="E400" s="20" t="s">
        <v>281</v>
      </c>
      <c r="F400" s="94"/>
      <c r="G400" s="6"/>
      <c r="H400" s="6"/>
      <c r="I400" s="6" t="s">
        <v>256</v>
      </c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8"/>
      <c r="AB400" s="8"/>
      <c r="AC400" s="8"/>
    </row>
    <row r="401" spans="1:29" ht="15.8" customHeight="1">
      <c r="A401" s="20"/>
      <c r="B401" s="6"/>
      <c r="C401" s="20"/>
      <c r="D401" s="20"/>
      <c r="E401" s="20"/>
      <c r="F401" s="79"/>
      <c r="G401" s="20"/>
      <c r="H401" s="20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8"/>
      <c r="AB401" s="8"/>
      <c r="AC401" s="8"/>
    </row>
    <row r="402" spans="1:29" ht="15.8" customHeight="1">
      <c r="A402" s="20"/>
      <c r="B402" s="6"/>
      <c r="C402" s="20"/>
      <c r="D402" s="20"/>
      <c r="E402" s="20"/>
      <c r="F402" s="79"/>
      <c r="G402" s="20"/>
      <c r="H402" s="20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8"/>
      <c r="AB402" s="8"/>
      <c r="AC402" s="8"/>
    </row>
    <row r="403" spans="1:29" ht="15.8" customHeight="1">
      <c r="A403" s="24" t="s">
        <v>1192</v>
      </c>
      <c r="B403" s="6"/>
      <c r="C403" s="6"/>
      <c r="D403" s="6"/>
      <c r="E403" s="86" t="s">
        <v>300</v>
      </c>
      <c r="F403" s="94"/>
      <c r="G403" s="6"/>
      <c r="H403" s="20"/>
      <c r="I403" s="87"/>
      <c r="J403" s="87"/>
      <c r="K403" s="87"/>
      <c r="L403" s="87"/>
      <c r="M403" s="87"/>
      <c r="N403" s="87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8"/>
      <c r="AB403" s="8"/>
      <c r="AC403" s="8"/>
    </row>
    <row r="404" spans="1:29" ht="15.8" customHeight="1">
      <c r="A404" s="41" t="s">
        <v>1193</v>
      </c>
      <c r="B404" s="41"/>
      <c r="C404" s="20"/>
      <c r="D404" s="20"/>
      <c r="E404" s="20" t="s">
        <v>308</v>
      </c>
      <c r="F404" s="79"/>
      <c r="G404" s="20"/>
      <c r="H404" s="20" t="s">
        <v>266</v>
      </c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8"/>
      <c r="AB404" s="8"/>
      <c r="AC404" s="8"/>
    </row>
    <row r="405" spans="1:29" ht="15.8" customHeight="1">
      <c r="A405" s="43"/>
      <c r="B405" s="44"/>
      <c r="C405" s="44"/>
      <c r="D405" s="44"/>
      <c r="E405" s="44"/>
      <c r="F405" s="45"/>
      <c r="G405" s="46"/>
      <c r="H405" s="46"/>
      <c r="I405" s="44"/>
      <c r="J405" s="44"/>
      <c r="K405" s="44"/>
      <c r="L405" s="44"/>
      <c r="M405" s="44"/>
      <c r="N405" s="44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8"/>
      <c r="AB405" s="8"/>
      <c r="AC405" s="8"/>
    </row>
    <row r="406" spans="1:29" ht="19.55" customHeight="1">
      <c r="A406" s="16" t="s">
        <v>79</v>
      </c>
      <c r="B406" s="16"/>
      <c r="C406" s="4" t="s">
        <v>1195</v>
      </c>
      <c r="D406" s="16"/>
      <c r="E406" s="22"/>
      <c r="F406" s="23"/>
      <c r="G406" s="17"/>
      <c r="H406" s="19" t="s">
        <v>82</v>
      </c>
      <c r="I406" s="17"/>
      <c r="J406" s="17"/>
      <c r="K406" s="17"/>
      <c r="L406" s="17"/>
      <c r="M406" s="20"/>
      <c r="N406" s="20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8"/>
      <c r="AB406" s="8"/>
      <c r="AC406" s="8"/>
    </row>
    <row r="407" spans="1:29" ht="9" customHeight="1">
      <c r="A407" s="20"/>
      <c r="B407" s="24"/>
      <c r="C407" s="24"/>
      <c r="D407" s="24"/>
      <c r="E407" s="25"/>
      <c r="F407" s="14"/>
      <c r="G407" s="20"/>
      <c r="H407" s="26"/>
      <c r="I407" s="27"/>
      <c r="J407" s="27"/>
      <c r="K407" s="27"/>
      <c r="L407" s="27"/>
      <c r="M407" s="27"/>
      <c r="N407" s="27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8"/>
      <c r="AB407" s="8"/>
      <c r="AC407" s="8"/>
    </row>
    <row r="408" spans="1:29" ht="15.8" customHeight="1">
      <c r="A408" s="176" t="s">
        <v>84</v>
      </c>
      <c r="B408" s="177"/>
      <c r="C408" s="178" t="s">
        <v>85</v>
      </c>
      <c r="D408" s="179"/>
      <c r="E408" s="180"/>
      <c r="F408" s="184" t="s">
        <v>86</v>
      </c>
      <c r="G408" s="176" t="s">
        <v>87</v>
      </c>
      <c r="H408" s="186"/>
      <c r="I408" s="186"/>
      <c r="J408" s="186"/>
      <c r="K408" s="186"/>
      <c r="L408" s="186"/>
      <c r="M408" s="177"/>
      <c r="N408" s="184" t="s">
        <v>88</v>
      </c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8"/>
      <c r="AB408" s="8"/>
      <c r="AC408" s="8"/>
    </row>
    <row r="409" spans="1:29" ht="15.8" customHeight="1">
      <c r="A409" s="28" t="s">
        <v>90</v>
      </c>
      <c r="B409" s="28" t="s">
        <v>91</v>
      </c>
      <c r="C409" s="199"/>
      <c r="D409" s="200"/>
      <c r="E409" s="201"/>
      <c r="F409" s="185"/>
      <c r="G409" s="28"/>
      <c r="H409" s="28"/>
      <c r="I409" s="28"/>
      <c r="J409" s="28"/>
      <c r="K409" s="28"/>
      <c r="L409" s="28"/>
      <c r="M409" s="28"/>
      <c r="N409" s="185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8"/>
      <c r="AB409" s="8"/>
      <c r="AC409" s="8"/>
    </row>
    <row r="410" spans="1:29" ht="18" customHeight="1">
      <c r="A410" s="1">
        <v>1</v>
      </c>
      <c r="B410" s="31">
        <v>242510076</v>
      </c>
      <c r="C410" s="32" t="s">
        <v>1200</v>
      </c>
      <c r="D410" s="100"/>
      <c r="E410" s="34"/>
      <c r="F410" s="35" t="s">
        <v>1</v>
      </c>
      <c r="G410" s="36"/>
      <c r="H410" s="36"/>
      <c r="I410" s="36"/>
      <c r="J410" s="36"/>
      <c r="K410" s="36"/>
      <c r="L410" s="36"/>
      <c r="M410" s="36"/>
      <c r="N410" s="3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8"/>
      <c r="AB410" s="8"/>
      <c r="AC410" s="8"/>
    </row>
    <row r="411" spans="1:29" ht="18" customHeight="1">
      <c r="A411" s="1">
        <v>2</v>
      </c>
      <c r="B411" s="1">
        <v>242510148</v>
      </c>
      <c r="C411" s="32" t="s">
        <v>1203</v>
      </c>
      <c r="D411" s="100"/>
      <c r="E411" s="34"/>
      <c r="F411" s="35" t="s">
        <v>3</v>
      </c>
      <c r="G411" s="36"/>
      <c r="H411" s="36"/>
      <c r="I411" s="36"/>
      <c r="J411" s="36"/>
      <c r="K411" s="36"/>
      <c r="L411" s="36"/>
      <c r="M411" s="36"/>
      <c r="N411" s="3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8"/>
      <c r="AB411" s="8"/>
      <c r="AC411" s="8"/>
    </row>
    <row r="412" spans="1:29" ht="18" customHeight="1">
      <c r="A412" s="1">
        <v>3</v>
      </c>
      <c r="B412" s="1">
        <v>242510327</v>
      </c>
      <c r="C412" s="32" t="s">
        <v>1204</v>
      </c>
      <c r="D412" s="100"/>
      <c r="E412" s="34"/>
      <c r="F412" s="35" t="s">
        <v>3</v>
      </c>
      <c r="G412" s="36"/>
      <c r="H412" s="36"/>
      <c r="I412" s="36"/>
      <c r="J412" s="36"/>
      <c r="K412" s="36"/>
      <c r="L412" s="36"/>
      <c r="M412" s="36"/>
      <c r="N412" s="3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8"/>
      <c r="AB412" s="8"/>
      <c r="AC412" s="8"/>
    </row>
    <row r="413" spans="1:29" ht="18" customHeight="1">
      <c r="A413" s="1">
        <v>4</v>
      </c>
      <c r="B413" s="1">
        <v>242510114</v>
      </c>
      <c r="C413" s="32" t="s">
        <v>1207</v>
      </c>
      <c r="D413" s="100"/>
      <c r="E413" s="34"/>
      <c r="F413" s="35" t="s">
        <v>3</v>
      </c>
      <c r="G413" s="36"/>
      <c r="H413" s="36"/>
      <c r="I413" s="36"/>
      <c r="J413" s="36"/>
      <c r="K413" s="36"/>
      <c r="L413" s="36"/>
      <c r="M413" s="36"/>
      <c r="N413" s="3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8"/>
      <c r="AB413" s="8"/>
      <c r="AC413" s="8"/>
    </row>
    <row r="414" spans="1:29" ht="18" customHeight="1">
      <c r="A414" s="1">
        <v>5</v>
      </c>
      <c r="B414" s="1">
        <v>242510365</v>
      </c>
      <c r="C414" s="32" t="s">
        <v>1208</v>
      </c>
      <c r="D414" s="100"/>
      <c r="E414" s="34"/>
      <c r="F414" s="35" t="s">
        <v>3</v>
      </c>
      <c r="G414" s="36"/>
      <c r="H414" s="36"/>
      <c r="I414" s="36"/>
      <c r="J414" s="36"/>
      <c r="K414" s="36"/>
      <c r="L414" s="36"/>
      <c r="M414" s="36"/>
      <c r="N414" s="3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8"/>
      <c r="AB414" s="8"/>
      <c r="AC414" s="8"/>
    </row>
    <row r="415" spans="1:29" ht="18" customHeight="1">
      <c r="A415" s="1">
        <v>6</v>
      </c>
      <c r="B415" s="1">
        <v>242510222</v>
      </c>
      <c r="C415" s="32" t="s">
        <v>1210</v>
      </c>
      <c r="D415" s="100"/>
      <c r="E415" s="34"/>
      <c r="F415" s="35" t="s">
        <v>3</v>
      </c>
      <c r="G415" s="36"/>
      <c r="H415" s="36"/>
      <c r="I415" s="36"/>
      <c r="J415" s="36"/>
      <c r="K415" s="36"/>
      <c r="L415" s="36"/>
      <c r="M415" s="36"/>
      <c r="N415" s="3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8"/>
      <c r="AB415" s="8"/>
      <c r="AC415" s="8"/>
    </row>
    <row r="416" spans="1:29" ht="18" customHeight="1">
      <c r="A416" s="1">
        <v>7</v>
      </c>
      <c r="B416" s="1">
        <v>242510187</v>
      </c>
      <c r="C416" s="32" t="s">
        <v>1212</v>
      </c>
      <c r="D416" s="100"/>
      <c r="E416" s="34"/>
      <c r="F416" s="35" t="s">
        <v>3</v>
      </c>
      <c r="G416" s="36"/>
      <c r="H416" s="36"/>
      <c r="I416" s="36"/>
      <c r="J416" s="36"/>
      <c r="K416" s="36"/>
      <c r="L416" s="36"/>
      <c r="M416" s="36"/>
      <c r="N416" s="3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8"/>
      <c r="AB416" s="8"/>
      <c r="AC416" s="8"/>
    </row>
    <row r="417" spans="1:29" ht="18" customHeight="1">
      <c r="A417" s="1">
        <v>8</v>
      </c>
      <c r="B417" s="1">
        <v>242510151</v>
      </c>
      <c r="C417" s="32" t="s">
        <v>1214</v>
      </c>
      <c r="D417" s="100"/>
      <c r="E417" s="34"/>
      <c r="F417" s="35" t="s">
        <v>1</v>
      </c>
      <c r="G417" s="36"/>
      <c r="H417" s="36"/>
      <c r="I417" s="36"/>
      <c r="J417" s="36"/>
      <c r="K417" s="36"/>
      <c r="L417" s="36"/>
      <c r="M417" s="36"/>
      <c r="N417" s="36"/>
      <c r="O417" s="6"/>
      <c r="P417" s="8"/>
      <c r="Q417" s="8"/>
      <c r="R417" s="6"/>
      <c r="S417" s="6"/>
      <c r="T417" s="6"/>
      <c r="U417" s="6"/>
      <c r="V417" s="6"/>
      <c r="W417" s="6"/>
      <c r="X417" s="6"/>
      <c r="Y417" s="6"/>
      <c r="Z417" s="6"/>
      <c r="AA417" s="8"/>
      <c r="AB417" s="8"/>
      <c r="AC417" s="8"/>
    </row>
    <row r="418" spans="1:29" ht="18" customHeight="1">
      <c r="A418" s="1">
        <v>9</v>
      </c>
      <c r="B418" s="1">
        <v>242510298</v>
      </c>
      <c r="C418" s="32" t="s">
        <v>1216</v>
      </c>
      <c r="D418" s="100"/>
      <c r="E418" s="34"/>
      <c r="F418" s="139" t="s">
        <v>3</v>
      </c>
      <c r="G418" s="36"/>
      <c r="H418" s="36"/>
      <c r="I418" s="36"/>
      <c r="J418" s="36"/>
      <c r="K418" s="36"/>
      <c r="L418" s="36"/>
      <c r="M418" s="36"/>
      <c r="N418" s="36"/>
      <c r="O418" s="6"/>
      <c r="P418" s="8"/>
      <c r="Q418" s="8"/>
      <c r="R418" s="6"/>
      <c r="S418" s="6"/>
      <c r="T418" s="6"/>
      <c r="U418" s="6"/>
      <c r="V418" s="6"/>
      <c r="W418" s="6"/>
      <c r="X418" s="6"/>
      <c r="Y418" s="6"/>
      <c r="Z418" s="6"/>
      <c r="AA418" s="8"/>
      <c r="AB418" s="8"/>
      <c r="AC418" s="8"/>
    </row>
    <row r="419" spans="1:29" ht="18" customHeight="1">
      <c r="A419" s="1">
        <v>10</v>
      </c>
      <c r="B419" s="1">
        <v>242510260</v>
      </c>
      <c r="C419" s="32" t="s">
        <v>1218</v>
      </c>
      <c r="D419" s="100"/>
      <c r="E419" s="34"/>
      <c r="F419" s="35" t="s">
        <v>3</v>
      </c>
      <c r="G419" s="36"/>
      <c r="H419" s="36"/>
      <c r="I419" s="36"/>
      <c r="J419" s="36"/>
      <c r="K419" s="36"/>
      <c r="L419" s="36"/>
      <c r="M419" s="36"/>
      <c r="N419" s="36"/>
      <c r="O419" s="6"/>
      <c r="P419" s="1" t="s">
        <v>286</v>
      </c>
      <c r="Q419" s="1">
        <v>242510333</v>
      </c>
      <c r="R419" s="32" t="s">
        <v>1220</v>
      </c>
      <c r="S419" s="100"/>
      <c r="T419" s="34"/>
      <c r="U419" s="35" t="s">
        <v>3</v>
      </c>
      <c r="V419" s="36"/>
      <c r="W419" s="36"/>
      <c r="X419" s="36"/>
      <c r="Y419" s="36"/>
      <c r="Z419" s="36"/>
      <c r="AA419" s="36"/>
      <c r="AB419" s="36"/>
      <c r="AC419" s="36"/>
    </row>
    <row r="420" spans="1:29" ht="18" customHeight="1">
      <c r="A420" s="1">
        <v>11</v>
      </c>
      <c r="B420" s="1">
        <v>242510300</v>
      </c>
      <c r="C420" s="32" t="s">
        <v>1221</v>
      </c>
      <c r="D420" s="100"/>
      <c r="E420" s="34"/>
      <c r="F420" s="35" t="s">
        <v>1</v>
      </c>
      <c r="G420" s="36"/>
      <c r="H420" s="36"/>
      <c r="I420" s="36"/>
      <c r="J420" s="36"/>
      <c r="K420" s="36"/>
      <c r="L420" s="36"/>
      <c r="M420" s="36"/>
      <c r="N420" s="36"/>
      <c r="O420" s="6"/>
      <c r="P420" s="8"/>
      <c r="Q420" s="8"/>
      <c r="R420" s="6"/>
      <c r="S420" s="6"/>
      <c r="T420" s="6"/>
      <c r="U420" s="6"/>
      <c r="V420" s="6"/>
      <c r="W420" s="6"/>
      <c r="X420" s="6"/>
      <c r="Y420" s="6"/>
      <c r="Z420" s="6"/>
      <c r="AA420" s="8"/>
      <c r="AB420" s="8"/>
      <c r="AC420" s="8"/>
    </row>
    <row r="421" spans="1:29" ht="18" customHeight="1">
      <c r="A421" s="1">
        <v>12</v>
      </c>
      <c r="B421" s="1">
        <v>242510263</v>
      </c>
      <c r="C421" s="32" t="s">
        <v>1224</v>
      </c>
      <c r="D421" s="100"/>
      <c r="E421" s="34"/>
      <c r="F421" s="35" t="s">
        <v>1</v>
      </c>
      <c r="G421" s="36"/>
      <c r="H421" s="36"/>
      <c r="I421" s="36"/>
      <c r="J421" s="36"/>
      <c r="K421" s="36"/>
      <c r="L421" s="36"/>
      <c r="M421" s="36"/>
      <c r="N421" s="36"/>
      <c r="O421" s="6"/>
      <c r="P421" s="8"/>
      <c r="Q421" s="8"/>
      <c r="R421" s="6"/>
      <c r="S421" s="6"/>
      <c r="T421" s="6"/>
      <c r="U421" s="6"/>
      <c r="V421" s="6"/>
      <c r="W421" s="6"/>
      <c r="X421" s="6"/>
      <c r="Y421" s="6"/>
      <c r="Z421" s="6"/>
      <c r="AA421" s="8"/>
      <c r="AB421" s="8"/>
      <c r="AC421" s="8"/>
    </row>
    <row r="422" spans="1:29" ht="18" customHeight="1">
      <c r="A422" s="1">
        <v>13</v>
      </c>
      <c r="B422" s="1">
        <v>242510369</v>
      </c>
      <c r="C422" s="32" t="s">
        <v>1226</v>
      </c>
      <c r="D422" s="100"/>
      <c r="E422" s="34"/>
      <c r="F422" s="35" t="s">
        <v>1</v>
      </c>
      <c r="G422" s="36"/>
      <c r="H422" s="36"/>
      <c r="I422" s="36"/>
      <c r="J422" s="36"/>
      <c r="K422" s="36"/>
      <c r="L422" s="36"/>
      <c r="M422" s="36"/>
      <c r="N422" s="36"/>
      <c r="O422" s="6"/>
      <c r="P422" s="8"/>
      <c r="Q422" s="8"/>
      <c r="R422" s="6"/>
      <c r="S422" s="6"/>
      <c r="T422" s="6"/>
      <c r="U422" s="6"/>
      <c r="V422" s="6"/>
      <c r="W422" s="6"/>
      <c r="X422" s="6"/>
      <c r="Y422" s="6"/>
      <c r="Z422" s="6"/>
      <c r="AA422" s="8"/>
      <c r="AB422" s="8"/>
      <c r="AC422" s="8"/>
    </row>
    <row r="423" spans="1:29" ht="18" customHeight="1">
      <c r="A423" s="1">
        <v>14</v>
      </c>
      <c r="B423" s="1">
        <v>242510049</v>
      </c>
      <c r="C423" s="32" t="s">
        <v>1228</v>
      </c>
      <c r="D423" s="100"/>
      <c r="E423" s="34"/>
      <c r="F423" s="35" t="s">
        <v>3</v>
      </c>
      <c r="G423" s="36"/>
      <c r="H423" s="36"/>
      <c r="I423" s="36"/>
      <c r="J423" s="36"/>
      <c r="K423" s="36"/>
      <c r="L423" s="36"/>
      <c r="M423" s="36"/>
      <c r="N423" s="36"/>
      <c r="O423" s="6"/>
      <c r="P423" s="8"/>
      <c r="Q423" s="8"/>
      <c r="R423" s="6"/>
      <c r="S423" s="6"/>
      <c r="T423" s="6"/>
      <c r="U423" s="6"/>
      <c r="V423" s="6"/>
      <c r="W423" s="6"/>
      <c r="X423" s="6"/>
      <c r="Y423" s="6"/>
      <c r="Z423" s="6"/>
      <c r="AA423" s="8"/>
      <c r="AB423" s="8"/>
      <c r="AC423" s="8"/>
    </row>
    <row r="424" spans="1:29" ht="18" customHeight="1">
      <c r="A424" s="1">
        <v>15</v>
      </c>
      <c r="B424" s="1">
        <v>252612409</v>
      </c>
      <c r="C424" s="32" t="s">
        <v>1231</v>
      </c>
      <c r="D424" s="100"/>
      <c r="E424" s="34"/>
      <c r="F424" s="35" t="s">
        <v>3</v>
      </c>
      <c r="G424" s="36"/>
      <c r="H424" s="36"/>
      <c r="I424" s="36"/>
      <c r="J424" s="36"/>
      <c r="K424" s="36"/>
      <c r="L424" s="36"/>
      <c r="M424" s="36"/>
      <c r="N424" s="36"/>
      <c r="O424" s="6"/>
      <c r="P424" s="8"/>
      <c r="Q424" s="8"/>
      <c r="R424" s="6"/>
      <c r="S424" s="6"/>
      <c r="T424" s="6"/>
      <c r="U424" s="6"/>
      <c r="V424" s="6"/>
      <c r="W424" s="6"/>
      <c r="X424" s="6"/>
      <c r="Y424" s="6"/>
      <c r="Z424" s="6"/>
      <c r="AA424" s="8"/>
      <c r="AB424" s="8"/>
      <c r="AC424" s="8"/>
    </row>
    <row r="425" spans="1:29" ht="18" customHeight="1">
      <c r="A425" s="1">
        <v>16</v>
      </c>
      <c r="B425" s="1">
        <v>242510055</v>
      </c>
      <c r="C425" s="32" t="s">
        <v>1233</v>
      </c>
      <c r="D425" s="100"/>
      <c r="E425" s="34"/>
      <c r="F425" s="35" t="s">
        <v>3</v>
      </c>
      <c r="G425" s="36"/>
      <c r="H425" s="36"/>
      <c r="I425" s="36"/>
      <c r="J425" s="36"/>
      <c r="K425" s="36"/>
      <c r="L425" s="36"/>
      <c r="M425" s="36"/>
      <c r="N425" s="36"/>
      <c r="O425" s="6"/>
      <c r="P425" s="8"/>
      <c r="Q425" s="8"/>
      <c r="R425" s="6"/>
      <c r="S425" s="6"/>
      <c r="T425" s="6"/>
      <c r="U425" s="6"/>
      <c r="V425" s="6"/>
      <c r="W425" s="6"/>
      <c r="X425" s="6"/>
      <c r="Y425" s="6"/>
      <c r="Z425" s="6"/>
      <c r="AA425" s="8"/>
      <c r="AB425" s="8"/>
      <c r="AC425" s="8"/>
    </row>
    <row r="426" spans="1:29" ht="18" customHeight="1">
      <c r="A426" s="1">
        <v>17</v>
      </c>
      <c r="B426" s="1">
        <v>242510236</v>
      </c>
      <c r="C426" s="32" t="s">
        <v>1236</v>
      </c>
      <c r="D426" s="100"/>
      <c r="E426" s="34"/>
      <c r="F426" s="35" t="s">
        <v>1</v>
      </c>
      <c r="G426" s="36"/>
      <c r="H426" s="36"/>
      <c r="I426" s="36"/>
      <c r="J426" s="36"/>
      <c r="K426" s="36"/>
      <c r="L426" s="36"/>
      <c r="M426" s="36"/>
      <c r="N426" s="36"/>
      <c r="O426" s="6"/>
      <c r="P426" s="8"/>
      <c r="Q426" s="8"/>
      <c r="R426" s="6"/>
      <c r="S426" s="6"/>
      <c r="T426" s="6"/>
      <c r="U426" s="6"/>
      <c r="V426" s="6"/>
      <c r="W426" s="6"/>
      <c r="X426" s="6"/>
      <c r="Y426" s="6"/>
      <c r="Z426" s="6"/>
      <c r="AA426" s="8"/>
      <c r="AB426" s="8"/>
      <c r="AC426" s="8"/>
    </row>
    <row r="427" spans="1:29" ht="18" customHeight="1">
      <c r="A427" s="1">
        <v>18</v>
      </c>
      <c r="B427" s="1">
        <v>242510380</v>
      </c>
      <c r="C427" s="32" t="s">
        <v>1239</v>
      </c>
      <c r="D427" s="100"/>
      <c r="E427" s="34"/>
      <c r="F427" s="35" t="s">
        <v>1</v>
      </c>
      <c r="G427" s="36"/>
      <c r="H427" s="36"/>
      <c r="I427" s="36"/>
      <c r="J427" s="36"/>
      <c r="K427" s="36"/>
      <c r="L427" s="36"/>
      <c r="M427" s="36"/>
      <c r="N427" s="36"/>
      <c r="O427" s="6"/>
      <c r="P427" s="8"/>
      <c r="Q427" s="8"/>
      <c r="R427" s="6"/>
      <c r="S427" s="6"/>
      <c r="T427" s="6"/>
      <c r="U427" s="6"/>
      <c r="V427" s="6"/>
      <c r="W427" s="6"/>
      <c r="X427" s="6"/>
      <c r="Y427" s="6"/>
      <c r="Z427" s="6"/>
      <c r="AA427" s="8"/>
      <c r="AB427" s="8"/>
      <c r="AC427" s="8"/>
    </row>
    <row r="428" spans="1:29" ht="18" customHeight="1">
      <c r="A428" s="1">
        <v>19</v>
      </c>
      <c r="B428" s="1">
        <v>242510058</v>
      </c>
      <c r="C428" s="32" t="s">
        <v>1242</v>
      </c>
      <c r="D428" s="100"/>
      <c r="E428" s="34"/>
      <c r="F428" s="35" t="s">
        <v>1</v>
      </c>
      <c r="G428" s="36"/>
      <c r="H428" s="36"/>
      <c r="I428" s="36"/>
      <c r="J428" s="36"/>
      <c r="K428" s="36"/>
      <c r="L428" s="36"/>
      <c r="M428" s="36"/>
      <c r="N428" s="1"/>
      <c r="O428" s="6"/>
      <c r="P428" s="8"/>
      <c r="Q428" s="8"/>
      <c r="R428" s="6"/>
      <c r="S428" s="6"/>
      <c r="T428" s="6"/>
      <c r="U428" s="6"/>
      <c r="V428" s="6"/>
      <c r="W428" s="6"/>
      <c r="X428" s="6"/>
      <c r="Y428" s="6"/>
      <c r="Z428" s="6"/>
      <c r="AA428" s="8"/>
      <c r="AB428" s="8"/>
      <c r="AC428" s="8"/>
    </row>
    <row r="429" spans="1:29" ht="18" customHeight="1">
      <c r="A429" s="1">
        <v>20</v>
      </c>
      <c r="B429" s="1">
        <v>242510020</v>
      </c>
      <c r="C429" s="32" t="s">
        <v>1244</v>
      </c>
      <c r="D429" s="100"/>
      <c r="E429" s="34"/>
      <c r="F429" s="35" t="s">
        <v>1</v>
      </c>
      <c r="G429" s="36"/>
      <c r="H429" s="36"/>
      <c r="I429" s="36"/>
      <c r="J429" s="36"/>
      <c r="K429" s="36"/>
      <c r="L429" s="36"/>
      <c r="M429" s="36"/>
      <c r="N429" s="36"/>
      <c r="O429" s="6"/>
      <c r="P429" s="8"/>
      <c r="Q429" s="8"/>
      <c r="R429" s="6"/>
      <c r="S429" s="6"/>
      <c r="T429" s="6"/>
      <c r="U429" s="6"/>
      <c r="V429" s="6"/>
      <c r="W429" s="6"/>
      <c r="X429" s="6"/>
      <c r="Y429" s="6"/>
      <c r="Z429" s="6"/>
      <c r="AA429" s="8"/>
      <c r="AB429" s="8"/>
      <c r="AC429" s="8"/>
    </row>
    <row r="430" spans="1:29" ht="18" customHeight="1">
      <c r="A430" s="1">
        <v>21</v>
      </c>
      <c r="B430" s="1">
        <v>242510384</v>
      </c>
      <c r="C430" s="32" t="s">
        <v>1246</v>
      </c>
      <c r="D430" s="100"/>
      <c r="E430" s="34"/>
      <c r="F430" s="35" t="s">
        <v>1</v>
      </c>
      <c r="G430" s="36"/>
      <c r="H430" s="36"/>
      <c r="I430" s="36"/>
      <c r="J430" s="36"/>
      <c r="K430" s="36"/>
      <c r="L430" s="36"/>
      <c r="M430" s="36"/>
      <c r="N430" s="36"/>
      <c r="O430" s="6"/>
      <c r="P430" s="8"/>
      <c r="Q430" s="8"/>
      <c r="R430" s="6"/>
      <c r="S430" s="6"/>
      <c r="T430" s="6"/>
      <c r="U430" s="6"/>
      <c r="V430" s="6"/>
      <c r="W430" s="6"/>
      <c r="X430" s="6"/>
      <c r="Y430" s="6"/>
      <c r="Z430" s="6"/>
      <c r="AA430" s="8"/>
      <c r="AB430" s="8"/>
      <c r="AC430" s="8"/>
    </row>
    <row r="431" spans="1:29" ht="18" customHeight="1">
      <c r="A431" s="1">
        <v>22</v>
      </c>
      <c r="B431" s="1">
        <v>242510021</v>
      </c>
      <c r="C431" s="32" t="s">
        <v>1249</v>
      </c>
      <c r="D431" s="100"/>
      <c r="E431" s="34"/>
      <c r="F431" s="35" t="s">
        <v>1</v>
      </c>
      <c r="G431" s="36"/>
      <c r="H431" s="36"/>
      <c r="I431" s="36"/>
      <c r="J431" s="36"/>
      <c r="K431" s="36"/>
      <c r="L431" s="36"/>
      <c r="M431" s="36"/>
      <c r="N431" s="36"/>
      <c r="O431" s="6"/>
      <c r="P431" s="8"/>
      <c r="Q431" s="8"/>
      <c r="R431" s="6"/>
      <c r="S431" s="6"/>
      <c r="T431" s="6"/>
      <c r="U431" s="6"/>
      <c r="V431" s="6"/>
      <c r="W431" s="6"/>
      <c r="X431" s="6"/>
      <c r="Y431" s="6"/>
      <c r="Z431" s="6"/>
      <c r="AA431" s="8"/>
      <c r="AB431" s="8"/>
      <c r="AC431" s="8"/>
    </row>
    <row r="432" spans="1:29" ht="18" customHeight="1">
      <c r="A432" s="1">
        <v>23</v>
      </c>
      <c r="B432" s="1">
        <v>242510316</v>
      </c>
      <c r="C432" s="32" t="s">
        <v>1252</v>
      </c>
      <c r="D432" s="100"/>
      <c r="E432" s="34"/>
      <c r="F432" s="35" t="s">
        <v>1</v>
      </c>
      <c r="G432" s="36"/>
      <c r="H432" s="36"/>
      <c r="I432" s="36"/>
      <c r="J432" s="36"/>
      <c r="K432" s="36"/>
      <c r="L432" s="36"/>
      <c r="M432" s="36"/>
      <c r="N432" s="36"/>
      <c r="O432" s="6"/>
      <c r="P432" s="8"/>
      <c r="Q432" s="8"/>
      <c r="R432" s="6"/>
      <c r="S432" s="6"/>
      <c r="T432" s="6"/>
      <c r="U432" s="6"/>
      <c r="V432" s="6"/>
      <c r="W432" s="6"/>
      <c r="X432" s="6"/>
      <c r="Y432" s="6"/>
      <c r="Z432" s="6"/>
      <c r="AA432" s="8"/>
      <c r="AB432" s="8"/>
      <c r="AC432" s="8"/>
    </row>
    <row r="433" spans="1:29" ht="18" customHeight="1">
      <c r="A433" s="1">
        <v>24</v>
      </c>
      <c r="B433" s="1">
        <v>242510386</v>
      </c>
      <c r="C433" s="32" t="s">
        <v>1255</v>
      </c>
      <c r="D433" s="100"/>
      <c r="E433" s="34"/>
      <c r="F433" s="35" t="s">
        <v>1</v>
      </c>
      <c r="G433" s="36"/>
      <c r="H433" s="36"/>
      <c r="I433" s="36"/>
      <c r="J433" s="36"/>
      <c r="K433" s="36"/>
      <c r="L433" s="36"/>
      <c r="M433" s="36"/>
      <c r="N433" s="36"/>
      <c r="O433" s="6"/>
      <c r="P433" s="8"/>
      <c r="Q433" s="8"/>
      <c r="R433" s="6"/>
      <c r="S433" s="6"/>
      <c r="T433" s="6"/>
      <c r="U433" s="6"/>
      <c r="V433" s="6"/>
      <c r="W433" s="6"/>
      <c r="X433" s="6"/>
      <c r="Y433" s="6"/>
      <c r="Z433" s="6"/>
      <c r="AA433" s="8"/>
      <c r="AB433" s="8"/>
      <c r="AC433" s="8"/>
    </row>
    <row r="434" spans="1:29" ht="18" customHeight="1">
      <c r="A434" s="1">
        <v>25</v>
      </c>
      <c r="B434" s="1">
        <v>242510138</v>
      </c>
      <c r="C434" s="32" t="s">
        <v>1259</v>
      </c>
      <c r="D434" s="100"/>
      <c r="E434" s="34"/>
      <c r="F434" s="35" t="s">
        <v>3</v>
      </c>
      <c r="G434" s="36"/>
      <c r="H434" s="36"/>
      <c r="I434" s="36"/>
      <c r="J434" s="36"/>
      <c r="K434" s="36"/>
      <c r="L434" s="36"/>
      <c r="M434" s="36"/>
      <c r="N434" s="36"/>
      <c r="O434" s="6"/>
      <c r="P434" s="8"/>
      <c r="Q434" s="8"/>
      <c r="R434" s="6"/>
      <c r="S434" s="6"/>
      <c r="T434" s="6"/>
      <c r="U434" s="6"/>
      <c r="V434" s="6"/>
      <c r="W434" s="6"/>
      <c r="X434" s="6"/>
      <c r="Y434" s="6"/>
      <c r="Z434" s="6"/>
      <c r="AA434" s="8"/>
      <c r="AB434" s="8"/>
      <c r="AC434" s="8"/>
    </row>
    <row r="435" spans="1:29" ht="18" customHeight="1">
      <c r="A435" s="1">
        <v>26</v>
      </c>
      <c r="B435" s="1">
        <v>242510324</v>
      </c>
      <c r="C435" s="32" t="s">
        <v>1262</v>
      </c>
      <c r="D435" s="100"/>
      <c r="E435" s="34"/>
      <c r="F435" s="35" t="s">
        <v>3</v>
      </c>
      <c r="G435" s="36"/>
      <c r="H435" s="36"/>
      <c r="I435" s="36"/>
      <c r="J435" s="36"/>
      <c r="K435" s="36"/>
      <c r="L435" s="36"/>
      <c r="M435" s="36"/>
      <c r="N435" s="36"/>
      <c r="O435" s="6"/>
      <c r="P435" s="8"/>
      <c r="Q435" s="8"/>
      <c r="R435" s="6"/>
      <c r="S435" s="6"/>
      <c r="T435" s="6"/>
      <c r="U435" s="6"/>
      <c r="V435" s="6"/>
      <c r="W435" s="6"/>
      <c r="X435" s="6"/>
      <c r="Y435" s="6"/>
      <c r="Z435" s="6"/>
      <c r="AA435" s="8"/>
      <c r="AB435" s="8"/>
      <c r="AC435" s="8"/>
    </row>
    <row r="436" spans="1:29" ht="18" customHeight="1">
      <c r="A436" s="1">
        <v>27</v>
      </c>
      <c r="B436" s="1">
        <v>242510247</v>
      </c>
      <c r="C436" s="32" t="s">
        <v>1266</v>
      </c>
      <c r="D436" s="100"/>
      <c r="E436" s="34"/>
      <c r="F436" s="35" t="s">
        <v>3</v>
      </c>
      <c r="G436" s="36"/>
      <c r="H436" s="36"/>
      <c r="I436" s="36"/>
      <c r="J436" s="36"/>
      <c r="K436" s="36"/>
      <c r="L436" s="36"/>
      <c r="M436" s="36"/>
      <c r="N436" s="36"/>
      <c r="O436" s="6"/>
      <c r="P436" s="8"/>
      <c r="Q436" s="8"/>
      <c r="R436" s="6"/>
      <c r="S436" s="6"/>
      <c r="T436" s="6"/>
      <c r="U436" s="6"/>
      <c r="V436" s="6"/>
      <c r="W436" s="6"/>
      <c r="X436" s="6"/>
      <c r="Y436" s="6"/>
      <c r="Z436" s="6"/>
      <c r="AA436" s="8"/>
      <c r="AB436" s="8"/>
      <c r="AC436" s="8"/>
    </row>
    <row r="437" spans="1:29" ht="18" customHeight="1">
      <c r="A437" s="1">
        <v>28</v>
      </c>
      <c r="B437" s="1">
        <v>242510357</v>
      </c>
      <c r="C437" s="32" t="s">
        <v>1270</v>
      </c>
      <c r="D437" s="100"/>
      <c r="E437" s="34"/>
      <c r="F437" s="35" t="s">
        <v>3</v>
      </c>
      <c r="G437" s="36"/>
      <c r="H437" s="36"/>
      <c r="I437" s="36"/>
      <c r="J437" s="36"/>
      <c r="K437" s="36"/>
      <c r="L437" s="36"/>
      <c r="M437" s="36"/>
      <c r="N437" s="36"/>
      <c r="O437" s="6"/>
      <c r="P437" s="8"/>
      <c r="Q437" s="8"/>
      <c r="R437" s="6"/>
      <c r="S437" s="6"/>
      <c r="T437" s="6"/>
      <c r="U437" s="6"/>
      <c r="V437" s="6"/>
      <c r="W437" s="6"/>
      <c r="X437" s="6"/>
      <c r="Y437" s="6"/>
      <c r="Z437" s="6"/>
      <c r="AA437" s="8"/>
      <c r="AB437" s="8"/>
      <c r="AC437" s="8"/>
    </row>
    <row r="438" spans="1:29" ht="18" customHeight="1">
      <c r="A438" s="1">
        <v>29</v>
      </c>
      <c r="B438" s="1">
        <v>242510213</v>
      </c>
      <c r="C438" s="32" t="s">
        <v>1273</v>
      </c>
      <c r="D438" s="100"/>
      <c r="E438" s="34"/>
      <c r="F438" s="35" t="s">
        <v>3</v>
      </c>
      <c r="G438" s="36"/>
      <c r="H438" s="36"/>
      <c r="I438" s="36"/>
      <c r="J438" s="36"/>
      <c r="K438" s="36"/>
      <c r="L438" s="36"/>
      <c r="M438" s="36"/>
      <c r="N438" s="36"/>
      <c r="O438" s="6"/>
      <c r="P438" s="8"/>
      <c r="Q438" s="8"/>
      <c r="R438" s="6"/>
      <c r="S438" s="6"/>
      <c r="T438" s="6"/>
      <c r="U438" s="6"/>
      <c r="V438" s="6"/>
      <c r="W438" s="6"/>
      <c r="X438" s="6"/>
      <c r="Y438" s="6"/>
      <c r="Z438" s="6"/>
      <c r="AA438" s="8"/>
      <c r="AB438" s="8"/>
      <c r="AC438" s="8"/>
    </row>
    <row r="439" spans="1:29" ht="18" customHeight="1">
      <c r="A439" s="1">
        <v>30</v>
      </c>
      <c r="B439" s="83">
        <v>242510358</v>
      </c>
      <c r="C439" s="145" t="s">
        <v>1277</v>
      </c>
      <c r="D439" s="146"/>
      <c r="E439" s="147"/>
      <c r="F439" s="84" t="s">
        <v>3</v>
      </c>
      <c r="G439" s="85"/>
      <c r="H439" s="85"/>
      <c r="I439" s="36"/>
      <c r="J439" s="36"/>
      <c r="K439" s="36"/>
      <c r="L439" s="36"/>
      <c r="M439" s="36"/>
      <c r="N439" s="36"/>
      <c r="O439" s="6"/>
      <c r="P439" s="8"/>
      <c r="Q439" s="8"/>
      <c r="R439" s="6"/>
      <c r="S439" s="6"/>
      <c r="T439" s="6"/>
      <c r="U439" s="6"/>
      <c r="V439" s="6"/>
      <c r="W439" s="6"/>
      <c r="X439" s="6"/>
      <c r="Y439" s="6"/>
      <c r="Z439" s="6"/>
      <c r="AA439" s="8"/>
      <c r="AB439" s="8"/>
      <c r="AC439" s="8"/>
    </row>
    <row r="440" spans="1:29" ht="18" customHeight="1">
      <c r="A440" s="1">
        <v>31</v>
      </c>
      <c r="B440" s="1">
        <v>242510249</v>
      </c>
      <c r="C440" s="148" t="s">
        <v>1281</v>
      </c>
      <c r="D440" s="148"/>
      <c r="E440" s="148"/>
      <c r="F440" s="149" t="s">
        <v>3</v>
      </c>
      <c r="G440" s="36"/>
      <c r="H440" s="36"/>
      <c r="I440" s="40"/>
      <c r="J440" s="36"/>
      <c r="K440" s="36"/>
      <c r="L440" s="36"/>
      <c r="M440" s="36"/>
      <c r="N440" s="36"/>
      <c r="O440" s="6"/>
      <c r="P440" s="8"/>
      <c r="Q440" s="8"/>
      <c r="R440" s="6"/>
      <c r="S440" s="6"/>
      <c r="T440" s="6"/>
      <c r="U440" s="6"/>
      <c r="V440" s="6"/>
      <c r="W440" s="6"/>
      <c r="X440" s="6"/>
      <c r="Y440" s="6"/>
      <c r="Z440" s="6"/>
      <c r="AA440" s="8"/>
      <c r="AB440" s="8"/>
      <c r="AC440" s="8"/>
    </row>
    <row r="441" spans="1:29" ht="18" customHeight="1">
      <c r="A441" s="1">
        <v>32</v>
      </c>
      <c r="B441" s="1">
        <v>242510073</v>
      </c>
      <c r="C441" s="148" t="s">
        <v>1284</v>
      </c>
      <c r="D441" s="148"/>
      <c r="E441" s="148"/>
      <c r="F441" s="149" t="s">
        <v>3</v>
      </c>
      <c r="G441" s="36"/>
      <c r="H441" s="36"/>
      <c r="I441" s="40"/>
      <c r="J441" s="36"/>
      <c r="K441" s="36"/>
      <c r="L441" s="36"/>
      <c r="M441" s="36"/>
      <c r="N441" s="36"/>
      <c r="O441" s="6"/>
      <c r="P441" s="8"/>
      <c r="Q441" s="8"/>
      <c r="R441" s="6"/>
      <c r="S441" s="6"/>
      <c r="T441" s="6"/>
      <c r="U441" s="6"/>
      <c r="V441" s="6"/>
      <c r="W441" s="6"/>
      <c r="X441" s="6"/>
      <c r="Y441" s="6"/>
      <c r="Z441" s="6"/>
      <c r="AA441" s="8"/>
      <c r="AB441" s="8"/>
      <c r="AC441" s="8"/>
    </row>
    <row r="442" spans="1:29" ht="18" customHeight="1">
      <c r="A442" s="1">
        <v>33</v>
      </c>
      <c r="B442" s="1">
        <v>242510074</v>
      </c>
      <c r="C442" s="148" t="s">
        <v>1287</v>
      </c>
      <c r="D442" s="148"/>
      <c r="E442" s="148"/>
      <c r="F442" s="149" t="s">
        <v>1</v>
      </c>
      <c r="G442" s="36"/>
      <c r="H442" s="36"/>
      <c r="I442" s="40"/>
      <c r="J442" s="36"/>
      <c r="K442" s="36"/>
      <c r="L442" s="36"/>
      <c r="M442" s="36"/>
      <c r="N442" s="36"/>
      <c r="O442" s="6"/>
      <c r="P442" s="8"/>
      <c r="Q442" s="8"/>
      <c r="R442" s="6"/>
      <c r="S442" s="6"/>
      <c r="T442" s="6"/>
      <c r="U442" s="6"/>
      <c r="V442" s="6"/>
      <c r="W442" s="6"/>
      <c r="X442" s="6"/>
      <c r="Y442" s="6"/>
      <c r="Z442" s="6"/>
      <c r="AA442" s="8"/>
      <c r="AB442" s="8"/>
      <c r="AC442" s="8"/>
    </row>
    <row r="443" spans="1:29" ht="18" customHeight="1">
      <c r="A443" s="83">
        <v>34</v>
      </c>
      <c r="B443" s="83">
        <v>242510397</v>
      </c>
      <c r="C443" s="211" t="s">
        <v>1290</v>
      </c>
      <c r="D443" s="211"/>
      <c r="E443" s="211"/>
      <c r="F443" s="210" t="s">
        <v>3</v>
      </c>
      <c r="G443" s="135"/>
      <c r="H443" s="135"/>
      <c r="I443" s="89"/>
      <c r="J443" s="135"/>
      <c r="K443" s="135"/>
      <c r="L443" s="135"/>
      <c r="M443" s="135"/>
      <c r="N443" s="135"/>
      <c r="O443" s="6"/>
      <c r="P443" s="8"/>
      <c r="Q443" s="8"/>
      <c r="R443" s="6"/>
      <c r="S443" s="6"/>
      <c r="T443" s="6"/>
      <c r="U443" s="6"/>
      <c r="V443" s="6"/>
      <c r="W443" s="6"/>
      <c r="X443" s="6"/>
      <c r="Y443" s="6"/>
      <c r="Z443" s="6"/>
      <c r="AA443" s="8"/>
      <c r="AB443" s="8"/>
      <c r="AC443" s="8"/>
    </row>
    <row r="444" spans="1:29" ht="18" customHeight="1" thickBot="1">
      <c r="A444" s="215">
        <v>35</v>
      </c>
      <c r="B444" s="216">
        <v>242510146</v>
      </c>
      <c r="C444" s="217" t="s">
        <v>1293</v>
      </c>
      <c r="D444" s="217"/>
      <c r="E444" s="217"/>
      <c r="F444" s="259" t="s">
        <v>3</v>
      </c>
      <c r="G444" s="256"/>
      <c r="H444" s="218"/>
      <c r="I444" s="219"/>
      <c r="J444" s="218"/>
      <c r="K444" s="218"/>
      <c r="L444" s="218"/>
      <c r="M444" s="218"/>
      <c r="N444" s="220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8"/>
      <c r="AB444" s="8"/>
      <c r="AC444" s="8"/>
    </row>
    <row r="445" spans="1:29" ht="15.8" customHeight="1">
      <c r="A445" s="212"/>
      <c r="B445" s="212"/>
      <c r="C445" s="213"/>
      <c r="D445" s="213"/>
      <c r="E445" s="213"/>
      <c r="F445" s="260" t="s">
        <v>1</v>
      </c>
      <c r="G445" s="261">
        <f>COUNTIF(F410:F444,"L")</f>
        <v>14</v>
      </c>
      <c r="H445" s="214"/>
      <c r="I445" s="214"/>
      <c r="J445" s="214"/>
      <c r="K445" s="214"/>
      <c r="L445" s="214"/>
      <c r="M445" s="214"/>
      <c r="N445" s="214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8"/>
      <c r="AB445" s="8"/>
      <c r="AC445" s="8"/>
    </row>
    <row r="446" spans="1:29" ht="15.8" customHeight="1" thickBot="1">
      <c r="A446" s="79"/>
      <c r="B446" s="79"/>
      <c r="C446" s="20"/>
      <c r="D446" s="20"/>
      <c r="E446" s="20"/>
      <c r="F446" s="253" t="s">
        <v>3</v>
      </c>
      <c r="G446" s="249">
        <f>COUNTIF(F410:F444,"P")</f>
        <v>21</v>
      </c>
      <c r="H446" s="20"/>
      <c r="I446" s="20"/>
      <c r="J446" s="20"/>
      <c r="K446" s="20"/>
      <c r="L446" s="20"/>
      <c r="M446" s="20"/>
      <c r="N446" s="20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8"/>
      <c r="AB446" s="8"/>
      <c r="AC446" s="8"/>
    </row>
    <row r="447" spans="1:29" ht="15.8" customHeight="1" thickBot="1">
      <c r="A447" s="79"/>
      <c r="B447" s="79"/>
      <c r="C447" s="20"/>
      <c r="D447" s="20"/>
      <c r="E447" s="20"/>
      <c r="F447" s="250" t="s">
        <v>251</v>
      </c>
      <c r="G447" s="251">
        <f>SUM(G445:G446)</f>
        <v>35</v>
      </c>
      <c r="H447" s="20"/>
      <c r="I447" s="20"/>
      <c r="J447" s="20"/>
      <c r="K447" s="20"/>
      <c r="L447" s="20"/>
      <c r="M447" s="20"/>
      <c r="N447" s="20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8"/>
      <c r="AB447" s="8"/>
      <c r="AC447" s="8"/>
    </row>
    <row r="448" spans="1:29" ht="15.8" customHeight="1">
      <c r="A448" s="20" t="s">
        <v>275</v>
      </c>
      <c r="B448" s="6"/>
      <c r="C448" s="20"/>
      <c r="D448" s="20"/>
      <c r="E448" s="20"/>
      <c r="F448" s="94"/>
      <c r="G448" s="6"/>
      <c r="H448" s="6"/>
      <c r="I448" s="82" t="s">
        <v>254</v>
      </c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8"/>
      <c r="AB448" s="8"/>
      <c r="AC448" s="8"/>
    </row>
    <row r="449" spans="1:29" ht="15.8" customHeight="1">
      <c r="A449" s="20" t="s">
        <v>280</v>
      </c>
      <c r="B449" s="6"/>
      <c r="C449" s="20"/>
      <c r="D449" s="20"/>
      <c r="E449" s="20" t="s">
        <v>281</v>
      </c>
      <c r="F449" s="94"/>
      <c r="G449" s="6"/>
      <c r="H449" s="6"/>
      <c r="I449" s="6" t="s">
        <v>256</v>
      </c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8"/>
      <c r="AB449" s="8"/>
      <c r="AC449" s="8"/>
    </row>
    <row r="450" spans="1:29" ht="15.8" customHeight="1">
      <c r="A450" s="20"/>
      <c r="B450" s="6"/>
      <c r="C450" s="20"/>
      <c r="D450" s="20"/>
      <c r="E450" s="20"/>
      <c r="F450" s="79"/>
      <c r="G450" s="20"/>
      <c r="H450" s="20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8"/>
      <c r="AB450" s="8"/>
      <c r="AC450" s="8"/>
    </row>
    <row r="451" spans="1:29" ht="15.8" customHeight="1">
      <c r="A451" s="20"/>
      <c r="B451" s="6"/>
      <c r="C451" s="20"/>
      <c r="D451" s="20"/>
      <c r="E451" s="20"/>
      <c r="F451" s="79"/>
      <c r="G451" s="20"/>
      <c r="H451" s="20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8"/>
      <c r="AB451" s="8"/>
      <c r="AC451" s="8"/>
    </row>
    <row r="452" spans="1:29" ht="15.8" customHeight="1">
      <c r="A452" s="16" t="s">
        <v>1309</v>
      </c>
      <c r="B452" s="6"/>
      <c r="C452" s="6"/>
      <c r="D452" s="6"/>
      <c r="E452" s="86" t="s">
        <v>525</v>
      </c>
      <c r="F452" s="94"/>
      <c r="G452" s="6"/>
      <c r="H452" s="20"/>
      <c r="I452" s="87"/>
      <c r="J452" s="87"/>
      <c r="K452" s="87"/>
      <c r="L452" s="87"/>
      <c r="M452" s="87"/>
      <c r="N452" s="87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8"/>
      <c r="AB452" s="8"/>
      <c r="AC452" s="8"/>
    </row>
    <row r="453" spans="1:29" ht="15.8" customHeight="1">
      <c r="A453" s="41" t="s">
        <v>1311</v>
      </c>
      <c r="B453" s="41"/>
      <c r="C453" s="20"/>
      <c r="D453" s="20"/>
      <c r="E453" s="20" t="s">
        <v>527</v>
      </c>
      <c r="F453" s="79"/>
      <c r="G453" s="20"/>
      <c r="H453" s="20" t="s">
        <v>266</v>
      </c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8"/>
      <c r="AB453" s="8"/>
      <c r="AC453" s="8"/>
    </row>
    <row r="454" spans="1:29" ht="15.8" customHeight="1">
      <c r="A454" s="43"/>
      <c r="B454" s="44"/>
      <c r="C454" s="44"/>
      <c r="D454" s="44"/>
      <c r="E454" s="44"/>
      <c r="F454" s="45"/>
      <c r="G454" s="46"/>
      <c r="H454" s="46"/>
      <c r="I454" s="44"/>
      <c r="J454" s="44"/>
      <c r="K454" s="44"/>
      <c r="L454" s="44"/>
      <c r="M454" s="44"/>
      <c r="N454" s="44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8"/>
      <c r="AB454" s="8"/>
      <c r="AC454" s="8"/>
    </row>
    <row r="455" spans="1:29" ht="19.55" customHeight="1">
      <c r="A455" s="16" t="s">
        <v>79</v>
      </c>
      <c r="B455" s="16"/>
      <c r="C455" s="4" t="s">
        <v>1314</v>
      </c>
      <c r="D455" s="16"/>
      <c r="E455" s="22"/>
      <c r="F455" s="23"/>
      <c r="G455" s="17"/>
      <c r="H455" s="19" t="s">
        <v>82</v>
      </c>
      <c r="I455" s="17"/>
      <c r="J455" s="17"/>
      <c r="K455" s="17"/>
      <c r="L455" s="17"/>
      <c r="M455" s="20"/>
      <c r="N455" s="20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8"/>
      <c r="AB455" s="8"/>
      <c r="AC455" s="8"/>
    </row>
    <row r="456" spans="1:29" ht="9" customHeight="1">
      <c r="A456" s="20"/>
      <c r="B456" s="24"/>
      <c r="C456" s="24"/>
      <c r="D456" s="24"/>
      <c r="E456" s="25"/>
      <c r="F456" s="14"/>
      <c r="G456" s="20"/>
      <c r="H456" s="26"/>
      <c r="I456" s="27"/>
      <c r="J456" s="27"/>
      <c r="K456" s="27"/>
      <c r="L456" s="27"/>
      <c r="M456" s="27"/>
      <c r="N456" s="27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8"/>
      <c r="AB456" s="8"/>
      <c r="AC456" s="8"/>
    </row>
    <row r="457" spans="1:29" ht="15.8" customHeight="1">
      <c r="A457" s="176" t="s">
        <v>84</v>
      </c>
      <c r="B457" s="177"/>
      <c r="C457" s="178" t="s">
        <v>85</v>
      </c>
      <c r="D457" s="179"/>
      <c r="E457" s="180"/>
      <c r="F457" s="184" t="s">
        <v>86</v>
      </c>
      <c r="G457" s="176" t="s">
        <v>87</v>
      </c>
      <c r="H457" s="186"/>
      <c r="I457" s="186"/>
      <c r="J457" s="186"/>
      <c r="K457" s="186"/>
      <c r="L457" s="186"/>
      <c r="M457" s="177"/>
      <c r="N457" s="184" t="s">
        <v>88</v>
      </c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8"/>
      <c r="AB457" s="8"/>
      <c r="AC457" s="8"/>
    </row>
    <row r="458" spans="1:29" ht="15.8" customHeight="1">
      <c r="A458" s="28" t="s">
        <v>90</v>
      </c>
      <c r="B458" s="28" t="s">
        <v>91</v>
      </c>
      <c r="C458" s="199"/>
      <c r="D458" s="200"/>
      <c r="E458" s="201"/>
      <c r="F458" s="185"/>
      <c r="G458" s="28"/>
      <c r="H458" s="28"/>
      <c r="I458" s="28"/>
      <c r="J458" s="28"/>
      <c r="K458" s="28"/>
      <c r="L458" s="28"/>
      <c r="M458" s="28"/>
      <c r="N458" s="185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8"/>
      <c r="AB458" s="8"/>
      <c r="AC458" s="8"/>
    </row>
    <row r="459" spans="1:29" ht="18" customHeight="1">
      <c r="A459" s="1">
        <v>1</v>
      </c>
      <c r="B459" s="31">
        <v>242510078</v>
      </c>
      <c r="C459" s="32" t="s">
        <v>1319</v>
      </c>
      <c r="D459" s="33"/>
      <c r="E459" s="34"/>
      <c r="F459" s="35" t="s">
        <v>3</v>
      </c>
      <c r="G459" s="36"/>
      <c r="H459" s="36"/>
      <c r="I459" s="36"/>
      <c r="J459" s="36"/>
      <c r="K459" s="36"/>
      <c r="L459" s="36"/>
      <c r="M459" s="36"/>
      <c r="N459" s="3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8"/>
      <c r="AB459" s="8"/>
      <c r="AC459" s="8"/>
    </row>
    <row r="460" spans="1:29" ht="18" customHeight="1">
      <c r="A460" s="1">
        <f t="shared" ref="A460:A493" si="8">A459+1</f>
        <v>2</v>
      </c>
      <c r="B460" s="1">
        <v>242510150</v>
      </c>
      <c r="C460" s="32" t="s">
        <v>1321</v>
      </c>
      <c r="D460" s="33"/>
      <c r="E460" s="34"/>
      <c r="F460" s="35" t="s">
        <v>3</v>
      </c>
      <c r="G460" s="36"/>
      <c r="H460" s="36"/>
      <c r="I460" s="36"/>
      <c r="J460" s="36"/>
      <c r="K460" s="36"/>
      <c r="L460" s="36"/>
      <c r="M460" s="36"/>
      <c r="N460" s="3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8"/>
      <c r="AB460" s="8"/>
      <c r="AC460" s="8"/>
    </row>
    <row r="461" spans="1:29" ht="18" customHeight="1">
      <c r="A461" s="1">
        <f t="shared" si="8"/>
        <v>3</v>
      </c>
      <c r="B461" s="1">
        <v>242510362</v>
      </c>
      <c r="C461" s="32" t="s">
        <v>1322</v>
      </c>
      <c r="D461" s="33"/>
      <c r="E461" s="34"/>
      <c r="F461" s="35" t="s">
        <v>3</v>
      </c>
      <c r="G461" s="36"/>
      <c r="H461" s="36"/>
      <c r="I461" s="36"/>
      <c r="J461" s="36"/>
      <c r="K461" s="36"/>
      <c r="L461" s="36"/>
      <c r="M461" s="36"/>
      <c r="N461" s="3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8"/>
      <c r="AB461" s="8"/>
      <c r="AC461" s="8"/>
    </row>
    <row r="462" spans="1:29" ht="18" customHeight="1">
      <c r="A462" s="1">
        <f t="shared" si="8"/>
        <v>4</v>
      </c>
      <c r="B462" s="1">
        <v>242510004</v>
      </c>
      <c r="C462" s="32" t="s">
        <v>1325</v>
      </c>
      <c r="D462" s="33"/>
      <c r="E462" s="34"/>
      <c r="F462" s="35" t="s">
        <v>1</v>
      </c>
      <c r="G462" s="36"/>
      <c r="H462" s="36"/>
      <c r="I462" s="36"/>
      <c r="J462" s="36"/>
      <c r="K462" s="36"/>
      <c r="L462" s="36"/>
      <c r="M462" s="36"/>
      <c r="N462" s="3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8"/>
      <c r="AB462" s="8"/>
      <c r="AC462" s="8"/>
    </row>
    <row r="463" spans="1:29" ht="18" customHeight="1">
      <c r="A463" s="1">
        <f t="shared" si="8"/>
        <v>5</v>
      </c>
      <c r="B463" s="1">
        <v>242510221</v>
      </c>
      <c r="C463" s="32" t="s">
        <v>1328</v>
      </c>
      <c r="D463" s="33"/>
      <c r="E463" s="34"/>
      <c r="F463" s="35" t="s">
        <v>3</v>
      </c>
      <c r="G463" s="36"/>
      <c r="H463" s="36"/>
      <c r="I463" s="36"/>
      <c r="J463" s="36"/>
      <c r="K463" s="36"/>
      <c r="L463" s="36"/>
      <c r="M463" s="36"/>
      <c r="N463" s="3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8"/>
      <c r="AB463" s="8"/>
      <c r="AC463" s="8"/>
    </row>
    <row r="464" spans="1:29" ht="18" customHeight="1">
      <c r="A464" s="1">
        <f t="shared" si="8"/>
        <v>6</v>
      </c>
      <c r="B464" s="1">
        <v>242510363</v>
      </c>
      <c r="C464" s="32" t="s">
        <v>1329</v>
      </c>
      <c r="D464" s="33"/>
      <c r="E464" s="34"/>
      <c r="F464" s="35" t="s">
        <v>3</v>
      </c>
      <c r="G464" s="36"/>
      <c r="H464" s="36"/>
      <c r="I464" s="36"/>
      <c r="J464" s="36"/>
      <c r="K464" s="36"/>
      <c r="L464" s="36"/>
      <c r="M464" s="36"/>
      <c r="N464" s="3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8"/>
      <c r="AB464" s="8"/>
      <c r="AC464" s="8"/>
    </row>
    <row r="465" spans="1:29" ht="18" customHeight="1">
      <c r="A465" s="1">
        <f t="shared" si="8"/>
        <v>7</v>
      </c>
      <c r="B465" s="1">
        <v>242510115</v>
      </c>
      <c r="C465" s="32" t="s">
        <v>1332</v>
      </c>
      <c r="D465" s="33"/>
      <c r="E465" s="34"/>
      <c r="F465" s="35" t="s">
        <v>3</v>
      </c>
      <c r="G465" s="36"/>
      <c r="H465" s="36"/>
      <c r="I465" s="36"/>
      <c r="J465" s="36"/>
      <c r="K465" s="36"/>
      <c r="L465" s="36"/>
      <c r="M465" s="36"/>
      <c r="N465" s="3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8"/>
      <c r="AB465" s="8"/>
      <c r="AC465" s="8"/>
    </row>
    <row r="466" spans="1:29" ht="18" customHeight="1">
      <c r="A466" s="1">
        <f t="shared" si="8"/>
        <v>8</v>
      </c>
      <c r="B466" s="1">
        <v>242510299</v>
      </c>
      <c r="C466" s="32" t="s">
        <v>1333</v>
      </c>
      <c r="D466" s="33"/>
      <c r="E466" s="34"/>
      <c r="F466" s="35" t="s">
        <v>3</v>
      </c>
      <c r="G466" s="36"/>
      <c r="H466" s="36"/>
      <c r="I466" s="36"/>
      <c r="J466" s="36"/>
      <c r="K466" s="36"/>
      <c r="L466" s="36"/>
      <c r="M466" s="36"/>
      <c r="N466" s="3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8"/>
      <c r="AB466" s="8"/>
      <c r="AC466" s="8"/>
    </row>
    <row r="467" spans="1:29" ht="18" customHeight="1">
      <c r="A467" s="1">
        <f t="shared" si="8"/>
        <v>9</v>
      </c>
      <c r="B467" s="1">
        <v>242510153</v>
      </c>
      <c r="C467" s="32" t="s">
        <v>1336</v>
      </c>
      <c r="D467" s="33"/>
      <c r="E467" s="34"/>
      <c r="F467" s="35" t="s">
        <v>1</v>
      </c>
      <c r="G467" s="36"/>
      <c r="H467" s="36"/>
      <c r="I467" s="36"/>
      <c r="J467" s="36"/>
      <c r="K467" s="36"/>
      <c r="L467" s="36"/>
      <c r="M467" s="36"/>
      <c r="N467" s="3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8"/>
      <c r="AB467" s="8"/>
      <c r="AC467" s="8"/>
    </row>
    <row r="468" spans="1:29" ht="18" customHeight="1">
      <c r="A468" s="1">
        <f t="shared" si="8"/>
        <v>10</v>
      </c>
      <c r="B468" s="1">
        <v>242510368</v>
      </c>
      <c r="C468" s="32" t="s">
        <v>1338</v>
      </c>
      <c r="D468" s="33"/>
      <c r="E468" s="34"/>
      <c r="F468" s="35" t="s">
        <v>3</v>
      </c>
      <c r="G468" s="36"/>
      <c r="H468" s="36"/>
      <c r="I468" s="36"/>
      <c r="J468" s="36"/>
      <c r="K468" s="36"/>
      <c r="L468" s="36"/>
      <c r="M468" s="36"/>
      <c r="N468" s="3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8"/>
      <c r="AB468" s="8"/>
      <c r="AC468" s="8"/>
    </row>
    <row r="469" spans="1:29" ht="18" customHeight="1">
      <c r="A469" s="1">
        <f t="shared" si="8"/>
        <v>11</v>
      </c>
      <c r="B469" s="1">
        <v>242510120</v>
      </c>
      <c r="C469" s="32" t="s">
        <v>1341</v>
      </c>
      <c r="D469" s="33"/>
      <c r="E469" s="34"/>
      <c r="F469" s="35" t="s">
        <v>3</v>
      </c>
      <c r="G469" s="36"/>
      <c r="H469" s="36"/>
      <c r="I469" s="36"/>
      <c r="J469" s="36"/>
      <c r="K469" s="36"/>
      <c r="L469" s="36"/>
      <c r="M469" s="36"/>
      <c r="N469" s="3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8"/>
      <c r="AB469" s="8"/>
      <c r="AC469" s="8"/>
    </row>
    <row r="470" spans="1:29" ht="18" customHeight="1">
      <c r="A470" s="1">
        <f t="shared" si="8"/>
        <v>12</v>
      </c>
      <c r="B470" s="1">
        <v>242510047</v>
      </c>
      <c r="C470" s="32" t="s">
        <v>1342</v>
      </c>
      <c r="D470" s="33"/>
      <c r="E470" s="34"/>
      <c r="F470" s="35" t="s">
        <v>3</v>
      </c>
      <c r="G470" s="36"/>
      <c r="H470" s="36"/>
      <c r="I470" s="36"/>
      <c r="J470" s="36"/>
      <c r="K470" s="36"/>
      <c r="L470" s="36"/>
      <c r="M470" s="36"/>
      <c r="N470" s="3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8"/>
      <c r="AB470" s="8"/>
      <c r="AC470" s="8"/>
    </row>
    <row r="471" spans="1:29" ht="18" customHeight="1">
      <c r="A471" s="1">
        <f t="shared" si="8"/>
        <v>13</v>
      </c>
      <c r="B471" s="1">
        <v>242510009</v>
      </c>
      <c r="C471" s="32" t="s">
        <v>1344</v>
      </c>
      <c r="D471" s="33"/>
      <c r="E471" s="34"/>
      <c r="F471" s="35" t="s">
        <v>3</v>
      </c>
      <c r="G471" s="36"/>
      <c r="H471" s="36"/>
      <c r="I471" s="36"/>
      <c r="J471" s="36"/>
      <c r="K471" s="36"/>
      <c r="L471" s="36"/>
      <c r="M471" s="36"/>
      <c r="N471" s="3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8"/>
      <c r="AB471" s="8"/>
      <c r="AC471" s="8"/>
    </row>
    <row r="472" spans="1:29" ht="18" customHeight="1">
      <c r="A472" s="1">
        <f t="shared" si="8"/>
        <v>14</v>
      </c>
      <c r="B472" s="1">
        <v>242510011</v>
      </c>
      <c r="C472" s="32" t="s">
        <v>1346</v>
      </c>
      <c r="D472" s="33"/>
      <c r="E472" s="34"/>
      <c r="F472" s="35" t="s">
        <v>3</v>
      </c>
      <c r="G472" s="36"/>
      <c r="H472" s="36"/>
      <c r="I472" s="36"/>
      <c r="J472" s="36"/>
      <c r="K472" s="36"/>
      <c r="L472" s="36"/>
      <c r="M472" s="36"/>
      <c r="N472" s="3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8"/>
      <c r="AB472" s="8"/>
      <c r="AC472" s="8"/>
    </row>
    <row r="473" spans="1:29" ht="18" customHeight="1">
      <c r="A473" s="1">
        <f t="shared" si="8"/>
        <v>15</v>
      </c>
      <c r="B473" s="1">
        <v>242510195</v>
      </c>
      <c r="C473" s="32" t="s">
        <v>1348</v>
      </c>
      <c r="D473" s="33"/>
      <c r="E473" s="34"/>
      <c r="F473" s="35" t="s">
        <v>3</v>
      </c>
      <c r="G473" s="36"/>
      <c r="H473" s="36"/>
      <c r="I473" s="36"/>
      <c r="J473" s="36"/>
      <c r="K473" s="36"/>
      <c r="L473" s="36"/>
      <c r="M473" s="36"/>
      <c r="N473" s="3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8"/>
      <c r="AB473" s="8"/>
      <c r="AC473" s="8"/>
    </row>
    <row r="474" spans="1:29" ht="18" customHeight="1">
      <c r="A474" s="1">
        <f t="shared" si="8"/>
        <v>16</v>
      </c>
      <c r="B474" s="1">
        <v>242510267</v>
      </c>
      <c r="C474" s="32" t="s">
        <v>1350</v>
      </c>
      <c r="D474" s="33"/>
      <c r="E474" s="34"/>
      <c r="F474" s="35" t="s">
        <v>1</v>
      </c>
      <c r="G474" s="36"/>
      <c r="H474" s="36"/>
      <c r="I474" s="36"/>
      <c r="J474" s="36"/>
      <c r="K474" s="36"/>
      <c r="L474" s="36"/>
      <c r="M474" s="36"/>
      <c r="N474" s="3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8"/>
      <c r="AB474" s="8"/>
      <c r="AC474" s="8"/>
    </row>
    <row r="475" spans="1:29" ht="18" customHeight="1">
      <c r="A475" s="1">
        <f t="shared" si="8"/>
        <v>17</v>
      </c>
      <c r="B475" s="1">
        <v>242510160</v>
      </c>
      <c r="C475" s="32" t="s">
        <v>1352</v>
      </c>
      <c r="D475" s="33"/>
      <c r="E475" s="34"/>
      <c r="F475" s="35" t="s">
        <v>3</v>
      </c>
      <c r="G475" s="36"/>
      <c r="H475" s="36"/>
      <c r="I475" s="36"/>
      <c r="J475" s="36"/>
      <c r="K475" s="36"/>
      <c r="L475" s="36"/>
      <c r="M475" s="36"/>
      <c r="N475" s="3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8"/>
      <c r="AB475" s="8"/>
      <c r="AC475" s="8"/>
    </row>
    <row r="476" spans="1:29" ht="18" customHeight="1">
      <c r="A476" s="1">
        <f t="shared" si="8"/>
        <v>18</v>
      </c>
      <c r="B476" s="1">
        <v>242510054</v>
      </c>
      <c r="C476" s="32" t="s">
        <v>1354</v>
      </c>
      <c r="D476" s="33"/>
      <c r="E476" s="34"/>
      <c r="F476" s="35" t="s">
        <v>1</v>
      </c>
      <c r="G476" s="36"/>
      <c r="H476" s="36"/>
      <c r="I476" s="36"/>
      <c r="J476" s="36"/>
      <c r="K476" s="36"/>
      <c r="L476" s="36"/>
      <c r="M476" s="36"/>
      <c r="N476" s="1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8"/>
      <c r="AB476" s="8"/>
      <c r="AC476" s="8"/>
    </row>
    <row r="477" spans="1:29" ht="18" customHeight="1">
      <c r="A477" s="1">
        <f t="shared" si="8"/>
        <v>19</v>
      </c>
      <c r="B477" s="1">
        <v>242510379</v>
      </c>
      <c r="C477" s="32" t="s">
        <v>1356</v>
      </c>
      <c r="D477" s="33"/>
      <c r="E477" s="34"/>
      <c r="F477" s="35" t="s">
        <v>3</v>
      </c>
      <c r="G477" s="36"/>
      <c r="H477" s="36"/>
      <c r="I477" s="36"/>
      <c r="J477" s="36"/>
      <c r="K477" s="36"/>
      <c r="L477" s="36"/>
      <c r="M477" s="36"/>
      <c r="N477" s="3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8"/>
      <c r="AB477" s="8"/>
      <c r="AC477" s="8"/>
    </row>
    <row r="478" spans="1:29" ht="18" customHeight="1">
      <c r="A478" s="1">
        <f t="shared" si="8"/>
        <v>20</v>
      </c>
      <c r="B478" s="1">
        <v>242510381</v>
      </c>
      <c r="C478" s="32" t="s">
        <v>1358</v>
      </c>
      <c r="D478" s="33"/>
      <c r="E478" s="34"/>
      <c r="F478" s="35" t="s">
        <v>1</v>
      </c>
      <c r="G478" s="36"/>
      <c r="H478" s="36"/>
      <c r="I478" s="36"/>
      <c r="J478" s="36"/>
      <c r="K478" s="36"/>
      <c r="L478" s="36"/>
      <c r="M478" s="36"/>
      <c r="N478" s="3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8"/>
      <c r="AB478" s="8"/>
      <c r="AC478" s="8"/>
    </row>
    <row r="479" spans="1:29" ht="18" customHeight="1">
      <c r="A479" s="1">
        <f t="shared" si="8"/>
        <v>21</v>
      </c>
      <c r="B479" s="1">
        <v>242510089</v>
      </c>
      <c r="C479" s="32" t="s">
        <v>1361</v>
      </c>
      <c r="D479" s="33"/>
      <c r="E479" s="34"/>
      <c r="F479" s="35" t="s">
        <v>1</v>
      </c>
      <c r="G479" s="36"/>
      <c r="H479" s="36"/>
      <c r="I479" s="36"/>
      <c r="J479" s="36"/>
      <c r="K479" s="36"/>
      <c r="L479" s="36"/>
      <c r="M479" s="36"/>
      <c r="N479" s="3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8"/>
      <c r="AB479" s="8"/>
      <c r="AC479" s="8"/>
    </row>
    <row r="480" spans="1:29" ht="18" customHeight="1">
      <c r="A480" s="1">
        <f t="shared" si="8"/>
        <v>22</v>
      </c>
      <c r="B480" s="1">
        <v>242510168</v>
      </c>
      <c r="C480" s="32" t="s">
        <v>1364</v>
      </c>
      <c r="D480" s="33"/>
      <c r="E480" s="34"/>
      <c r="F480" s="35" t="s">
        <v>1</v>
      </c>
      <c r="G480" s="36"/>
      <c r="H480" s="36"/>
      <c r="I480" s="36"/>
      <c r="J480" s="36"/>
      <c r="K480" s="36"/>
      <c r="L480" s="36"/>
      <c r="M480" s="36"/>
      <c r="N480" s="3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8"/>
      <c r="AB480" s="8"/>
      <c r="AC480" s="8"/>
    </row>
    <row r="481" spans="1:29" ht="18" customHeight="1">
      <c r="A481" s="1">
        <f t="shared" si="8"/>
        <v>23</v>
      </c>
      <c r="B481" s="1">
        <v>242510093</v>
      </c>
      <c r="C481" s="32" t="s">
        <v>1365</v>
      </c>
      <c r="D481" s="33"/>
      <c r="E481" s="34"/>
      <c r="F481" s="35" t="s">
        <v>1</v>
      </c>
      <c r="G481" s="36"/>
      <c r="H481" s="36"/>
      <c r="I481" s="36"/>
      <c r="J481" s="36"/>
      <c r="K481" s="36"/>
      <c r="L481" s="36"/>
      <c r="M481" s="36"/>
      <c r="N481" s="3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8"/>
      <c r="AB481" s="8"/>
      <c r="AC481" s="8"/>
    </row>
    <row r="482" spans="1:29" ht="18" customHeight="1">
      <c r="A482" s="1">
        <f t="shared" si="8"/>
        <v>24</v>
      </c>
      <c r="B482" s="1">
        <v>242510172</v>
      </c>
      <c r="C482" s="32" t="s">
        <v>1367</v>
      </c>
      <c r="D482" s="33"/>
      <c r="E482" s="34"/>
      <c r="F482" s="35" t="s">
        <v>3</v>
      </c>
      <c r="G482" s="36"/>
      <c r="H482" s="36"/>
      <c r="I482" s="36"/>
      <c r="J482" s="36"/>
      <c r="K482" s="36"/>
      <c r="L482" s="36"/>
      <c r="M482" s="36"/>
      <c r="N482" s="3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8"/>
      <c r="AB482" s="8"/>
      <c r="AC482" s="8"/>
    </row>
    <row r="483" spans="1:29" ht="18" customHeight="1">
      <c r="A483" s="1">
        <f t="shared" si="8"/>
        <v>25</v>
      </c>
      <c r="B483" s="1">
        <v>242510024</v>
      </c>
      <c r="C483" s="32" t="s">
        <v>1370</v>
      </c>
      <c r="D483" s="33"/>
      <c r="E483" s="34"/>
      <c r="F483" s="35" t="s">
        <v>3</v>
      </c>
      <c r="G483" s="36"/>
      <c r="H483" s="36"/>
      <c r="I483" s="36"/>
      <c r="J483" s="36"/>
      <c r="K483" s="36"/>
      <c r="L483" s="36"/>
      <c r="M483" s="36"/>
      <c r="N483" s="3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8"/>
      <c r="AB483" s="8"/>
      <c r="AC483" s="8"/>
    </row>
    <row r="484" spans="1:29" ht="18" customHeight="1">
      <c r="A484" s="1">
        <f t="shared" si="8"/>
        <v>26</v>
      </c>
      <c r="B484" s="1">
        <v>242510353</v>
      </c>
      <c r="C484" s="32" t="s">
        <v>1372</v>
      </c>
      <c r="D484" s="33"/>
      <c r="E484" s="34"/>
      <c r="F484" s="35" t="s">
        <v>1</v>
      </c>
      <c r="G484" s="36"/>
      <c r="H484" s="36"/>
      <c r="I484" s="36"/>
      <c r="J484" s="36"/>
      <c r="K484" s="36"/>
      <c r="L484" s="36"/>
      <c r="M484" s="36"/>
      <c r="N484" s="3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8"/>
      <c r="AB484" s="8"/>
      <c r="AC484" s="8"/>
    </row>
    <row r="485" spans="1:29" ht="18" customHeight="1">
      <c r="A485" s="1">
        <f t="shared" si="8"/>
        <v>27</v>
      </c>
      <c r="B485" s="1">
        <v>242510283</v>
      </c>
      <c r="C485" s="32" t="s">
        <v>1374</v>
      </c>
      <c r="D485" s="33"/>
      <c r="E485" s="34"/>
      <c r="F485" s="35" t="s">
        <v>3</v>
      </c>
      <c r="G485" s="36"/>
      <c r="H485" s="36"/>
      <c r="I485" s="36"/>
      <c r="J485" s="36"/>
      <c r="K485" s="36"/>
      <c r="L485" s="36"/>
      <c r="M485" s="36"/>
      <c r="N485" s="3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8"/>
      <c r="AB485" s="8"/>
      <c r="AC485" s="8"/>
    </row>
    <row r="486" spans="1:29" ht="18" customHeight="1">
      <c r="A486" s="1">
        <f t="shared" si="8"/>
        <v>28</v>
      </c>
      <c r="B486" s="1">
        <v>242510393</v>
      </c>
      <c r="C486" s="32" t="s">
        <v>1375</v>
      </c>
      <c r="D486" s="33"/>
      <c r="E486" s="34"/>
      <c r="F486" s="35" t="s">
        <v>1</v>
      </c>
      <c r="G486" s="36"/>
      <c r="H486" s="36"/>
      <c r="I486" s="36"/>
      <c r="J486" s="36"/>
      <c r="K486" s="36"/>
      <c r="L486" s="36"/>
      <c r="M486" s="36"/>
      <c r="N486" s="3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8"/>
      <c r="AB486" s="8"/>
      <c r="AC486" s="8"/>
    </row>
    <row r="487" spans="1:29" ht="18" customHeight="1">
      <c r="A487" s="1">
        <f t="shared" si="8"/>
        <v>29</v>
      </c>
      <c r="B487" s="1">
        <v>242510322</v>
      </c>
      <c r="C487" s="32" t="s">
        <v>1377</v>
      </c>
      <c r="D487" s="33"/>
      <c r="E487" s="34"/>
      <c r="F487" s="35" t="s">
        <v>1</v>
      </c>
      <c r="G487" s="36"/>
      <c r="H487" s="36"/>
      <c r="I487" s="36"/>
      <c r="J487" s="36"/>
      <c r="K487" s="36"/>
      <c r="L487" s="36"/>
      <c r="M487" s="36"/>
      <c r="N487" s="3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8"/>
      <c r="AB487" s="8"/>
      <c r="AC487" s="8"/>
    </row>
    <row r="488" spans="1:29" ht="18" customHeight="1">
      <c r="A488" s="1">
        <f t="shared" si="8"/>
        <v>30</v>
      </c>
      <c r="B488" s="1">
        <v>242510032</v>
      </c>
      <c r="C488" s="32" t="s">
        <v>1380</v>
      </c>
      <c r="D488" s="33"/>
      <c r="E488" s="34"/>
      <c r="F488" s="35" t="s">
        <v>3</v>
      </c>
      <c r="G488" s="36"/>
      <c r="H488" s="36"/>
      <c r="I488" s="36"/>
      <c r="J488" s="36"/>
      <c r="K488" s="36"/>
      <c r="L488" s="36"/>
      <c r="M488" s="36"/>
      <c r="N488" s="3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8"/>
      <c r="AB488" s="8"/>
      <c r="AC488" s="8"/>
    </row>
    <row r="489" spans="1:29" ht="18" customHeight="1">
      <c r="A489" s="1">
        <f t="shared" si="8"/>
        <v>31</v>
      </c>
      <c r="B489" s="1">
        <v>242510140</v>
      </c>
      <c r="C489" s="32" t="s">
        <v>1383</v>
      </c>
      <c r="D489" s="33"/>
      <c r="E489" s="34"/>
      <c r="F489" s="35" t="s">
        <v>3</v>
      </c>
      <c r="G489" s="36"/>
      <c r="H489" s="36"/>
      <c r="I489" s="36"/>
      <c r="J489" s="36"/>
      <c r="K489" s="36"/>
      <c r="L489" s="36"/>
      <c r="M489" s="36"/>
      <c r="N489" s="3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8"/>
      <c r="AB489" s="8"/>
      <c r="AC489" s="8"/>
    </row>
    <row r="490" spans="1:29" ht="18" customHeight="1">
      <c r="A490" s="1">
        <f t="shared" si="8"/>
        <v>32</v>
      </c>
      <c r="B490" s="1">
        <v>242510288</v>
      </c>
      <c r="C490" s="32" t="s">
        <v>1386</v>
      </c>
      <c r="D490" s="33"/>
      <c r="E490" s="34"/>
      <c r="F490" s="35" t="s">
        <v>3</v>
      </c>
      <c r="G490" s="36"/>
      <c r="H490" s="36"/>
      <c r="I490" s="36"/>
      <c r="J490" s="36"/>
      <c r="K490" s="36"/>
      <c r="L490" s="36"/>
      <c r="M490" s="36"/>
      <c r="N490" s="3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8"/>
      <c r="AB490" s="8"/>
      <c r="AC490" s="8"/>
    </row>
    <row r="491" spans="1:29" ht="18" customHeight="1">
      <c r="A491" s="1">
        <f t="shared" si="8"/>
        <v>33</v>
      </c>
      <c r="B491" s="1">
        <v>242510179</v>
      </c>
      <c r="C491" s="32" t="s">
        <v>1389</v>
      </c>
      <c r="D491" s="33"/>
      <c r="E491" s="34"/>
      <c r="F491" s="35" t="s">
        <v>3</v>
      </c>
      <c r="G491" s="36"/>
      <c r="H491" s="36"/>
      <c r="I491" s="36"/>
      <c r="J491" s="36"/>
      <c r="K491" s="36"/>
      <c r="L491" s="36"/>
      <c r="M491" s="36"/>
      <c r="N491" s="3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8"/>
      <c r="AB491" s="8"/>
      <c r="AC491" s="8"/>
    </row>
    <row r="492" spans="1:29" ht="18" customHeight="1">
      <c r="A492" s="1">
        <f t="shared" si="8"/>
        <v>34</v>
      </c>
      <c r="B492" s="1">
        <v>242510214</v>
      </c>
      <c r="C492" s="32" t="s">
        <v>1392</v>
      </c>
      <c r="D492" s="33"/>
      <c r="E492" s="34"/>
      <c r="F492" s="35" t="s">
        <v>3</v>
      </c>
      <c r="G492" s="36"/>
      <c r="H492" s="36"/>
      <c r="I492" s="36"/>
      <c r="J492" s="36"/>
      <c r="K492" s="36"/>
      <c r="L492" s="36"/>
      <c r="M492" s="36"/>
      <c r="N492" s="3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8"/>
      <c r="AB492" s="8"/>
      <c r="AC492" s="8"/>
    </row>
    <row r="493" spans="1:29" ht="18" customHeight="1" thickBot="1">
      <c r="A493" s="1">
        <f t="shared" si="8"/>
        <v>35</v>
      </c>
      <c r="B493" s="1">
        <v>242510326</v>
      </c>
      <c r="C493" s="32" t="s">
        <v>1396</v>
      </c>
      <c r="D493" s="33"/>
      <c r="E493" s="34"/>
      <c r="F493" s="224" t="s">
        <v>1</v>
      </c>
      <c r="G493" s="135"/>
      <c r="H493" s="36"/>
      <c r="I493" s="36"/>
      <c r="J493" s="36"/>
      <c r="K493" s="36"/>
      <c r="L493" s="36"/>
      <c r="M493" s="36"/>
      <c r="N493" s="3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8"/>
      <c r="AB493" s="8"/>
      <c r="AC493" s="8"/>
    </row>
    <row r="494" spans="1:29" ht="15.8" customHeight="1">
      <c r="A494" s="79"/>
      <c r="B494" s="79"/>
      <c r="C494" s="20"/>
      <c r="D494" s="20"/>
      <c r="E494" s="20"/>
      <c r="F494" s="257" t="s">
        <v>1</v>
      </c>
      <c r="G494" s="247">
        <f>COUNTIF(F459:F493,"L")</f>
        <v>12</v>
      </c>
      <c r="H494" s="20"/>
      <c r="I494" s="20"/>
      <c r="J494" s="20"/>
      <c r="K494" s="20"/>
      <c r="L494" s="20"/>
      <c r="M494" s="20"/>
      <c r="N494" s="20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8"/>
      <c r="AB494" s="8"/>
      <c r="AC494" s="8"/>
    </row>
    <row r="495" spans="1:29" ht="15.8" customHeight="1" thickBot="1">
      <c r="A495" s="79"/>
      <c r="B495" s="79"/>
      <c r="C495" s="6"/>
      <c r="D495" s="20"/>
      <c r="E495" s="20"/>
      <c r="F495" s="248" t="s">
        <v>3</v>
      </c>
      <c r="G495" s="249">
        <f>COUNTIF(F459:F493,"P")</f>
        <v>23</v>
      </c>
      <c r="H495" s="20"/>
      <c r="I495" s="20"/>
      <c r="J495" s="20"/>
      <c r="K495" s="20"/>
      <c r="L495" s="20"/>
      <c r="M495" s="20"/>
      <c r="N495" s="20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8"/>
      <c r="AB495" s="8"/>
      <c r="AC495" s="8"/>
    </row>
    <row r="496" spans="1:29" ht="15.8" customHeight="1" thickBot="1">
      <c r="A496" s="79"/>
      <c r="B496" s="79"/>
      <c r="C496" s="6"/>
      <c r="D496" s="20"/>
      <c r="E496" s="20"/>
      <c r="F496" s="250" t="s">
        <v>251</v>
      </c>
      <c r="G496" s="251">
        <f>SUM(G494:G495)</f>
        <v>35</v>
      </c>
      <c r="H496" s="20"/>
      <c r="I496" s="20"/>
      <c r="J496" s="20"/>
      <c r="K496" s="20"/>
      <c r="L496" s="20"/>
      <c r="M496" s="20"/>
      <c r="N496" s="20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8"/>
      <c r="AB496" s="8"/>
      <c r="AC496" s="8"/>
    </row>
    <row r="497" spans="1:29" ht="15.8" customHeight="1">
      <c r="A497" s="20" t="s">
        <v>275</v>
      </c>
      <c r="B497" s="6"/>
      <c r="C497" s="20"/>
      <c r="D497" s="20"/>
      <c r="E497" s="20"/>
      <c r="F497" s="94"/>
      <c r="G497" s="6"/>
      <c r="H497" s="6"/>
      <c r="I497" s="82" t="s">
        <v>254</v>
      </c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8"/>
      <c r="AB497" s="8"/>
      <c r="AC497" s="8"/>
    </row>
    <row r="498" spans="1:29" ht="15.8" customHeight="1">
      <c r="A498" s="20" t="s">
        <v>280</v>
      </c>
      <c r="B498" s="6"/>
      <c r="C498" s="20"/>
      <c r="D498" s="20"/>
      <c r="E498" s="20" t="s">
        <v>281</v>
      </c>
      <c r="F498" s="94"/>
      <c r="G498" s="6"/>
      <c r="H498" s="6"/>
      <c r="I498" s="6" t="s">
        <v>256</v>
      </c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8"/>
      <c r="AB498" s="8"/>
      <c r="AC498" s="8"/>
    </row>
    <row r="499" spans="1:29" ht="15.8" customHeight="1">
      <c r="A499" s="20"/>
      <c r="B499" s="6"/>
      <c r="C499" s="20"/>
      <c r="D499" s="20"/>
      <c r="E499" s="20"/>
      <c r="F499" s="79"/>
      <c r="G499" s="20"/>
      <c r="H499" s="20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8"/>
      <c r="AB499" s="8"/>
      <c r="AC499" s="8"/>
    </row>
    <row r="500" spans="1:29" ht="15.8" customHeight="1">
      <c r="A500" s="20"/>
      <c r="B500" s="6"/>
      <c r="C500" s="20"/>
      <c r="D500" s="20"/>
      <c r="E500" s="20"/>
      <c r="F500" s="79"/>
      <c r="G500" s="20"/>
      <c r="H500" s="20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8"/>
      <c r="AB500" s="8"/>
      <c r="AC500" s="8"/>
    </row>
    <row r="501" spans="1:29" ht="15.8" customHeight="1">
      <c r="A501" s="24" t="s">
        <v>1418</v>
      </c>
      <c r="B501" s="6"/>
      <c r="C501" s="6"/>
      <c r="D501" s="6"/>
      <c r="E501" s="86" t="s">
        <v>1421</v>
      </c>
      <c r="F501" s="94"/>
      <c r="G501" s="6"/>
      <c r="H501" s="20"/>
      <c r="I501" s="87"/>
      <c r="J501" s="87"/>
      <c r="K501" s="87"/>
      <c r="L501" s="87"/>
      <c r="M501" s="87"/>
      <c r="N501" s="87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8"/>
      <c r="AB501" s="8"/>
      <c r="AC501" s="8"/>
    </row>
    <row r="502" spans="1:29" ht="15.8" customHeight="1">
      <c r="A502" s="41" t="s">
        <v>1422</v>
      </c>
      <c r="B502" s="41"/>
      <c r="C502" s="20"/>
      <c r="D502" s="20"/>
      <c r="E502" s="20" t="s">
        <v>1424</v>
      </c>
      <c r="F502" s="79"/>
      <c r="G502" s="20"/>
      <c r="H502" s="20" t="s">
        <v>266</v>
      </c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8"/>
      <c r="AB502" s="8"/>
      <c r="AC502" s="8"/>
    </row>
    <row r="503" spans="1:29" ht="15.8" customHeight="1">
      <c r="A503" s="43"/>
      <c r="B503" s="44"/>
      <c r="C503" s="44"/>
      <c r="D503" s="44"/>
      <c r="E503" s="44"/>
      <c r="F503" s="45"/>
      <c r="G503" s="46"/>
      <c r="H503" s="46"/>
      <c r="I503" s="44"/>
      <c r="J503" s="44"/>
      <c r="K503" s="44"/>
      <c r="L503" s="44"/>
      <c r="M503" s="44"/>
      <c r="N503" s="44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8"/>
      <c r="AB503" s="8"/>
      <c r="AC503" s="8"/>
    </row>
    <row r="504" spans="1:29" ht="19.55" customHeight="1">
      <c r="A504" s="16" t="s">
        <v>79</v>
      </c>
      <c r="B504" s="16"/>
      <c r="C504" s="4" t="s">
        <v>1428</v>
      </c>
      <c r="D504" s="16"/>
      <c r="E504" s="22"/>
      <c r="F504" s="23"/>
      <c r="G504" s="17"/>
      <c r="H504" s="19" t="s">
        <v>82</v>
      </c>
      <c r="I504" s="17"/>
      <c r="J504" s="17"/>
      <c r="K504" s="17"/>
      <c r="L504" s="17"/>
      <c r="M504" s="20"/>
      <c r="N504" s="20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8"/>
      <c r="AB504" s="8"/>
      <c r="AC504" s="8"/>
    </row>
    <row r="505" spans="1:29" ht="9" customHeight="1">
      <c r="A505" s="20"/>
      <c r="B505" s="24"/>
      <c r="C505" s="24"/>
      <c r="D505" s="24"/>
      <c r="E505" s="25"/>
      <c r="F505" s="14"/>
      <c r="G505" s="20"/>
      <c r="H505" s="26"/>
      <c r="I505" s="27"/>
      <c r="J505" s="27"/>
      <c r="K505" s="27"/>
      <c r="L505" s="27"/>
      <c r="M505" s="27"/>
      <c r="N505" s="27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8"/>
      <c r="AB505" s="8"/>
      <c r="AC505" s="8"/>
    </row>
    <row r="506" spans="1:29" ht="15.8" customHeight="1">
      <c r="A506" s="176" t="s">
        <v>84</v>
      </c>
      <c r="B506" s="177"/>
      <c r="C506" s="178" t="s">
        <v>85</v>
      </c>
      <c r="D506" s="179"/>
      <c r="E506" s="180"/>
      <c r="F506" s="184" t="s">
        <v>86</v>
      </c>
      <c r="G506" s="176" t="s">
        <v>87</v>
      </c>
      <c r="H506" s="186"/>
      <c r="I506" s="186"/>
      <c r="J506" s="186"/>
      <c r="K506" s="186"/>
      <c r="L506" s="186"/>
      <c r="M506" s="177"/>
      <c r="N506" s="184" t="s">
        <v>88</v>
      </c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8"/>
      <c r="AB506" s="8"/>
      <c r="AC506" s="8"/>
    </row>
    <row r="507" spans="1:29" ht="15.8" customHeight="1">
      <c r="A507" s="28" t="s">
        <v>90</v>
      </c>
      <c r="B507" s="28" t="s">
        <v>91</v>
      </c>
      <c r="C507" s="181"/>
      <c r="D507" s="182"/>
      <c r="E507" s="183"/>
      <c r="F507" s="185"/>
      <c r="G507" s="28"/>
      <c r="H507" s="28"/>
      <c r="I507" s="28"/>
      <c r="J507" s="28"/>
      <c r="K507" s="28"/>
      <c r="L507" s="28"/>
      <c r="M507" s="28"/>
      <c r="N507" s="185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8"/>
      <c r="AB507" s="8"/>
      <c r="AC507" s="8"/>
    </row>
    <row r="508" spans="1:29" ht="18" customHeight="1">
      <c r="A508" s="1">
        <v>1</v>
      </c>
      <c r="B508" s="1">
        <v>242510038</v>
      </c>
      <c r="C508" s="32" t="s">
        <v>1436</v>
      </c>
      <c r="D508" s="33"/>
      <c r="E508" s="34"/>
      <c r="F508" s="35" t="s">
        <v>3</v>
      </c>
      <c r="G508" s="36"/>
      <c r="H508" s="36"/>
      <c r="I508" s="36"/>
      <c r="J508" s="36"/>
      <c r="K508" s="36"/>
      <c r="L508" s="36"/>
      <c r="M508" s="36"/>
      <c r="N508" s="3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8"/>
      <c r="AB508" s="8"/>
      <c r="AC508" s="8"/>
    </row>
    <row r="509" spans="1:29" ht="18" customHeight="1">
      <c r="A509" s="1">
        <f t="shared" ref="A509:A542" si="9">A508+1</f>
        <v>2</v>
      </c>
      <c r="B509" s="1">
        <v>242510147</v>
      </c>
      <c r="C509" s="32" t="s">
        <v>1439</v>
      </c>
      <c r="D509" s="33"/>
      <c r="E509" s="34"/>
      <c r="F509" s="35" t="s">
        <v>1</v>
      </c>
      <c r="G509" s="36"/>
      <c r="H509" s="36"/>
      <c r="I509" s="36"/>
      <c r="J509" s="36"/>
      <c r="K509" s="36"/>
      <c r="L509" s="36"/>
      <c r="M509" s="36"/>
      <c r="N509" s="3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8"/>
      <c r="AB509" s="8"/>
      <c r="AC509" s="8"/>
    </row>
    <row r="510" spans="1:29" ht="18" customHeight="1">
      <c r="A510" s="1">
        <f t="shared" si="9"/>
        <v>3</v>
      </c>
      <c r="B510" s="1">
        <v>242510366</v>
      </c>
      <c r="C510" s="32" t="s">
        <v>1442</v>
      </c>
      <c r="D510" s="33"/>
      <c r="E510" s="34"/>
      <c r="F510" s="35" t="s">
        <v>3</v>
      </c>
      <c r="G510" s="36"/>
      <c r="H510" s="36"/>
      <c r="I510" s="36"/>
      <c r="J510" s="36"/>
      <c r="K510" s="36"/>
      <c r="L510" s="36"/>
      <c r="M510" s="36"/>
      <c r="N510" s="3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8"/>
      <c r="AB510" s="8"/>
      <c r="AC510" s="8"/>
    </row>
    <row r="511" spans="1:29" ht="18" customHeight="1">
      <c r="A511" s="1">
        <f t="shared" si="9"/>
        <v>4</v>
      </c>
      <c r="B511" s="1">
        <v>242510119</v>
      </c>
      <c r="C511" s="32" t="s">
        <v>1445</v>
      </c>
      <c r="D511" s="33"/>
      <c r="E511" s="34"/>
      <c r="F511" s="35" t="s">
        <v>3</v>
      </c>
      <c r="G511" s="36"/>
      <c r="H511" s="36"/>
      <c r="I511" s="36"/>
      <c r="J511" s="36"/>
      <c r="K511" s="36"/>
      <c r="L511" s="36"/>
      <c r="M511" s="36"/>
      <c r="N511" s="3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8"/>
      <c r="AB511" s="8"/>
      <c r="AC511" s="8"/>
    </row>
    <row r="512" spans="1:29" ht="18" customHeight="1">
      <c r="A512" s="1">
        <f t="shared" si="9"/>
        <v>5</v>
      </c>
      <c r="B512" s="1">
        <v>242510334</v>
      </c>
      <c r="C512" s="32" t="s">
        <v>1448</v>
      </c>
      <c r="D512" s="33"/>
      <c r="E512" s="34"/>
      <c r="F512" s="35" t="s">
        <v>3</v>
      </c>
      <c r="G512" s="36"/>
      <c r="H512" s="36"/>
      <c r="I512" s="36"/>
      <c r="J512" s="36"/>
      <c r="K512" s="36"/>
      <c r="L512" s="36"/>
      <c r="M512" s="36"/>
      <c r="N512" s="3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8"/>
      <c r="AB512" s="8"/>
      <c r="AC512" s="8"/>
    </row>
    <row r="513" spans="1:29" ht="18" customHeight="1">
      <c r="A513" s="1">
        <f t="shared" si="9"/>
        <v>6</v>
      </c>
      <c r="B513" s="1">
        <v>242510228</v>
      </c>
      <c r="C513" s="32" t="s">
        <v>1451</v>
      </c>
      <c r="D513" s="33"/>
      <c r="E513" s="34"/>
      <c r="F513" s="35" t="s">
        <v>1</v>
      </c>
      <c r="G513" s="36"/>
      <c r="H513" s="36"/>
      <c r="I513" s="36"/>
      <c r="J513" s="36"/>
      <c r="K513" s="36"/>
      <c r="L513" s="36"/>
      <c r="M513" s="36"/>
      <c r="N513" s="3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8"/>
      <c r="AB513" s="8"/>
      <c r="AC513" s="8"/>
    </row>
    <row r="514" spans="1:29" ht="18" customHeight="1">
      <c r="A514" s="1">
        <f t="shared" si="9"/>
        <v>7</v>
      </c>
      <c r="B514" s="1">
        <v>242510335</v>
      </c>
      <c r="C514" s="32" t="s">
        <v>1453</v>
      </c>
      <c r="D514" s="33"/>
      <c r="E514" s="34"/>
      <c r="F514" s="35" t="s">
        <v>1</v>
      </c>
      <c r="G514" s="36"/>
      <c r="H514" s="36"/>
      <c r="I514" s="36"/>
      <c r="J514" s="36"/>
      <c r="K514" s="36"/>
      <c r="L514" s="36"/>
      <c r="M514" s="36"/>
      <c r="N514" s="3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8"/>
      <c r="AB514" s="8"/>
      <c r="AC514" s="8"/>
    </row>
    <row r="515" spans="1:29" ht="18" customHeight="1">
      <c r="A515" s="1">
        <f t="shared" si="9"/>
        <v>8</v>
      </c>
      <c r="B515" s="1">
        <v>242510048</v>
      </c>
      <c r="C515" s="32" t="s">
        <v>1455</v>
      </c>
      <c r="D515" s="33"/>
      <c r="E515" s="34"/>
      <c r="F515" s="35" t="s">
        <v>1</v>
      </c>
      <c r="G515" s="36"/>
      <c r="H515" s="36"/>
      <c r="I515" s="36"/>
      <c r="J515" s="36"/>
      <c r="K515" s="36"/>
      <c r="L515" s="36"/>
      <c r="M515" s="36"/>
      <c r="N515" s="3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8"/>
      <c r="AB515" s="8"/>
      <c r="AC515" s="8"/>
    </row>
    <row r="516" spans="1:29" ht="18" customHeight="1">
      <c r="A516" s="1">
        <f t="shared" si="9"/>
        <v>9</v>
      </c>
      <c r="B516" s="1">
        <v>242510193</v>
      </c>
      <c r="C516" s="32" t="s">
        <v>1456</v>
      </c>
      <c r="D516" s="33"/>
      <c r="E516" s="34"/>
      <c r="F516" s="35" t="s">
        <v>1</v>
      </c>
      <c r="G516" s="36"/>
      <c r="H516" s="36"/>
      <c r="I516" s="36"/>
      <c r="J516" s="36"/>
      <c r="K516" s="36"/>
      <c r="L516" s="36"/>
      <c r="M516" s="36"/>
      <c r="N516" s="3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8"/>
      <c r="AB516" s="8"/>
      <c r="AC516" s="8"/>
    </row>
    <row r="517" spans="1:29" ht="18" customHeight="1">
      <c r="A517" s="1">
        <f t="shared" si="9"/>
        <v>10</v>
      </c>
      <c r="B517" s="1">
        <v>242510264</v>
      </c>
      <c r="C517" s="32" t="s">
        <v>1458</v>
      </c>
      <c r="D517" s="33"/>
      <c r="E517" s="34"/>
      <c r="F517" s="35" t="s">
        <v>1</v>
      </c>
      <c r="G517" s="36"/>
      <c r="H517" s="36"/>
      <c r="I517" s="36"/>
      <c r="J517" s="36"/>
      <c r="K517" s="36"/>
      <c r="L517" s="36"/>
      <c r="M517" s="36"/>
      <c r="N517" s="3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8"/>
      <c r="AB517" s="8"/>
      <c r="AC517" s="8"/>
    </row>
    <row r="518" spans="1:29" ht="18" customHeight="1">
      <c r="A518" s="1">
        <f t="shared" si="9"/>
        <v>11</v>
      </c>
      <c r="B518" s="1">
        <v>242510306</v>
      </c>
      <c r="C518" s="32" t="s">
        <v>1460</v>
      </c>
      <c r="D518" s="33"/>
      <c r="E518" s="34"/>
      <c r="F518" s="35" t="s">
        <v>1</v>
      </c>
      <c r="G518" s="36"/>
      <c r="H518" s="36"/>
      <c r="I518" s="36"/>
      <c r="J518" s="36"/>
      <c r="K518" s="36"/>
      <c r="L518" s="36"/>
      <c r="M518" s="36"/>
      <c r="N518" s="3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8"/>
      <c r="AB518" s="8"/>
      <c r="AC518" s="8"/>
    </row>
    <row r="519" spans="1:29" ht="18" customHeight="1">
      <c r="A519" s="1">
        <f t="shared" si="9"/>
        <v>12</v>
      </c>
      <c r="B519" s="1">
        <v>242510375</v>
      </c>
      <c r="C519" s="32" t="s">
        <v>1462</v>
      </c>
      <c r="D519" s="33"/>
      <c r="E519" s="34"/>
      <c r="F519" s="35" t="s">
        <v>3</v>
      </c>
      <c r="G519" s="36"/>
      <c r="H519" s="36"/>
      <c r="I519" s="36"/>
      <c r="J519" s="36"/>
      <c r="K519" s="36"/>
      <c r="L519" s="36"/>
      <c r="M519" s="36"/>
      <c r="N519" s="3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8"/>
      <c r="AB519" s="8"/>
      <c r="AC519" s="8"/>
    </row>
    <row r="520" spans="1:29" ht="18" customHeight="1">
      <c r="A520" s="1">
        <f t="shared" si="9"/>
        <v>13</v>
      </c>
      <c r="B520" s="1">
        <v>242510376</v>
      </c>
      <c r="C520" s="32" t="s">
        <v>1464</v>
      </c>
      <c r="D520" s="33"/>
      <c r="E520" s="34"/>
      <c r="F520" s="35" t="s">
        <v>3</v>
      </c>
      <c r="G520" s="36"/>
      <c r="H520" s="36"/>
      <c r="I520" s="36"/>
      <c r="J520" s="36"/>
      <c r="K520" s="36"/>
      <c r="L520" s="36"/>
      <c r="M520" s="36"/>
      <c r="N520" s="3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8"/>
      <c r="AB520" s="8"/>
      <c r="AC520" s="8"/>
    </row>
    <row r="521" spans="1:29" ht="18" customHeight="1">
      <c r="A521" s="1">
        <f t="shared" si="9"/>
        <v>14</v>
      </c>
      <c r="B521" s="1">
        <v>242510377</v>
      </c>
      <c r="C521" s="32" t="s">
        <v>1466</v>
      </c>
      <c r="D521" s="33"/>
      <c r="E521" s="34"/>
      <c r="F521" s="35" t="s">
        <v>3</v>
      </c>
      <c r="G521" s="36"/>
      <c r="H521" s="36"/>
      <c r="I521" s="36"/>
      <c r="J521" s="36"/>
      <c r="K521" s="36"/>
      <c r="L521" s="36"/>
      <c r="M521" s="36"/>
      <c r="N521" s="3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8"/>
      <c r="AB521" s="8"/>
      <c r="AC521" s="8"/>
    </row>
    <row r="522" spans="1:29" ht="18" customHeight="1">
      <c r="A522" s="1">
        <f t="shared" si="9"/>
        <v>15</v>
      </c>
      <c r="B522" s="1">
        <v>242510014</v>
      </c>
      <c r="C522" s="117" t="s">
        <v>1468</v>
      </c>
      <c r="D522" s="33"/>
      <c r="E522" s="34"/>
      <c r="F522" s="35" t="s">
        <v>3</v>
      </c>
      <c r="G522" s="36"/>
      <c r="H522" s="36"/>
      <c r="I522" s="36"/>
      <c r="J522" s="36"/>
      <c r="K522" s="36"/>
      <c r="L522" s="36"/>
      <c r="M522" s="36"/>
      <c r="N522" s="3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8"/>
      <c r="AB522" s="8"/>
      <c r="AC522" s="8"/>
    </row>
    <row r="523" spans="1:29" ht="18" customHeight="1">
      <c r="A523" s="1">
        <f t="shared" si="9"/>
        <v>16</v>
      </c>
      <c r="B523" s="1">
        <v>242510378</v>
      </c>
      <c r="C523" s="32" t="s">
        <v>1470</v>
      </c>
      <c r="D523" s="33"/>
      <c r="E523" s="34"/>
      <c r="F523" s="35" t="s">
        <v>3</v>
      </c>
      <c r="G523" s="36"/>
      <c r="H523" s="36"/>
      <c r="I523" s="36"/>
      <c r="J523" s="36"/>
      <c r="K523" s="36"/>
      <c r="L523" s="36"/>
      <c r="M523" s="36"/>
      <c r="N523" s="3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8"/>
      <c r="AB523" s="8"/>
      <c r="AC523" s="8"/>
    </row>
    <row r="524" spans="1:29" ht="18" customHeight="1">
      <c r="A524" s="1">
        <f t="shared" si="9"/>
        <v>17</v>
      </c>
      <c r="B524" s="1">
        <v>242510341</v>
      </c>
      <c r="C524" s="32" t="s">
        <v>1472</v>
      </c>
      <c r="D524" s="33"/>
      <c r="E524" s="34"/>
      <c r="F524" s="35" t="s">
        <v>3</v>
      </c>
      <c r="G524" s="36"/>
      <c r="H524" s="36"/>
      <c r="I524" s="36"/>
      <c r="J524" s="36"/>
      <c r="K524" s="36"/>
      <c r="L524" s="36"/>
      <c r="M524" s="36"/>
      <c r="N524" s="3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8"/>
      <c r="AB524" s="8"/>
      <c r="AC524" s="8"/>
    </row>
    <row r="525" spans="1:29" ht="18" customHeight="1">
      <c r="A525" s="1">
        <f t="shared" si="9"/>
        <v>18</v>
      </c>
      <c r="B525" s="1">
        <v>242510311</v>
      </c>
      <c r="C525" s="32" t="s">
        <v>1474</v>
      </c>
      <c r="D525" s="33"/>
      <c r="E525" s="34"/>
      <c r="F525" s="35" t="s">
        <v>1</v>
      </c>
      <c r="G525" s="36"/>
      <c r="H525" s="36"/>
      <c r="I525" s="36"/>
      <c r="J525" s="36"/>
      <c r="K525" s="36"/>
      <c r="L525" s="36"/>
      <c r="M525" s="36"/>
      <c r="N525" s="3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8"/>
      <c r="AB525" s="8"/>
      <c r="AC525" s="8"/>
    </row>
    <row r="526" spans="1:29" ht="18" customHeight="1">
      <c r="A526" s="1">
        <f t="shared" si="9"/>
        <v>19</v>
      </c>
      <c r="B526" s="1">
        <v>242510129</v>
      </c>
      <c r="C526" s="32" t="s">
        <v>1476</v>
      </c>
      <c r="D526" s="33"/>
      <c r="E526" s="34"/>
      <c r="F526" s="35" t="s">
        <v>3</v>
      </c>
      <c r="G526" s="36"/>
      <c r="H526" s="36"/>
      <c r="I526" s="36"/>
      <c r="J526" s="36"/>
      <c r="K526" s="36"/>
      <c r="L526" s="36"/>
      <c r="M526" s="36"/>
      <c r="N526" s="1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8"/>
      <c r="AB526" s="8"/>
      <c r="AC526" s="8"/>
    </row>
    <row r="527" spans="1:29" ht="18" customHeight="1">
      <c r="A527" s="1">
        <f t="shared" si="9"/>
        <v>20</v>
      </c>
      <c r="B527" s="1">
        <v>242510271</v>
      </c>
      <c r="C527" s="32" t="s">
        <v>1479</v>
      </c>
      <c r="D527" s="33"/>
      <c r="E527" s="34"/>
      <c r="F527" s="35" t="s">
        <v>3</v>
      </c>
      <c r="G527" s="36"/>
      <c r="H527" s="36"/>
      <c r="I527" s="36"/>
      <c r="J527" s="36"/>
      <c r="K527" s="36"/>
      <c r="L527" s="36"/>
      <c r="M527" s="36"/>
      <c r="N527" s="3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8"/>
      <c r="AB527" s="8"/>
      <c r="AC527" s="8"/>
    </row>
    <row r="528" spans="1:29" ht="18" customHeight="1">
      <c r="A528" s="1">
        <f t="shared" si="9"/>
        <v>21</v>
      </c>
      <c r="B528" s="1">
        <v>242510167</v>
      </c>
      <c r="C528" s="32" t="s">
        <v>1481</v>
      </c>
      <c r="D528" s="33"/>
      <c r="E528" s="34"/>
      <c r="F528" s="35" t="s">
        <v>1</v>
      </c>
      <c r="G528" s="36"/>
      <c r="H528" s="36"/>
      <c r="I528" s="36"/>
      <c r="J528" s="36"/>
      <c r="K528" s="36"/>
      <c r="L528" s="36"/>
      <c r="M528" s="36"/>
      <c r="N528" s="3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8"/>
      <c r="AB528" s="8"/>
      <c r="AC528" s="8"/>
    </row>
    <row r="529" spans="1:29" ht="18" customHeight="1">
      <c r="A529" s="1">
        <f t="shared" si="9"/>
        <v>22</v>
      </c>
      <c r="B529" s="1">
        <v>242510059</v>
      </c>
      <c r="C529" s="32" t="s">
        <v>1484</v>
      </c>
      <c r="D529" s="33"/>
      <c r="E529" s="34"/>
      <c r="F529" s="35" t="s">
        <v>1</v>
      </c>
      <c r="G529" s="36"/>
      <c r="H529" s="36"/>
      <c r="I529" s="36"/>
      <c r="J529" s="36"/>
      <c r="K529" s="36"/>
      <c r="L529" s="36"/>
      <c r="M529" s="36"/>
      <c r="N529" s="3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8"/>
      <c r="AB529" s="8"/>
      <c r="AC529" s="8"/>
    </row>
    <row r="530" spans="1:29" ht="18" customHeight="1">
      <c r="A530" s="1">
        <f t="shared" si="9"/>
        <v>23</v>
      </c>
      <c r="B530" s="1">
        <v>242510132</v>
      </c>
      <c r="C530" s="32" t="s">
        <v>1486</v>
      </c>
      <c r="D530" s="33"/>
      <c r="E530" s="34"/>
      <c r="F530" s="35" t="s">
        <v>1</v>
      </c>
      <c r="G530" s="36"/>
      <c r="H530" s="36"/>
      <c r="I530" s="36"/>
      <c r="J530" s="36"/>
      <c r="K530" s="36"/>
      <c r="L530" s="36"/>
      <c r="M530" s="36"/>
      <c r="N530" s="3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8"/>
      <c r="AB530" s="8"/>
      <c r="AC530" s="8"/>
    </row>
    <row r="531" spans="1:29" ht="18" customHeight="1">
      <c r="A531" s="1">
        <f t="shared" si="9"/>
        <v>24</v>
      </c>
      <c r="B531" s="1">
        <v>242510385</v>
      </c>
      <c r="C531" s="32" t="s">
        <v>1487</v>
      </c>
      <c r="D531" s="33"/>
      <c r="E531" s="34"/>
      <c r="F531" s="35" t="s">
        <v>1</v>
      </c>
      <c r="G531" s="36"/>
      <c r="H531" s="36"/>
      <c r="I531" s="36"/>
      <c r="J531" s="36"/>
      <c r="K531" s="36"/>
      <c r="L531" s="36"/>
      <c r="M531" s="36"/>
      <c r="N531" s="3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8"/>
      <c r="AB531" s="8"/>
      <c r="AC531" s="8"/>
    </row>
    <row r="532" spans="1:29" ht="18" customHeight="1">
      <c r="A532" s="1">
        <f t="shared" si="9"/>
        <v>25</v>
      </c>
      <c r="B532" s="1">
        <v>242510387</v>
      </c>
      <c r="C532" s="32" t="s">
        <v>1489</v>
      </c>
      <c r="D532" s="33"/>
      <c r="E532" s="34"/>
      <c r="F532" s="35" t="s">
        <v>3</v>
      </c>
      <c r="G532" s="36"/>
      <c r="H532" s="36"/>
      <c r="I532" s="36"/>
      <c r="J532" s="36"/>
      <c r="K532" s="36"/>
      <c r="L532" s="36"/>
      <c r="M532" s="36"/>
      <c r="N532" s="3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8"/>
      <c r="AB532" s="8"/>
      <c r="AC532" s="8"/>
    </row>
    <row r="533" spans="1:29" ht="18" customHeight="1">
      <c r="A533" s="1">
        <f t="shared" si="9"/>
        <v>26</v>
      </c>
      <c r="B533" s="1">
        <v>242510063</v>
      </c>
      <c r="C533" s="32" t="s">
        <v>1492</v>
      </c>
      <c r="D533" s="33"/>
      <c r="E533" s="34"/>
      <c r="F533" s="35" t="s">
        <v>3</v>
      </c>
      <c r="G533" s="36"/>
      <c r="H533" s="36"/>
      <c r="I533" s="36"/>
      <c r="J533" s="36"/>
      <c r="K533" s="36"/>
      <c r="L533" s="36"/>
      <c r="M533" s="36"/>
      <c r="N533" s="3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8"/>
      <c r="AB533" s="8"/>
      <c r="AC533" s="8"/>
    </row>
    <row r="534" spans="1:29" ht="18" customHeight="1">
      <c r="A534" s="1">
        <f t="shared" si="9"/>
        <v>27</v>
      </c>
      <c r="B534" s="1">
        <v>242510243</v>
      </c>
      <c r="C534" s="32" t="s">
        <v>1494</v>
      </c>
      <c r="D534" s="33"/>
      <c r="E534" s="34"/>
      <c r="F534" s="35" t="s">
        <v>3</v>
      </c>
      <c r="G534" s="36"/>
      <c r="H534" s="36"/>
      <c r="I534" s="36"/>
      <c r="J534" s="36"/>
      <c r="K534" s="36"/>
      <c r="L534" s="36"/>
      <c r="M534" s="36"/>
      <c r="N534" s="3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8"/>
      <c r="AB534" s="8"/>
      <c r="AC534" s="8"/>
    </row>
    <row r="535" spans="1:29" ht="18" customHeight="1">
      <c r="A535" s="1">
        <f t="shared" si="9"/>
        <v>28</v>
      </c>
      <c r="B535" s="1">
        <v>242510278</v>
      </c>
      <c r="C535" s="32" t="s">
        <v>1496</v>
      </c>
      <c r="D535" s="33"/>
      <c r="E535" s="34"/>
      <c r="F535" s="35" t="s">
        <v>3</v>
      </c>
      <c r="G535" s="36"/>
      <c r="H535" s="36"/>
      <c r="I535" s="36"/>
      <c r="J535" s="36"/>
      <c r="K535" s="36"/>
      <c r="L535" s="36"/>
      <c r="M535" s="36"/>
      <c r="N535" s="3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8"/>
      <c r="AB535" s="8"/>
      <c r="AC535" s="8"/>
    </row>
    <row r="536" spans="1:29" ht="18" customHeight="1">
      <c r="A536" s="1">
        <f t="shared" si="9"/>
        <v>29</v>
      </c>
      <c r="B536" s="1">
        <v>242510066</v>
      </c>
      <c r="C536" s="32" t="s">
        <v>1498</v>
      </c>
      <c r="D536" s="33"/>
      <c r="E536" s="34"/>
      <c r="F536" s="35" t="s">
        <v>3</v>
      </c>
      <c r="G536" s="36"/>
      <c r="H536" s="36"/>
      <c r="I536" s="36"/>
      <c r="J536" s="36"/>
      <c r="K536" s="36"/>
      <c r="L536" s="36"/>
      <c r="M536" s="36"/>
      <c r="N536" s="3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8"/>
      <c r="AB536" s="8"/>
      <c r="AC536" s="8"/>
    </row>
    <row r="537" spans="1:29" ht="18" customHeight="1">
      <c r="A537" s="1">
        <f t="shared" si="9"/>
        <v>30</v>
      </c>
      <c r="B537" s="1">
        <v>242510175</v>
      </c>
      <c r="C537" s="32" t="s">
        <v>1500</v>
      </c>
      <c r="D537" s="33"/>
      <c r="E537" s="34"/>
      <c r="F537" s="35" t="s">
        <v>1</v>
      </c>
      <c r="G537" s="36"/>
      <c r="H537" s="36"/>
      <c r="I537" s="36"/>
      <c r="J537" s="36"/>
      <c r="K537" s="36"/>
      <c r="L537" s="36"/>
      <c r="M537" s="36"/>
      <c r="N537" s="3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8"/>
      <c r="AB537" s="8"/>
      <c r="AC537" s="8"/>
    </row>
    <row r="538" spans="1:29" ht="18" customHeight="1">
      <c r="A538" s="1">
        <f t="shared" si="9"/>
        <v>31</v>
      </c>
      <c r="B538" s="1">
        <v>242510323</v>
      </c>
      <c r="C538" s="32" t="s">
        <v>1502</v>
      </c>
      <c r="D538" s="33"/>
      <c r="E538" s="34"/>
      <c r="F538" s="35" t="s">
        <v>1</v>
      </c>
      <c r="G538" s="36"/>
      <c r="H538" s="36"/>
      <c r="I538" s="36"/>
      <c r="J538" s="36"/>
      <c r="K538" s="36"/>
      <c r="L538" s="36"/>
      <c r="M538" s="36"/>
      <c r="N538" s="3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8"/>
      <c r="AB538" s="8"/>
      <c r="AC538" s="8"/>
    </row>
    <row r="539" spans="1:29" ht="18" customHeight="1">
      <c r="A539" s="1">
        <f t="shared" si="9"/>
        <v>32</v>
      </c>
      <c r="B539" s="1">
        <v>242510286</v>
      </c>
      <c r="C539" s="32" t="s">
        <v>1504</v>
      </c>
      <c r="D539" s="33"/>
      <c r="E539" s="34"/>
      <c r="F539" s="35" t="s">
        <v>3</v>
      </c>
      <c r="G539" s="36"/>
      <c r="H539" s="36"/>
      <c r="I539" s="36"/>
      <c r="J539" s="36"/>
      <c r="K539" s="36"/>
      <c r="L539" s="36"/>
      <c r="M539" s="36"/>
      <c r="N539" s="3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8"/>
      <c r="AB539" s="8"/>
      <c r="AC539" s="8"/>
    </row>
    <row r="540" spans="1:29" ht="18" customHeight="1">
      <c r="A540" s="1">
        <f t="shared" si="9"/>
        <v>33</v>
      </c>
      <c r="B540" s="1">
        <v>242510101</v>
      </c>
      <c r="C540" s="32" t="s">
        <v>1506</v>
      </c>
      <c r="D540" s="33"/>
      <c r="E540" s="34"/>
      <c r="F540" s="35" t="s">
        <v>1</v>
      </c>
      <c r="G540" s="36"/>
      <c r="H540" s="36"/>
      <c r="I540" s="36"/>
      <c r="J540" s="36"/>
      <c r="K540" s="36"/>
      <c r="L540" s="36"/>
      <c r="M540" s="36"/>
      <c r="N540" s="3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8"/>
      <c r="AB540" s="8"/>
      <c r="AC540" s="8"/>
    </row>
    <row r="541" spans="1:29" ht="18" customHeight="1">
      <c r="A541" s="1">
        <f t="shared" si="9"/>
        <v>34</v>
      </c>
      <c r="B541" s="1">
        <v>242510182</v>
      </c>
      <c r="C541" s="32" t="s">
        <v>1508</v>
      </c>
      <c r="D541" s="33"/>
      <c r="E541" s="34"/>
      <c r="F541" s="35" t="s">
        <v>3</v>
      </c>
      <c r="G541" s="36"/>
      <c r="H541" s="36"/>
      <c r="I541" s="36"/>
      <c r="J541" s="36"/>
      <c r="K541" s="36"/>
      <c r="L541" s="36"/>
      <c r="M541" s="36"/>
      <c r="N541" s="3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8"/>
      <c r="AB541" s="8"/>
      <c r="AC541" s="8"/>
    </row>
    <row r="542" spans="1:29" ht="18" customHeight="1" thickBot="1">
      <c r="A542" s="1">
        <f t="shared" si="9"/>
        <v>35</v>
      </c>
      <c r="B542" s="1">
        <v>242510145</v>
      </c>
      <c r="C542" s="32" t="s">
        <v>1510</v>
      </c>
      <c r="D542" s="33"/>
      <c r="E542" s="34"/>
      <c r="F542" s="224" t="s">
        <v>1</v>
      </c>
      <c r="G542" s="135"/>
      <c r="H542" s="36"/>
      <c r="I542" s="36"/>
      <c r="J542" s="36"/>
      <c r="K542" s="36"/>
      <c r="L542" s="36"/>
      <c r="M542" s="36"/>
      <c r="N542" s="3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8"/>
      <c r="AB542" s="8"/>
      <c r="AC542" s="8"/>
    </row>
    <row r="543" spans="1:29" ht="15.8" customHeight="1">
      <c r="A543" s="79"/>
      <c r="B543" s="115"/>
      <c r="C543" s="20"/>
      <c r="D543" s="20"/>
      <c r="E543" s="20"/>
      <c r="F543" s="257" t="s">
        <v>1</v>
      </c>
      <c r="G543" s="247">
        <f>COUNTIF(F508:F542,"L")</f>
        <v>16</v>
      </c>
      <c r="H543" s="20"/>
      <c r="I543" s="20"/>
      <c r="J543" s="20"/>
      <c r="K543" s="20"/>
      <c r="L543" s="20"/>
      <c r="M543" s="20"/>
      <c r="N543" s="20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8"/>
      <c r="AB543" s="8"/>
      <c r="AC543" s="8"/>
    </row>
    <row r="544" spans="1:29" ht="15.8" customHeight="1" thickBot="1">
      <c r="A544" s="79"/>
      <c r="B544" s="79"/>
      <c r="C544" s="20"/>
      <c r="D544" s="20"/>
      <c r="E544" s="20"/>
      <c r="F544" s="248" t="s">
        <v>3</v>
      </c>
      <c r="G544" s="249">
        <f>COUNTIF(F508:F542,"P")</f>
        <v>19</v>
      </c>
      <c r="H544" s="20"/>
      <c r="I544" s="20"/>
      <c r="J544" s="20"/>
      <c r="K544" s="20"/>
      <c r="L544" s="20"/>
      <c r="M544" s="20"/>
      <c r="N544" s="20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8"/>
      <c r="AB544" s="8"/>
      <c r="AC544" s="8"/>
    </row>
    <row r="545" spans="1:29" ht="15.8" customHeight="1" thickBot="1">
      <c r="A545" s="79"/>
      <c r="B545" s="79"/>
      <c r="C545" s="20"/>
      <c r="D545" s="20"/>
      <c r="E545" s="20"/>
      <c r="F545" s="250" t="s">
        <v>251</v>
      </c>
      <c r="G545" s="251">
        <f>SUM(G543:G544)</f>
        <v>35</v>
      </c>
      <c r="H545" s="20"/>
      <c r="I545" s="20"/>
      <c r="J545" s="20"/>
      <c r="K545" s="20"/>
      <c r="L545" s="20"/>
      <c r="M545" s="20"/>
      <c r="N545" s="20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8"/>
      <c r="AB545" s="8"/>
      <c r="AC545" s="8"/>
    </row>
    <row r="546" spans="1:29" ht="15.8" customHeight="1">
      <c r="A546" s="20" t="s">
        <v>275</v>
      </c>
      <c r="B546" s="79"/>
      <c r="C546" s="20"/>
      <c r="D546" s="20"/>
      <c r="E546" s="20"/>
      <c r="F546" s="94"/>
      <c r="G546" s="6"/>
      <c r="H546" s="6"/>
      <c r="I546" s="82" t="s">
        <v>254</v>
      </c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8"/>
      <c r="AB546" s="8"/>
      <c r="AC546" s="8"/>
    </row>
    <row r="547" spans="1:29" ht="15.8" customHeight="1">
      <c r="A547" s="20" t="s">
        <v>280</v>
      </c>
      <c r="B547" s="79"/>
      <c r="C547" s="20"/>
      <c r="D547" s="20"/>
      <c r="E547" s="20" t="s">
        <v>281</v>
      </c>
      <c r="F547" s="94"/>
      <c r="G547" s="6"/>
      <c r="H547" s="6"/>
      <c r="I547" s="6" t="s">
        <v>256</v>
      </c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8"/>
      <c r="AB547" s="8"/>
      <c r="AC547" s="8"/>
    </row>
    <row r="548" spans="1:29" ht="15.8" customHeight="1">
      <c r="A548" s="20"/>
      <c r="B548" s="6"/>
      <c r="C548" s="20"/>
      <c r="D548" s="20"/>
      <c r="E548" s="20"/>
      <c r="F548" s="79"/>
      <c r="G548" s="20"/>
      <c r="H548" s="20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8"/>
      <c r="AB548" s="8"/>
      <c r="AC548" s="8"/>
    </row>
    <row r="549" spans="1:29" ht="15.8" customHeight="1">
      <c r="A549" s="20"/>
      <c r="B549" s="6"/>
      <c r="C549" s="20"/>
      <c r="D549" s="20"/>
      <c r="E549" s="20"/>
      <c r="F549" s="79"/>
      <c r="G549" s="20"/>
      <c r="H549" s="20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8"/>
      <c r="AB549" s="8"/>
      <c r="AC549" s="8"/>
    </row>
    <row r="550" spans="1:29" ht="15.8" customHeight="1">
      <c r="A550" s="24" t="s">
        <v>1524</v>
      </c>
      <c r="B550" s="6"/>
      <c r="C550" s="6"/>
      <c r="D550" s="6"/>
      <c r="E550" s="86" t="s">
        <v>368</v>
      </c>
      <c r="F550" s="94"/>
      <c r="G550" s="6"/>
      <c r="H550" s="20"/>
      <c r="I550" s="87"/>
      <c r="J550" s="87"/>
      <c r="K550" s="87"/>
      <c r="L550" s="87"/>
      <c r="M550" s="87"/>
      <c r="N550" s="87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8"/>
      <c r="AB550" s="8"/>
      <c r="AC550" s="8"/>
    </row>
    <row r="551" spans="1:29" ht="15.8" customHeight="1">
      <c r="A551" s="41" t="s">
        <v>1527</v>
      </c>
      <c r="B551" s="41"/>
      <c r="C551" s="20"/>
      <c r="D551" s="20"/>
      <c r="E551" s="20" t="s">
        <v>1424</v>
      </c>
      <c r="F551" s="79"/>
      <c r="G551" s="20"/>
      <c r="H551" s="20" t="s">
        <v>266</v>
      </c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8"/>
      <c r="AB551" s="8"/>
      <c r="AC551" s="8"/>
    </row>
    <row r="552" spans="1:29" ht="15.8" customHeight="1">
      <c r="A552" s="6"/>
      <c r="B552" s="6"/>
      <c r="C552" s="6"/>
      <c r="D552" s="6"/>
      <c r="E552" s="6"/>
      <c r="F552" s="94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8"/>
      <c r="AB552" s="8"/>
      <c r="AC552" s="8"/>
    </row>
    <row r="553" spans="1:29" ht="15.8" customHeight="1">
      <c r="A553" s="6"/>
      <c r="B553" s="6"/>
      <c r="C553" s="6"/>
      <c r="D553" s="6"/>
      <c r="E553" s="6"/>
      <c r="F553" s="94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8"/>
      <c r="AB553" s="8"/>
      <c r="AC553" s="8"/>
    </row>
    <row r="554" spans="1:29" ht="15.8" customHeight="1">
      <c r="A554" s="6"/>
      <c r="B554" s="6"/>
      <c r="C554" s="6"/>
      <c r="D554" s="6"/>
      <c r="E554" s="6"/>
      <c r="F554" s="94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8"/>
      <c r="AB554" s="8"/>
      <c r="AC554" s="8"/>
    </row>
    <row r="555" spans="1:29" ht="15.8" customHeight="1">
      <c r="A555" s="6"/>
      <c r="B555" s="6"/>
      <c r="C555" s="6"/>
      <c r="D555" s="6"/>
      <c r="E555" s="6"/>
      <c r="F555" s="94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8"/>
      <c r="AB555" s="8"/>
      <c r="AC555" s="8"/>
    </row>
    <row r="556" spans="1:29" ht="15.8" customHeight="1">
      <c r="A556" s="6"/>
      <c r="B556" s="6"/>
      <c r="C556" s="6"/>
      <c r="D556" s="6"/>
      <c r="E556" s="6"/>
      <c r="F556" s="94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8"/>
      <c r="AB556" s="8"/>
      <c r="AC556" s="8"/>
    </row>
    <row r="557" spans="1:29" ht="15.8" customHeight="1">
      <c r="A557" s="6"/>
      <c r="B557" s="6"/>
      <c r="C557" s="6"/>
      <c r="D557" s="6"/>
      <c r="E557" s="6"/>
      <c r="F557" s="94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8"/>
      <c r="AB557" s="8"/>
      <c r="AC557" s="8"/>
    </row>
    <row r="558" spans="1:29" ht="15.8" customHeight="1">
      <c r="A558" s="6"/>
      <c r="B558" s="6"/>
      <c r="C558" s="6"/>
      <c r="D558" s="6"/>
      <c r="E558" s="6"/>
      <c r="F558" s="94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8"/>
      <c r="AB558" s="8"/>
      <c r="AC558" s="8"/>
    </row>
    <row r="559" spans="1:29" ht="15.8" customHeight="1">
      <c r="A559" s="6"/>
      <c r="B559" s="6"/>
      <c r="C559" s="6"/>
      <c r="D559" s="6"/>
      <c r="E559" s="6"/>
      <c r="F559" s="94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8"/>
      <c r="AB559" s="8"/>
      <c r="AC559" s="8"/>
    </row>
    <row r="560" spans="1:29" ht="15.8" customHeight="1">
      <c r="A560" s="6"/>
      <c r="B560" s="6"/>
      <c r="C560" s="6"/>
      <c r="D560" s="6"/>
      <c r="E560" s="6"/>
      <c r="F560" s="94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8"/>
      <c r="AB560" s="8"/>
      <c r="AC560" s="8"/>
    </row>
    <row r="561" spans="1:29" ht="15.8" customHeight="1">
      <c r="A561" s="6"/>
      <c r="B561" s="6"/>
      <c r="C561" s="6"/>
      <c r="D561" s="6"/>
      <c r="E561" s="6"/>
      <c r="F561" s="94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8"/>
      <c r="AB561" s="8"/>
      <c r="AC561" s="8"/>
    </row>
    <row r="562" spans="1:29" ht="15.8" customHeight="1">
      <c r="A562" s="6"/>
      <c r="B562" s="6"/>
      <c r="C562" s="6"/>
      <c r="D562" s="6"/>
      <c r="E562" s="6"/>
      <c r="F562" s="94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8"/>
      <c r="AB562" s="8"/>
      <c r="AC562" s="8"/>
    </row>
    <row r="563" spans="1:29" ht="15.8" customHeight="1">
      <c r="A563" s="6"/>
      <c r="B563" s="6"/>
      <c r="C563" s="6"/>
      <c r="D563" s="6"/>
      <c r="E563" s="6"/>
      <c r="F563" s="94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8"/>
      <c r="AB563" s="8"/>
      <c r="AC563" s="8"/>
    </row>
    <row r="564" spans="1:29" ht="15.8" customHeight="1">
      <c r="A564" s="6"/>
      <c r="B564" s="6"/>
      <c r="C564" s="6"/>
      <c r="D564" s="6"/>
      <c r="E564" s="6"/>
      <c r="F564" s="94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8"/>
      <c r="AB564" s="8"/>
      <c r="AC564" s="8"/>
    </row>
    <row r="565" spans="1:29" ht="15.8" customHeight="1">
      <c r="A565" s="6"/>
      <c r="B565" s="6"/>
      <c r="C565" s="6"/>
      <c r="D565" s="6"/>
      <c r="E565" s="6"/>
      <c r="F565" s="94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8"/>
      <c r="AB565" s="8"/>
      <c r="AC565" s="8"/>
    </row>
    <row r="566" spans="1:29" ht="15.8" customHeight="1">
      <c r="A566" s="6"/>
      <c r="B566" s="6"/>
      <c r="C566" s="6"/>
      <c r="D566" s="6"/>
      <c r="E566" s="6"/>
      <c r="F566" s="94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8"/>
      <c r="AB566" s="8"/>
      <c r="AC566" s="8"/>
    </row>
    <row r="567" spans="1:29" ht="15.8" customHeight="1">
      <c r="A567" s="6"/>
      <c r="B567" s="6"/>
      <c r="C567" s="6"/>
      <c r="D567" s="6"/>
      <c r="E567" s="6"/>
      <c r="F567" s="94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8"/>
      <c r="AB567" s="8"/>
      <c r="AC567" s="8"/>
    </row>
    <row r="568" spans="1:29" ht="15.8" customHeight="1">
      <c r="A568" s="6"/>
      <c r="B568" s="6"/>
      <c r="C568" s="6"/>
      <c r="D568" s="6"/>
      <c r="E568" s="6"/>
      <c r="F568" s="94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8"/>
      <c r="AB568" s="8"/>
      <c r="AC568" s="8"/>
    </row>
    <row r="569" spans="1:29" ht="15.8" customHeight="1">
      <c r="A569" s="6"/>
      <c r="B569" s="6"/>
      <c r="C569" s="6"/>
      <c r="D569" s="6"/>
      <c r="E569" s="6"/>
      <c r="F569" s="94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8"/>
      <c r="AB569" s="8"/>
      <c r="AC569" s="8"/>
    </row>
    <row r="570" spans="1:29" ht="15.8" customHeight="1">
      <c r="A570" s="6"/>
      <c r="B570" s="6"/>
      <c r="C570" s="6"/>
      <c r="D570" s="6"/>
      <c r="E570" s="6"/>
      <c r="F570" s="94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8"/>
      <c r="AB570" s="8"/>
      <c r="AC570" s="8"/>
    </row>
    <row r="571" spans="1:29" ht="15.8" customHeight="1">
      <c r="A571" s="6"/>
      <c r="B571" s="6"/>
      <c r="C571" s="6"/>
      <c r="D571" s="6"/>
      <c r="E571" s="6"/>
      <c r="F571" s="94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8"/>
      <c r="AB571" s="8"/>
      <c r="AC571" s="8"/>
    </row>
    <row r="572" spans="1:29" ht="15.8" customHeight="1">
      <c r="A572" s="6"/>
      <c r="B572" s="6"/>
      <c r="C572" s="6"/>
      <c r="D572" s="6"/>
      <c r="E572" s="6"/>
      <c r="F572" s="94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8"/>
      <c r="AB572" s="8"/>
      <c r="AC572" s="8"/>
    </row>
    <row r="573" spans="1:29" ht="15.8" customHeight="1">
      <c r="A573" s="6"/>
      <c r="B573" s="6"/>
      <c r="C573" s="6"/>
      <c r="D573" s="6"/>
      <c r="E573" s="6"/>
      <c r="F573" s="94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8"/>
      <c r="AB573" s="8"/>
      <c r="AC573" s="8"/>
    </row>
    <row r="574" spans="1:29" ht="15.8" customHeight="1">
      <c r="A574" s="6"/>
      <c r="B574" s="6"/>
      <c r="C574" s="6"/>
      <c r="D574" s="6"/>
      <c r="E574" s="6"/>
      <c r="F574" s="94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8"/>
      <c r="AB574" s="8"/>
      <c r="AC574" s="8"/>
    </row>
    <row r="575" spans="1:29" ht="15.8" customHeight="1">
      <c r="A575" s="6"/>
      <c r="B575" s="6"/>
      <c r="C575" s="6"/>
      <c r="D575" s="6"/>
      <c r="E575" s="6"/>
      <c r="F575" s="94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8"/>
      <c r="AB575" s="8"/>
      <c r="AC575" s="8"/>
    </row>
    <row r="576" spans="1:29" ht="15.8" customHeight="1">
      <c r="A576" s="6"/>
      <c r="B576" s="6"/>
      <c r="C576" s="6"/>
      <c r="D576" s="6"/>
      <c r="E576" s="6"/>
      <c r="F576" s="94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8"/>
      <c r="AB576" s="8"/>
      <c r="AC576" s="8"/>
    </row>
    <row r="577" spans="1:29" ht="15.8" customHeight="1">
      <c r="A577" s="6"/>
      <c r="B577" s="6"/>
      <c r="C577" s="6"/>
      <c r="D577" s="6"/>
      <c r="E577" s="6"/>
      <c r="F577" s="94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8"/>
      <c r="AB577" s="8"/>
      <c r="AC577" s="8"/>
    </row>
    <row r="578" spans="1:29" ht="15.8" customHeight="1">
      <c r="A578" s="6"/>
      <c r="B578" s="6"/>
      <c r="C578" s="6"/>
      <c r="D578" s="6"/>
      <c r="E578" s="6"/>
      <c r="F578" s="94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8"/>
      <c r="AB578" s="8"/>
      <c r="AC578" s="8"/>
    </row>
    <row r="579" spans="1:29" ht="15.8" customHeight="1">
      <c r="A579" s="6"/>
      <c r="B579" s="6"/>
      <c r="C579" s="6"/>
      <c r="D579" s="6"/>
      <c r="E579" s="6"/>
      <c r="F579" s="94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8"/>
      <c r="AB579" s="8"/>
      <c r="AC579" s="8"/>
    </row>
    <row r="580" spans="1:29" ht="15.8" customHeight="1">
      <c r="A580" s="6"/>
      <c r="B580" s="6"/>
      <c r="C580" s="6"/>
      <c r="D580" s="6"/>
      <c r="E580" s="6"/>
      <c r="F580" s="94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8"/>
      <c r="AB580" s="8"/>
      <c r="AC580" s="8"/>
    </row>
    <row r="581" spans="1:29" ht="15.8" customHeight="1">
      <c r="A581" s="6"/>
      <c r="B581" s="6"/>
      <c r="C581" s="6"/>
      <c r="D581" s="6"/>
      <c r="E581" s="6"/>
      <c r="F581" s="94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8"/>
      <c r="AB581" s="8"/>
      <c r="AC581" s="8"/>
    </row>
    <row r="582" spans="1:29" ht="15.8" customHeight="1">
      <c r="A582" s="6"/>
      <c r="B582" s="6"/>
      <c r="C582" s="6"/>
      <c r="D582" s="6"/>
      <c r="E582" s="6"/>
      <c r="F582" s="94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8"/>
      <c r="AB582" s="8"/>
      <c r="AC582" s="8"/>
    </row>
    <row r="583" spans="1:29" ht="15.8" customHeight="1">
      <c r="A583" s="6"/>
      <c r="B583" s="6"/>
      <c r="C583" s="6"/>
      <c r="D583" s="6"/>
      <c r="E583" s="6"/>
      <c r="F583" s="94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8"/>
      <c r="AB583" s="8"/>
      <c r="AC583" s="8"/>
    </row>
    <row r="584" spans="1:29" ht="15.8" customHeight="1">
      <c r="A584" s="6"/>
      <c r="B584" s="6"/>
      <c r="C584" s="6"/>
      <c r="D584" s="6"/>
      <c r="E584" s="6"/>
      <c r="F584" s="94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8"/>
      <c r="AB584" s="8"/>
      <c r="AC584" s="8"/>
    </row>
    <row r="585" spans="1:29" ht="15.8" customHeight="1">
      <c r="A585" s="6"/>
      <c r="B585" s="6"/>
      <c r="C585" s="6"/>
      <c r="D585" s="6"/>
      <c r="E585" s="6"/>
      <c r="F585" s="94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8"/>
      <c r="AB585" s="8"/>
      <c r="AC585" s="8"/>
    </row>
    <row r="586" spans="1:29" ht="15.8" customHeight="1">
      <c r="A586" s="6"/>
      <c r="B586" s="6"/>
      <c r="C586" s="6"/>
      <c r="D586" s="6"/>
      <c r="E586" s="6"/>
      <c r="F586" s="94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8"/>
      <c r="AB586" s="8"/>
      <c r="AC586" s="8"/>
    </row>
    <row r="587" spans="1:29" ht="15.8" customHeight="1">
      <c r="A587" s="6"/>
      <c r="B587" s="6"/>
      <c r="C587" s="6"/>
      <c r="D587" s="6"/>
      <c r="E587" s="6"/>
      <c r="F587" s="94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8"/>
      <c r="AB587" s="8"/>
      <c r="AC587" s="8"/>
    </row>
    <row r="588" spans="1:29" ht="15.8" customHeight="1">
      <c r="A588" s="6"/>
      <c r="B588" s="6"/>
      <c r="C588" s="6"/>
      <c r="D588" s="6"/>
      <c r="E588" s="6"/>
      <c r="F588" s="94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8"/>
      <c r="AB588" s="8"/>
      <c r="AC588" s="8"/>
    </row>
    <row r="589" spans="1:29" ht="15.8" customHeight="1">
      <c r="A589" s="6"/>
      <c r="B589" s="6"/>
      <c r="C589" s="6"/>
      <c r="D589" s="6"/>
      <c r="E589" s="6"/>
      <c r="F589" s="94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8"/>
      <c r="AB589" s="8"/>
      <c r="AC589" s="8"/>
    </row>
    <row r="590" spans="1:29" ht="15.8" customHeight="1">
      <c r="A590" s="6"/>
      <c r="B590" s="6"/>
      <c r="C590" s="6"/>
      <c r="D590" s="6"/>
      <c r="E590" s="6"/>
      <c r="F590" s="94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8"/>
      <c r="AB590" s="8"/>
      <c r="AC590" s="8"/>
    </row>
    <row r="591" spans="1:29" ht="15.8" customHeight="1">
      <c r="A591" s="6"/>
      <c r="B591" s="6"/>
      <c r="C591" s="6"/>
      <c r="D591" s="6"/>
      <c r="E591" s="6"/>
      <c r="F591" s="94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8"/>
      <c r="AB591" s="8"/>
      <c r="AC591" s="8"/>
    </row>
    <row r="592" spans="1:29" ht="15.8" customHeight="1">
      <c r="A592" s="6"/>
      <c r="B592" s="6"/>
      <c r="C592" s="6"/>
      <c r="D592" s="6"/>
      <c r="E592" s="6"/>
      <c r="F592" s="94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8"/>
      <c r="AB592" s="8"/>
      <c r="AC592" s="8"/>
    </row>
    <row r="593" spans="1:29" ht="15.8" customHeight="1">
      <c r="A593" s="6"/>
      <c r="B593" s="6"/>
      <c r="C593" s="6"/>
      <c r="D593" s="6"/>
      <c r="E593" s="6"/>
      <c r="F593" s="94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8"/>
      <c r="AB593" s="8"/>
      <c r="AC593" s="8"/>
    </row>
    <row r="594" spans="1:29" ht="15.8" customHeight="1">
      <c r="A594" s="6"/>
      <c r="B594" s="6"/>
      <c r="C594" s="6"/>
      <c r="D594" s="6"/>
      <c r="E594" s="6"/>
      <c r="F594" s="94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8"/>
      <c r="AB594" s="8"/>
      <c r="AC594" s="8"/>
    </row>
    <row r="595" spans="1:29" ht="15.8" customHeight="1">
      <c r="A595" s="6"/>
      <c r="B595" s="6"/>
      <c r="C595" s="6"/>
      <c r="D595" s="6"/>
      <c r="E595" s="6"/>
      <c r="F595" s="94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8"/>
      <c r="AB595" s="8"/>
      <c r="AC595" s="8"/>
    </row>
    <row r="596" spans="1:29" ht="15.8" customHeight="1">
      <c r="A596" s="6"/>
      <c r="B596" s="6"/>
      <c r="C596" s="6"/>
      <c r="D596" s="6"/>
      <c r="E596" s="6"/>
      <c r="F596" s="94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8"/>
      <c r="AB596" s="8"/>
      <c r="AC596" s="8"/>
    </row>
    <row r="597" spans="1:29" ht="15.8" customHeight="1">
      <c r="A597" s="6"/>
      <c r="B597" s="6"/>
      <c r="C597" s="6"/>
      <c r="D597" s="6"/>
      <c r="E597" s="6"/>
      <c r="F597" s="94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8"/>
      <c r="AB597" s="8"/>
      <c r="AC597" s="8"/>
    </row>
    <row r="598" spans="1:29" ht="15.8" customHeight="1">
      <c r="A598" s="6"/>
      <c r="B598" s="6"/>
      <c r="C598" s="6"/>
      <c r="D598" s="6"/>
      <c r="E598" s="6"/>
      <c r="F598" s="94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8"/>
      <c r="AB598" s="8"/>
      <c r="AC598" s="8"/>
    </row>
    <row r="599" spans="1:29" ht="15.8" customHeight="1">
      <c r="A599" s="6"/>
      <c r="B599" s="6"/>
      <c r="C599" s="6"/>
      <c r="D599" s="6"/>
      <c r="E599" s="6"/>
      <c r="F599" s="94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8"/>
      <c r="AB599" s="8"/>
      <c r="AC599" s="8"/>
    </row>
    <row r="600" spans="1:29" ht="15.8" customHeight="1">
      <c r="A600" s="6"/>
      <c r="B600" s="6"/>
      <c r="C600" s="6"/>
      <c r="D600" s="6"/>
      <c r="E600" s="6"/>
      <c r="F600" s="94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8"/>
      <c r="AB600" s="8"/>
      <c r="AC600" s="8"/>
    </row>
    <row r="601" spans="1:29" ht="15.8" customHeight="1">
      <c r="A601" s="6"/>
      <c r="B601" s="6"/>
      <c r="C601" s="6"/>
      <c r="D601" s="6"/>
      <c r="E601" s="6"/>
      <c r="F601" s="94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8"/>
      <c r="AB601" s="8"/>
      <c r="AC601" s="8"/>
    </row>
    <row r="602" spans="1:29" ht="15.8" customHeight="1">
      <c r="A602" s="6"/>
      <c r="B602" s="6"/>
      <c r="C602" s="6"/>
      <c r="D602" s="6"/>
      <c r="E602" s="6"/>
      <c r="F602" s="94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8"/>
      <c r="AB602" s="8"/>
      <c r="AC602" s="8"/>
    </row>
    <row r="603" spans="1:29" ht="15.8" customHeight="1">
      <c r="A603" s="6"/>
      <c r="B603" s="6"/>
      <c r="C603" s="6"/>
      <c r="D603" s="6"/>
      <c r="E603" s="6"/>
      <c r="F603" s="94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8"/>
      <c r="AB603" s="8"/>
      <c r="AC603" s="8"/>
    </row>
    <row r="604" spans="1:29" ht="15.8" customHeight="1">
      <c r="A604" s="6"/>
      <c r="B604" s="6"/>
      <c r="C604" s="6"/>
      <c r="D604" s="6"/>
      <c r="E604" s="6"/>
      <c r="F604" s="94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8"/>
      <c r="AB604" s="8"/>
      <c r="AC604" s="8"/>
    </row>
    <row r="605" spans="1:29" ht="15.8" customHeight="1">
      <c r="A605" s="6"/>
      <c r="B605" s="6"/>
      <c r="C605" s="6"/>
      <c r="D605" s="6"/>
      <c r="E605" s="6"/>
      <c r="F605" s="94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8"/>
      <c r="AB605" s="8"/>
      <c r="AC605" s="8"/>
    </row>
    <row r="606" spans="1:29" ht="15.8" customHeight="1">
      <c r="A606" s="6"/>
      <c r="B606" s="6"/>
      <c r="C606" s="6"/>
      <c r="D606" s="6"/>
      <c r="E606" s="6"/>
      <c r="F606" s="94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8"/>
      <c r="AB606" s="8"/>
      <c r="AC606" s="8"/>
    </row>
    <row r="607" spans="1:29" ht="15.8" customHeight="1">
      <c r="A607" s="6"/>
      <c r="B607" s="6"/>
      <c r="C607" s="6"/>
      <c r="D607" s="6"/>
      <c r="E607" s="6"/>
      <c r="F607" s="94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8"/>
      <c r="AB607" s="8"/>
      <c r="AC607" s="8"/>
    </row>
    <row r="608" spans="1:29" ht="15.8" customHeight="1">
      <c r="A608" s="6"/>
      <c r="B608" s="6"/>
      <c r="C608" s="6"/>
      <c r="D608" s="6"/>
      <c r="E608" s="6"/>
      <c r="F608" s="94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8"/>
      <c r="AB608" s="8"/>
      <c r="AC608" s="8"/>
    </row>
    <row r="609" spans="1:29" ht="15.8" customHeight="1">
      <c r="A609" s="6"/>
      <c r="B609" s="6"/>
      <c r="C609" s="6"/>
      <c r="D609" s="6"/>
      <c r="E609" s="6"/>
      <c r="F609" s="94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8"/>
      <c r="AB609" s="8"/>
      <c r="AC609" s="8"/>
    </row>
    <row r="610" spans="1:29" ht="15.8" customHeight="1">
      <c r="A610" s="6"/>
      <c r="B610" s="6"/>
      <c r="C610" s="6"/>
      <c r="D610" s="6"/>
      <c r="E610" s="6"/>
      <c r="F610" s="94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8"/>
      <c r="AB610" s="8"/>
      <c r="AC610" s="8"/>
    </row>
    <row r="611" spans="1:29" ht="15.8" customHeight="1">
      <c r="A611" s="6"/>
      <c r="B611" s="6"/>
      <c r="C611" s="6"/>
      <c r="D611" s="6"/>
      <c r="E611" s="6"/>
      <c r="F611" s="94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8"/>
      <c r="AB611" s="8"/>
      <c r="AC611" s="8"/>
    </row>
    <row r="612" spans="1:29" ht="15.8" customHeight="1">
      <c r="A612" s="6"/>
      <c r="B612" s="6"/>
      <c r="C612" s="6"/>
      <c r="D612" s="6"/>
      <c r="E612" s="6"/>
      <c r="F612" s="94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8"/>
      <c r="AB612" s="8"/>
      <c r="AC612" s="8"/>
    </row>
    <row r="613" spans="1:29" ht="15.8" customHeight="1">
      <c r="A613" s="6"/>
      <c r="B613" s="6"/>
      <c r="C613" s="6"/>
      <c r="D613" s="6"/>
      <c r="E613" s="6"/>
      <c r="F613" s="94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8"/>
      <c r="AB613" s="8"/>
      <c r="AC613" s="8"/>
    </row>
    <row r="614" spans="1:29" ht="15.8" customHeight="1">
      <c r="A614" s="6"/>
      <c r="B614" s="6"/>
      <c r="C614" s="6"/>
      <c r="D614" s="6"/>
      <c r="E614" s="6"/>
      <c r="F614" s="94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8"/>
      <c r="AB614" s="8"/>
      <c r="AC614" s="8"/>
    </row>
    <row r="615" spans="1:29" ht="15.8" customHeight="1">
      <c r="A615" s="6"/>
      <c r="B615" s="6"/>
      <c r="C615" s="6"/>
      <c r="D615" s="6"/>
      <c r="E615" s="6"/>
      <c r="F615" s="94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8"/>
      <c r="AB615" s="8"/>
      <c r="AC615" s="8"/>
    </row>
    <row r="616" spans="1:29" ht="15.8" customHeight="1">
      <c r="A616" s="6"/>
      <c r="B616" s="6"/>
      <c r="C616" s="6"/>
      <c r="D616" s="6"/>
      <c r="E616" s="6"/>
      <c r="F616" s="94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8"/>
      <c r="AB616" s="8"/>
      <c r="AC616" s="8"/>
    </row>
    <row r="617" spans="1:29" ht="15.8" customHeight="1">
      <c r="A617" s="6"/>
      <c r="B617" s="6"/>
      <c r="C617" s="6"/>
      <c r="D617" s="6"/>
      <c r="E617" s="6"/>
      <c r="F617" s="94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8"/>
      <c r="AB617" s="8"/>
      <c r="AC617" s="8"/>
    </row>
    <row r="618" spans="1:29" ht="15.8" customHeight="1">
      <c r="A618" s="6"/>
      <c r="B618" s="6"/>
      <c r="C618" s="6"/>
      <c r="D618" s="6"/>
      <c r="E618" s="6"/>
      <c r="F618" s="94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8"/>
      <c r="AB618" s="8"/>
      <c r="AC618" s="8"/>
    </row>
    <row r="619" spans="1:29" ht="15.8" customHeight="1">
      <c r="A619" s="6"/>
      <c r="B619" s="6"/>
      <c r="C619" s="6"/>
      <c r="D619" s="6"/>
      <c r="E619" s="6"/>
      <c r="F619" s="94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8"/>
      <c r="AB619" s="8"/>
      <c r="AC619" s="8"/>
    </row>
    <row r="620" spans="1:29" ht="15.8" customHeight="1">
      <c r="A620" s="6"/>
      <c r="B620" s="6"/>
      <c r="C620" s="6"/>
      <c r="D620" s="6"/>
      <c r="E620" s="6"/>
      <c r="F620" s="94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8"/>
      <c r="AB620" s="8"/>
      <c r="AC620" s="8"/>
    </row>
    <row r="621" spans="1:29" ht="15.8" customHeight="1">
      <c r="A621" s="6"/>
      <c r="B621" s="6"/>
      <c r="C621" s="6"/>
      <c r="D621" s="6"/>
      <c r="E621" s="6"/>
      <c r="F621" s="94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8"/>
      <c r="AB621" s="8"/>
      <c r="AC621" s="8"/>
    </row>
    <row r="622" spans="1:29" ht="15.8" customHeight="1">
      <c r="A622" s="6"/>
      <c r="B622" s="6"/>
      <c r="C622" s="6"/>
      <c r="D622" s="6"/>
      <c r="E622" s="6"/>
      <c r="F622" s="94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8"/>
      <c r="AB622" s="8"/>
      <c r="AC622" s="8"/>
    </row>
    <row r="623" spans="1:29" ht="15.8" customHeight="1">
      <c r="A623" s="6"/>
      <c r="B623" s="6"/>
      <c r="C623" s="6"/>
      <c r="D623" s="6"/>
      <c r="E623" s="6"/>
      <c r="F623" s="94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8"/>
      <c r="AB623" s="8"/>
      <c r="AC623" s="8"/>
    </row>
    <row r="624" spans="1:29" ht="15.8" customHeight="1">
      <c r="A624" s="6"/>
      <c r="B624" s="6"/>
      <c r="C624" s="6"/>
      <c r="D624" s="6"/>
      <c r="E624" s="6"/>
      <c r="F624" s="94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8"/>
      <c r="AB624" s="8"/>
      <c r="AC624" s="8"/>
    </row>
    <row r="625" spans="1:29" ht="15.8" customHeight="1">
      <c r="A625" s="6"/>
      <c r="B625" s="6"/>
      <c r="C625" s="6"/>
      <c r="D625" s="6"/>
      <c r="E625" s="6"/>
      <c r="F625" s="94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8"/>
      <c r="AB625" s="8"/>
      <c r="AC625" s="8"/>
    </row>
    <row r="626" spans="1:29" ht="15.8" customHeight="1">
      <c r="A626" s="6"/>
      <c r="B626" s="6"/>
      <c r="C626" s="6"/>
      <c r="D626" s="6"/>
      <c r="E626" s="6"/>
      <c r="F626" s="94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8"/>
      <c r="AB626" s="8"/>
      <c r="AC626" s="8"/>
    </row>
    <row r="627" spans="1:29" ht="15.8" customHeight="1">
      <c r="A627" s="6"/>
      <c r="B627" s="6"/>
      <c r="C627" s="6"/>
      <c r="D627" s="6"/>
      <c r="E627" s="6"/>
      <c r="F627" s="94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8"/>
      <c r="AB627" s="8"/>
      <c r="AC627" s="8"/>
    </row>
    <row r="628" spans="1:29" ht="15.8" customHeight="1">
      <c r="A628" s="6"/>
      <c r="B628" s="6"/>
      <c r="C628" s="6"/>
      <c r="D628" s="6"/>
      <c r="E628" s="6"/>
      <c r="F628" s="94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8"/>
      <c r="AB628" s="8"/>
      <c r="AC628" s="8"/>
    </row>
    <row r="629" spans="1:29" ht="15.8" customHeight="1">
      <c r="A629" s="6"/>
      <c r="B629" s="6"/>
      <c r="C629" s="6"/>
      <c r="D629" s="6"/>
      <c r="E629" s="6"/>
      <c r="F629" s="94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8"/>
      <c r="AB629" s="8"/>
      <c r="AC629" s="8"/>
    </row>
    <row r="630" spans="1:29" ht="15.8" customHeight="1">
      <c r="A630" s="6"/>
      <c r="B630" s="6"/>
      <c r="C630" s="6"/>
      <c r="D630" s="6"/>
      <c r="E630" s="6"/>
      <c r="F630" s="94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8"/>
      <c r="AB630" s="8"/>
      <c r="AC630" s="8"/>
    </row>
    <row r="631" spans="1:29" ht="15.8" customHeight="1">
      <c r="A631" s="6"/>
      <c r="B631" s="6"/>
      <c r="C631" s="6"/>
      <c r="D631" s="6"/>
      <c r="E631" s="6"/>
      <c r="F631" s="94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8"/>
      <c r="AB631" s="8"/>
      <c r="AC631" s="8"/>
    </row>
    <row r="632" spans="1:29" ht="15.8" customHeight="1">
      <c r="A632" s="6"/>
      <c r="B632" s="6"/>
      <c r="C632" s="6"/>
      <c r="D632" s="6"/>
      <c r="E632" s="6"/>
      <c r="F632" s="94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8"/>
      <c r="AB632" s="8"/>
      <c r="AC632" s="8"/>
    </row>
    <row r="633" spans="1:29" ht="15.8" customHeight="1">
      <c r="A633" s="6"/>
      <c r="B633" s="6"/>
      <c r="C633" s="6"/>
      <c r="D633" s="6"/>
      <c r="E633" s="6"/>
      <c r="F633" s="94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8"/>
      <c r="AB633" s="8"/>
      <c r="AC633" s="8"/>
    </row>
    <row r="634" spans="1:29" ht="15.8" customHeight="1">
      <c r="A634" s="6"/>
      <c r="B634" s="6"/>
      <c r="C634" s="6"/>
      <c r="D634" s="6"/>
      <c r="E634" s="6"/>
      <c r="F634" s="94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8"/>
      <c r="AB634" s="8"/>
      <c r="AC634" s="8"/>
    </row>
    <row r="635" spans="1:29" ht="15.8" customHeight="1">
      <c r="A635" s="6"/>
      <c r="B635" s="6"/>
      <c r="C635" s="6"/>
      <c r="D635" s="6"/>
      <c r="E635" s="6"/>
      <c r="F635" s="94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8"/>
      <c r="AB635" s="8"/>
      <c r="AC635" s="8"/>
    </row>
    <row r="636" spans="1:29" ht="15.8" customHeight="1">
      <c r="A636" s="6"/>
      <c r="B636" s="6"/>
      <c r="C636" s="6"/>
      <c r="D636" s="6"/>
      <c r="E636" s="6"/>
      <c r="F636" s="94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8"/>
      <c r="AB636" s="8"/>
      <c r="AC636" s="8"/>
    </row>
    <row r="637" spans="1:29" ht="15.8" customHeight="1">
      <c r="A637" s="6"/>
      <c r="B637" s="6"/>
      <c r="C637" s="6"/>
      <c r="D637" s="6"/>
      <c r="E637" s="6"/>
      <c r="F637" s="94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8"/>
      <c r="AB637" s="8"/>
      <c r="AC637" s="8"/>
    </row>
    <row r="638" spans="1:29" ht="15.8" customHeight="1">
      <c r="A638" s="6"/>
      <c r="B638" s="6"/>
      <c r="C638" s="6"/>
      <c r="D638" s="6"/>
      <c r="E638" s="6"/>
      <c r="F638" s="94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8"/>
      <c r="AB638" s="8"/>
      <c r="AC638" s="8"/>
    </row>
    <row r="639" spans="1:29" ht="15.8" customHeight="1">
      <c r="A639" s="6"/>
      <c r="B639" s="6"/>
      <c r="C639" s="6"/>
      <c r="D639" s="6"/>
      <c r="E639" s="6"/>
      <c r="F639" s="94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8"/>
      <c r="AB639" s="8"/>
      <c r="AC639" s="8"/>
    </row>
    <row r="640" spans="1:29" ht="15.8" customHeight="1">
      <c r="A640" s="6"/>
      <c r="B640" s="6"/>
      <c r="C640" s="6"/>
      <c r="D640" s="6"/>
      <c r="E640" s="6"/>
      <c r="F640" s="94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8"/>
      <c r="AB640" s="8"/>
      <c r="AC640" s="8"/>
    </row>
    <row r="641" spans="1:29" ht="15.8" customHeight="1">
      <c r="A641" s="6"/>
      <c r="B641" s="6"/>
      <c r="C641" s="6"/>
      <c r="D641" s="6"/>
      <c r="E641" s="6"/>
      <c r="F641" s="94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8"/>
      <c r="AB641" s="8"/>
      <c r="AC641" s="8"/>
    </row>
    <row r="642" spans="1:29" ht="15.8" customHeight="1">
      <c r="A642" s="6"/>
      <c r="B642" s="6"/>
      <c r="C642" s="6"/>
      <c r="D642" s="6"/>
      <c r="E642" s="6"/>
      <c r="F642" s="94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8"/>
      <c r="AB642" s="8"/>
      <c r="AC642" s="8"/>
    </row>
    <row r="643" spans="1:29" ht="15.8" customHeight="1">
      <c r="A643" s="6"/>
      <c r="B643" s="6"/>
      <c r="C643" s="6"/>
      <c r="D643" s="6"/>
      <c r="E643" s="6"/>
      <c r="F643" s="94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8"/>
      <c r="AB643" s="8"/>
      <c r="AC643" s="8"/>
    </row>
    <row r="644" spans="1:29" ht="15.8" customHeight="1">
      <c r="A644" s="6"/>
      <c r="B644" s="6"/>
      <c r="C644" s="6"/>
      <c r="D644" s="6"/>
      <c r="E644" s="6"/>
      <c r="F644" s="94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8"/>
      <c r="AB644" s="8"/>
      <c r="AC644" s="8"/>
    </row>
    <row r="645" spans="1:29" ht="15.8" customHeight="1">
      <c r="A645" s="6"/>
      <c r="B645" s="6"/>
      <c r="C645" s="6"/>
      <c r="D645" s="6"/>
      <c r="E645" s="6"/>
      <c r="F645" s="94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8"/>
      <c r="AB645" s="8"/>
      <c r="AC645" s="8"/>
    </row>
    <row r="646" spans="1:29" ht="15.8" customHeight="1">
      <c r="A646" s="6"/>
      <c r="B646" s="6"/>
      <c r="C646" s="6"/>
      <c r="D646" s="6"/>
      <c r="E646" s="6"/>
      <c r="F646" s="94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8"/>
      <c r="AB646" s="8"/>
      <c r="AC646" s="8"/>
    </row>
    <row r="647" spans="1:29" ht="15.8" customHeight="1">
      <c r="A647" s="6"/>
      <c r="B647" s="6"/>
      <c r="C647" s="6"/>
      <c r="D647" s="6"/>
      <c r="E647" s="6"/>
      <c r="F647" s="94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8"/>
      <c r="AB647" s="8"/>
      <c r="AC647" s="8"/>
    </row>
    <row r="648" spans="1:29" ht="15.8" customHeight="1">
      <c r="A648" s="6"/>
      <c r="B648" s="6"/>
      <c r="C648" s="6"/>
      <c r="D648" s="6"/>
      <c r="E648" s="6"/>
      <c r="F648" s="94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8"/>
      <c r="AB648" s="8"/>
      <c r="AC648" s="8"/>
    </row>
    <row r="649" spans="1:29" ht="15.8" customHeight="1">
      <c r="A649" s="6"/>
      <c r="B649" s="6"/>
      <c r="C649" s="6"/>
      <c r="D649" s="6"/>
      <c r="E649" s="6"/>
      <c r="F649" s="94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8"/>
      <c r="AB649" s="8"/>
      <c r="AC649" s="8"/>
    </row>
    <row r="650" spans="1:29" ht="15.8" customHeight="1">
      <c r="A650" s="6"/>
      <c r="B650" s="6"/>
      <c r="C650" s="6"/>
      <c r="D650" s="6"/>
      <c r="E650" s="6"/>
      <c r="F650" s="94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8"/>
      <c r="AB650" s="8"/>
      <c r="AC650" s="8"/>
    </row>
    <row r="651" spans="1:29" ht="15.8" customHeight="1">
      <c r="A651" s="6"/>
      <c r="B651" s="6"/>
      <c r="C651" s="6"/>
      <c r="D651" s="6"/>
      <c r="E651" s="6"/>
      <c r="F651" s="94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8"/>
      <c r="AB651" s="8"/>
      <c r="AC651" s="8"/>
    </row>
    <row r="652" spans="1:29" ht="15.8" customHeight="1">
      <c r="A652" s="6"/>
      <c r="B652" s="6"/>
      <c r="C652" s="6"/>
      <c r="D652" s="6"/>
      <c r="E652" s="6"/>
      <c r="F652" s="94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8"/>
      <c r="AB652" s="8"/>
      <c r="AC652" s="8"/>
    </row>
    <row r="653" spans="1:29" ht="15.8" customHeight="1">
      <c r="A653" s="6"/>
      <c r="B653" s="6"/>
      <c r="C653" s="6"/>
      <c r="D653" s="6"/>
      <c r="E653" s="6"/>
      <c r="F653" s="94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8"/>
      <c r="AB653" s="8"/>
      <c r="AC653" s="8"/>
    </row>
    <row r="654" spans="1:29" ht="15.8" customHeight="1">
      <c r="A654" s="6"/>
      <c r="B654" s="6"/>
      <c r="C654" s="6"/>
      <c r="D654" s="6"/>
      <c r="E654" s="6"/>
      <c r="F654" s="94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8"/>
      <c r="AB654" s="8"/>
      <c r="AC654" s="8"/>
    </row>
    <row r="655" spans="1:29" ht="15.8" customHeight="1">
      <c r="A655" s="6"/>
      <c r="B655" s="6"/>
      <c r="C655" s="6"/>
      <c r="D655" s="6"/>
      <c r="E655" s="6"/>
      <c r="F655" s="94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8"/>
      <c r="AB655" s="8"/>
      <c r="AC655" s="8"/>
    </row>
    <row r="656" spans="1:29" ht="15.8" customHeight="1">
      <c r="A656" s="6"/>
      <c r="B656" s="6"/>
      <c r="C656" s="6"/>
      <c r="D656" s="6"/>
      <c r="E656" s="6"/>
      <c r="F656" s="94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8"/>
      <c r="AB656" s="8"/>
      <c r="AC656" s="8"/>
    </row>
    <row r="657" spans="1:29" ht="15.8" customHeight="1">
      <c r="A657" s="6"/>
      <c r="B657" s="6"/>
      <c r="C657" s="6"/>
      <c r="D657" s="6"/>
      <c r="E657" s="6"/>
      <c r="F657" s="94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8"/>
      <c r="AB657" s="8"/>
      <c r="AC657" s="8"/>
    </row>
    <row r="658" spans="1:29" ht="15.8" customHeight="1">
      <c r="A658" s="6"/>
      <c r="B658" s="6"/>
      <c r="C658" s="6"/>
      <c r="D658" s="6"/>
      <c r="E658" s="6"/>
      <c r="F658" s="94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8"/>
      <c r="AB658" s="8"/>
      <c r="AC658" s="8"/>
    </row>
    <row r="659" spans="1:29" ht="15.8" customHeight="1">
      <c r="A659" s="6"/>
      <c r="B659" s="6"/>
      <c r="C659" s="6"/>
      <c r="D659" s="6"/>
      <c r="E659" s="6"/>
      <c r="F659" s="94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8"/>
      <c r="AB659" s="8"/>
      <c r="AC659" s="8"/>
    </row>
    <row r="660" spans="1:29" ht="15.8" customHeight="1">
      <c r="A660" s="6"/>
      <c r="B660" s="6"/>
      <c r="C660" s="6"/>
      <c r="D660" s="6"/>
      <c r="E660" s="6"/>
      <c r="F660" s="94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8"/>
      <c r="AB660" s="8"/>
      <c r="AC660" s="8"/>
    </row>
    <row r="661" spans="1:29" ht="15.8" customHeight="1">
      <c r="A661" s="6"/>
      <c r="B661" s="6"/>
      <c r="C661" s="6"/>
      <c r="D661" s="6"/>
      <c r="E661" s="6"/>
      <c r="F661" s="94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8"/>
      <c r="AB661" s="8"/>
      <c r="AC661" s="8"/>
    </row>
    <row r="662" spans="1:29" ht="15.8" customHeight="1">
      <c r="A662" s="6"/>
      <c r="B662" s="6"/>
      <c r="C662" s="6"/>
      <c r="D662" s="6"/>
      <c r="E662" s="6"/>
      <c r="F662" s="94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8"/>
      <c r="AB662" s="8"/>
      <c r="AC662" s="8"/>
    </row>
    <row r="663" spans="1:29" ht="15.8" customHeight="1">
      <c r="A663" s="6"/>
      <c r="B663" s="6"/>
      <c r="C663" s="6"/>
      <c r="D663" s="6"/>
      <c r="E663" s="6"/>
      <c r="F663" s="94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8"/>
      <c r="AB663" s="8"/>
      <c r="AC663" s="8"/>
    </row>
    <row r="664" spans="1:29" ht="15.8" customHeight="1">
      <c r="A664" s="6"/>
      <c r="B664" s="6"/>
      <c r="C664" s="6"/>
      <c r="D664" s="6"/>
      <c r="E664" s="6"/>
      <c r="F664" s="94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8"/>
      <c r="AB664" s="8"/>
      <c r="AC664" s="8"/>
    </row>
    <row r="665" spans="1:29" ht="15.8" customHeight="1">
      <c r="A665" s="6"/>
      <c r="B665" s="6"/>
      <c r="C665" s="6"/>
      <c r="D665" s="6"/>
      <c r="E665" s="6"/>
      <c r="F665" s="94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8"/>
      <c r="AB665" s="8"/>
      <c r="AC665" s="8"/>
    </row>
    <row r="666" spans="1:29" ht="15.8" customHeight="1">
      <c r="A666" s="6"/>
      <c r="B666" s="6"/>
      <c r="C666" s="6"/>
      <c r="D666" s="6"/>
      <c r="E666" s="6"/>
      <c r="F666" s="94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8"/>
      <c r="AB666" s="8"/>
      <c r="AC666" s="8"/>
    </row>
    <row r="667" spans="1:29" ht="15.8" customHeight="1">
      <c r="A667" s="6"/>
      <c r="B667" s="6"/>
      <c r="C667" s="6"/>
      <c r="D667" s="6"/>
      <c r="E667" s="6"/>
      <c r="F667" s="94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8"/>
      <c r="AB667" s="8"/>
      <c r="AC667" s="8"/>
    </row>
    <row r="668" spans="1:29" ht="15.8" customHeight="1">
      <c r="A668" s="6"/>
      <c r="B668" s="6"/>
      <c r="C668" s="6"/>
      <c r="D668" s="6"/>
      <c r="E668" s="6"/>
      <c r="F668" s="94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8"/>
      <c r="AB668" s="8"/>
      <c r="AC668" s="8"/>
    </row>
    <row r="669" spans="1:29" ht="15.8" customHeight="1">
      <c r="A669" s="6"/>
      <c r="B669" s="6"/>
      <c r="C669" s="6"/>
      <c r="D669" s="6"/>
      <c r="E669" s="6"/>
      <c r="F669" s="94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8"/>
      <c r="AB669" s="8"/>
      <c r="AC669" s="8"/>
    </row>
    <row r="670" spans="1:29" ht="15.8" customHeight="1">
      <c r="A670" s="6"/>
      <c r="B670" s="6"/>
      <c r="C670" s="6"/>
      <c r="D670" s="6"/>
      <c r="E670" s="6"/>
      <c r="F670" s="94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8"/>
      <c r="AB670" s="8"/>
      <c r="AC670" s="8"/>
    </row>
    <row r="671" spans="1:29" ht="15.8" customHeight="1">
      <c r="A671" s="6"/>
      <c r="B671" s="6"/>
      <c r="C671" s="6"/>
      <c r="D671" s="6"/>
      <c r="E671" s="6"/>
      <c r="F671" s="94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8"/>
      <c r="AB671" s="8"/>
      <c r="AC671" s="8"/>
    </row>
    <row r="672" spans="1:29" ht="15.8" customHeight="1">
      <c r="A672" s="6"/>
      <c r="B672" s="6"/>
      <c r="C672" s="6"/>
      <c r="D672" s="6"/>
      <c r="E672" s="6"/>
      <c r="F672" s="94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8"/>
      <c r="AB672" s="8"/>
      <c r="AC672" s="8"/>
    </row>
    <row r="673" spans="1:29" ht="15.8" customHeight="1">
      <c r="A673" s="6"/>
      <c r="B673" s="6"/>
      <c r="C673" s="6"/>
      <c r="D673" s="6"/>
      <c r="E673" s="6"/>
      <c r="F673" s="94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8"/>
      <c r="AB673" s="8"/>
      <c r="AC673" s="8"/>
    </row>
    <row r="674" spans="1:29" ht="15.8" customHeight="1">
      <c r="A674" s="6"/>
      <c r="B674" s="6"/>
      <c r="C674" s="6"/>
      <c r="D674" s="6"/>
      <c r="E674" s="6"/>
      <c r="F674" s="94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8"/>
      <c r="AB674" s="8"/>
      <c r="AC674" s="8"/>
    </row>
    <row r="675" spans="1:29" ht="15.8" customHeight="1">
      <c r="A675" s="6"/>
      <c r="B675" s="6"/>
      <c r="C675" s="6"/>
      <c r="D675" s="6"/>
      <c r="E675" s="6"/>
      <c r="F675" s="94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8"/>
      <c r="AB675" s="8"/>
      <c r="AC675" s="8"/>
    </row>
    <row r="676" spans="1:29" ht="15.8" customHeight="1">
      <c r="A676" s="6"/>
      <c r="B676" s="6"/>
      <c r="C676" s="6"/>
      <c r="D676" s="6"/>
      <c r="E676" s="6"/>
      <c r="F676" s="94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8"/>
      <c r="AB676" s="8"/>
      <c r="AC676" s="8"/>
    </row>
    <row r="677" spans="1:29" ht="15.8" customHeight="1">
      <c r="A677" s="6"/>
      <c r="B677" s="6"/>
      <c r="C677" s="6"/>
      <c r="D677" s="6"/>
      <c r="E677" s="6"/>
      <c r="F677" s="94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8"/>
      <c r="AB677" s="8"/>
      <c r="AC677" s="8"/>
    </row>
    <row r="678" spans="1:29" ht="15.8" customHeight="1">
      <c r="A678" s="6"/>
      <c r="B678" s="6"/>
      <c r="C678" s="6"/>
      <c r="D678" s="6"/>
      <c r="E678" s="6"/>
      <c r="F678" s="94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8"/>
      <c r="AB678" s="8"/>
      <c r="AC678" s="8"/>
    </row>
    <row r="679" spans="1:29" ht="15.8" customHeight="1">
      <c r="A679" s="6"/>
      <c r="B679" s="6"/>
      <c r="C679" s="6"/>
      <c r="D679" s="6"/>
      <c r="E679" s="6"/>
      <c r="F679" s="94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8"/>
      <c r="AB679" s="8"/>
      <c r="AC679" s="8"/>
    </row>
    <row r="680" spans="1:29" ht="15.8" customHeight="1">
      <c r="A680" s="6"/>
      <c r="B680" s="6"/>
      <c r="C680" s="6"/>
      <c r="D680" s="6"/>
      <c r="E680" s="6"/>
      <c r="F680" s="94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8"/>
      <c r="AB680" s="8"/>
      <c r="AC680" s="8"/>
    </row>
    <row r="681" spans="1:29" ht="15.8" customHeight="1">
      <c r="A681" s="6"/>
      <c r="B681" s="6"/>
      <c r="C681" s="6"/>
      <c r="D681" s="6"/>
      <c r="E681" s="6"/>
      <c r="F681" s="94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8"/>
      <c r="AB681" s="8"/>
      <c r="AC681" s="8"/>
    </row>
    <row r="682" spans="1:29" ht="15.8" customHeight="1">
      <c r="A682" s="6"/>
      <c r="B682" s="6"/>
      <c r="C682" s="6"/>
      <c r="D682" s="6"/>
      <c r="E682" s="6"/>
      <c r="F682" s="94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8"/>
      <c r="AB682" s="8"/>
      <c r="AC682" s="8"/>
    </row>
    <row r="683" spans="1:29" ht="15.8" customHeight="1">
      <c r="A683" s="6"/>
      <c r="B683" s="6"/>
      <c r="C683" s="6"/>
      <c r="D683" s="6"/>
      <c r="E683" s="6"/>
      <c r="F683" s="94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8"/>
      <c r="AB683" s="8"/>
      <c r="AC683" s="8"/>
    </row>
    <row r="684" spans="1:29" ht="15.8" customHeight="1">
      <c r="A684" s="6"/>
      <c r="B684" s="6"/>
      <c r="C684" s="6"/>
      <c r="D684" s="6"/>
      <c r="E684" s="6"/>
      <c r="F684" s="94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8"/>
      <c r="AB684" s="8"/>
      <c r="AC684" s="8"/>
    </row>
    <row r="685" spans="1:29" ht="15.8" customHeight="1">
      <c r="A685" s="6"/>
      <c r="B685" s="6"/>
      <c r="C685" s="6"/>
      <c r="D685" s="6"/>
      <c r="E685" s="6"/>
      <c r="F685" s="94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8"/>
      <c r="AB685" s="8"/>
      <c r="AC685" s="8"/>
    </row>
    <row r="686" spans="1:29" ht="15.8" customHeight="1">
      <c r="A686" s="6"/>
      <c r="B686" s="6"/>
      <c r="C686" s="6"/>
      <c r="D686" s="6"/>
      <c r="E686" s="6"/>
      <c r="F686" s="94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8"/>
      <c r="AB686" s="8"/>
      <c r="AC686" s="8"/>
    </row>
    <row r="687" spans="1:29" ht="15.8" customHeight="1">
      <c r="A687" s="6"/>
      <c r="B687" s="6"/>
      <c r="C687" s="6"/>
      <c r="D687" s="6"/>
      <c r="E687" s="6"/>
      <c r="F687" s="94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8"/>
      <c r="AB687" s="8"/>
      <c r="AC687" s="8"/>
    </row>
    <row r="688" spans="1:29" ht="15.8" customHeight="1">
      <c r="A688" s="6"/>
      <c r="B688" s="6"/>
      <c r="C688" s="6"/>
      <c r="D688" s="6"/>
      <c r="E688" s="6"/>
      <c r="F688" s="94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8"/>
      <c r="AB688" s="8"/>
      <c r="AC688" s="8"/>
    </row>
    <row r="689" spans="1:29" ht="15.8" customHeight="1">
      <c r="A689" s="6"/>
      <c r="B689" s="6"/>
      <c r="C689" s="6"/>
      <c r="D689" s="6"/>
      <c r="E689" s="6"/>
      <c r="F689" s="94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8"/>
      <c r="AB689" s="8"/>
      <c r="AC689" s="8"/>
    </row>
    <row r="690" spans="1:29" ht="15.8" customHeight="1">
      <c r="A690" s="6"/>
      <c r="B690" s="6"/>
      <c r="C690" s="6"/>
      <c r="D690" s="6"/>
      <c r="E690" s="6"/>
      <c r="F690" s="94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8"/>
      <c r="AB690" s="8"/>
      <c r="AC690" s="8"/>
    </row>
    <row r="691" spans="1:29" ht="15.8" customHeight="1">
      <c r="A691" s="6"/>
      <c r="B691" s="6"/>
      <c r="C691" s="6"/>
      <c r="D691" s="6"/>
      <c r="E691" s="6"/>
      <c r="F691" s="94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8"/>
      <c r="AB691" s="8"/>
      <c r="AC691" s="8"/>
    </row>
    <row r="692" spans="1:29" ht="15.8" customHeight="1">
      <c r="A692" s="6"/>
      <c r="B692" s="6"/>
      <c r="C692" s="6"/>
      <c r="D692" s="6"/>
      <c r="E692" s="6"/>
      <c r="F692" s="94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8"/>
      <c r="AB692" s="8"/>
      <c r="AC692" s="8"/>
    </row>
    <row r="693" spans="1:29" ht="15.8" customHeight="1">
      <c r="A693" s="6"/>
      <c r="B693" s="6"/>
      <c r="C693" s="6"/>
      <c r="D693" s="6"/>
      <c r="E693" s="6"/>
      <c r="F693" s="94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8"/>
      <c r="AB693" s="8"/>
      <c r="AC693" s="8"/>
    </row>
    <row r="694" spans="1:29" ht="15.8" customHeight="1">
      <c r="A694" s="6"/>
      <c r="B694" s="6"/>
      <c r="C694" s="6"/>
      <c r="D694" s="6"/>
      <c r="E694" s="6"/>
      <c r="F694" s="94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8"/>
      <c r="AB694" s="8"/>
      <c r="AC694" s="8"/>
    </row>
    <row r="695" spans="1:29" ht="15.8" customHeight="1">
      <c r="A695" s="6"/>
      <c r="B695" s="6"/>
      <c r="C695" s="6"/>
      <c r="D695" s="6"/>
      <c r="E695" s="6"/>
      <c r="F695" s="94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8"/>
      <c r="AB695" s="8"/>
      <c r="AC695" s="8"/>
    </row>
    <row r="696" spans="1:29" ht="15.8" customHeight="1">
      <c r="A696" s="6"/>
      <c r="B696" s="6"/>
      <c r="C696" s="6"/>
      <c r="D696" s="6"/>
      <c r="E696" s="6"/>
      <c r="F696" s="94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8"/>
      <c r="AB696" s="8"/>
      <c r="AC696" s="8"/>
    </row>
    <row r="697" spans="1:29" ht="15.8" customHeight="1">
      <c r="A697" s="6"/>
      <c r="B697" s="6"/>
      <c r="C697" s="6"/>
      <c r="D697" s="6"/>
      <c r="E697" s="6"/>
      <c r="F697" s="94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8"/>
      <c r="AB697" s="8"/>
      <c r="AC697" s="8"/>
    </row>
    <row r="698" spans="1:29" ht="15.8" customHeight="1">
      <c r="A698" s="6"/>
      <c r="B698" s="6"/>
      <c r="C698" s="6"/>
      <c r="D698" s="6"/>
      <c r="E698" s="6"/>
      <c r="F698" s="94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8"/>
      <c r="AB698" s="8"/>
      <c r="AC698" s="8"/>
    </row>
    <row r="699" spans="1:29" ht="15.8" customHeight="1">
      <c r="A699" s="6"/>
      <c r="B699" s="6"/>
      <c r="C699" s="6"/>
      <c r="D699" s="6"/>
      <c r="E699" s="6"/>
      <c r="F699" s="94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8"/>
      <c r="AB699" s="8"/>
      <c r="AC699" s="8"/>
    </row>
    <row r="700" spans="1:29" ht="15.8" customHeight="1">
      <c r="A700" s="6"/>
      <c r="B700" s="6"/>
      <c r="C700" s="6"/>
      <c r="D700" s="6"/>
      <c r="E700" s="6"/>
      <c r="F700" s="94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8"/>
      <c r="AB700" s="8"/>
      <c r="AC700" s="8"/>
    </row>
    <row r="701" spans="1:29" ht="15.8" customHeight="1">
      <c r="A701" s="6"/>
      <c r="B701" s="6"/>
      <c r="C701" s="6"/>
      <c r="D701" s="6"/>
      <c r="E701" s="6"/>
      <c r="F701" s="94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8"/>
      <c r="AB701" s="8"/>
      <c r="AC701" s="8"/>
    </row>
    <row r="702" spans="1:29" ht="15.8" customHeight="1">
      <c r="A702" s="6"/>
      <c r="B702" s="6"/>
      <c r="C702" s="6"/>
      <c r="D702" s="6"/>
      <c r="E702" s="6"/>
      <c r="F702" s="94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8"/>
      <c r="AB702" s="8"/>
      <c r="AC702" s="8"/>
    </row>
    <row r="703" spans="1:29" ht="15.8" customHeight="1">
      <c r="A703" s="6"/>
      <c r="B703" s="6"/>
      <c r="C703" s="6"/>
      <c r="D703" s="6"/>
      <c r="E703" s="6"/>
      <c r="F703" s="94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8"/>
      <c r="AB703" s="8"/>
      <c r="AC703" s="8"/>
    </row>
    <row r="704" spans="1:29" ht="15.8" customHeight="1">
      <c r="A704" s="6"/>
      <c r="B704" s="6"/>
      <c r="C704" s="6"/>
      <c r="D704" s="6"/>
      <c r="E704" s="6"/>
      <c r="F704" s="94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8"/>
      <c r="AB704" s="8"/>
      <c r="AC704" s="8"/>
    </row>
    <row r="705" spans="1:29" ht="15.8" customHeight="1">
      <c r="A705" s="6"/>
      <c r="B705" s="6"/>
      <c r="C705" s="6"/>
      <c r="D705" s="6"/>
      <c r="E705" s="6"/>
      <c r="F705" s="94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8"/>
      <c r="AB705" s="8"/>
      <c r="AC705" s="8"/>
    </row>
    <row r="706" spans="1:29" ht="15.8" customHeight="1">
      <c r="A706" s="6"/>
      <c r="B706" s="6"/>
      <c r="C706" s="6"/>
      <c r="D706" s="6"/>
      <c r="E706" s="6"/>
      <c r="F706" s="94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8"/>
      <c r="AB706" s="8"/>
      <c r="AC706" s="8"/>
    </row>
    <row r="707" spans="1:29" ht="15.8" customHeight="1">
      <c r="A707" s="6"/>
      <c r="B707" s="6"/>
      <c r="C707" s="6"/>
      <c r="D707" s="6"/>
      <c r="E707" s="6"/>
      <c r="F707" s="94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8"/>
      <c r="AB707" s="8"/>
      <c r="AC707" s="8"/>
    </row>
    <row r="708" spans="1:29" ht="15.8" customHeight="1">
      <c r="A708" s="6"/>
      <c r="B708" s="6"/>
      <c r="C708" s="6"/>
      <c r="D708" s="6"/>
      <c r="E708" s="6"/>
      <c r="F708" s="94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8"/>
      <c r="AB708" s="8"/>
      <c r="AC708" s="8"/>
    </row>
    <row r="709" spans="1:29" ht="15.8" customHeight="1">
      <c r="A709" s="6"/>
      <c r="B709" s="6"/>
      <c r="C709" s="6"/>
      <c r="D709" s="6"/>
      <c r="E709" s="6"/>
      <c r="F709" s="94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8"/>
      <c r="AB709" s="8"/>
      <c r="AC709" s="8"/>
    </row>
    <row r="710" spans="1:29" ht="15.8" customHeight="1">
      <c r="A710" s="6"/>
      <c r="B710" s="6"/>
      <c r="C710" s="6"/>
      <c r="D710" s="6"/>
      <c r="E710" s="6"/>
      <c r="F710" s="94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8"/>
      <c r="AB710" s="8"/>
      <c r="AC710" s="8"/>
    </row>
    <row r="711" spans="1:29" ht="15.8" customHeight="1">
      <c r="A711" s="6"/>
      <c r="B711" s="6"/>
      <c r="C711" s="6"/>
      <c r="D711" s="6"/>
      <c r="E711" s="6"/>
      <c r="F711" s="94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8"/>
      <c r="AB711" s="8"/>
      <c r="AC711" s="8"/>
    </row>
    <row r="712" spans="1:29" ht="15.8" customHeight="1">
      <c r="A712" s="6"/>
      <c r="B712" s="6"/>
      <c r="C712" s="6"/>
      <c r="D712" s="6"/>
      <c r="E712" s="6"/>
      <c r="F712" s="94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8"/>
      <c r="AB712" s="8"/>
      <c r="AC712" s="8"/>
    </row>
    <row r="713" spans="1:29" ht="15.8" customHeight="1">
      <c r="A713" s="6"/>
      <c r="B713" s="6"/>
      <c r="C713" s="6"/>
      <c r="D713" s="6"/>
      <c r="E713" s="6"/>
      <c r="F713" s="94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8"/>
      <c r="AB713" s="8"/>
      <c r="AC713" s="8"/>
    </row>
    <row r="714" spans="1:29" ht="15.8" customHeight="1">
      <c r="A714" s="6"/>
      <c r="B714" s="6"/>
      <c r="C714" s="6"/>
      <c r="D714" s="6"/>
      <c r="E714" s="6"/>
      <c r="F714" s="94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8"/>
      <c r="AB714" s="8"/>
      <c r="AC714" s="8"/>
    </row>
    <row r="715" spans="1:29" ht="15.8" customHeight="1">
      <c r="A715" s="6"/>
      <c r="B715" s="6"/>
      <c r="C715" s="6"/>
      <c r="D715" s="6"/>
      <c r="E715" s="6"/>
      <c r="F715" s="94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8"/>
      <c r="AB715" s="8"/>
      <c r="AC715" s="8"/>
    </row>
    <row r="716" spans="1:29" ht="15.8" customHeight="1">
      <c r="A716" s="6"/>
      <c r="B716" s="6"/>
      <c r="C716" s="6"/>
      <c r="D716" s="6"/>
      <c r="E716" s="6"/>
      <c r="F716" s="94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8"/>
      <c r="AB716" s="8"/>
      <c r="AC716" s="8"/>
    </row>
    <row r="717" spans="1:29" ht="15.8" customHeight="1">
      <c r="A717" s="6"/>
      <c r="B717" s="6"/>
      <c r="C717" s="6"/>
      <c r="D717" s="6"/>
      <c r="E717" s="6"/>
      <c r="F717" s="94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8"/>
      <c r="AB717" s="8"/>
      <c r="AC717" s="8"/>
    </row>
    <row r="718" spans="1:29" ht="15.8" customHeight="1">
      <c r="A718" s="6"/>
      <c r="B718" s="6"/>
      <c r="C718" s="6"/>
      <c r="D718" s="6"/>
      <c r="E718" s="6"/>
      <c r="F718" s="94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8"/>
      <c r="AB718" s="8"/>
      <c r="AC718" s="8"/>
    </row>
    <row r="719" spans="1:29" ht="15.8" customHeight="1">
      <c r="A719" s="6"/>
      <c r="B719" s="6"/>
      <c r="C719" s="6"/>
      <c r="D719" s="6"/>
      <c r="E719" s="6"/>
      <c r="F719" s="94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8"/>
      <c r="AB719" s="8"/>
      <c r="AC719" s="8"/>
    </row>
    <row r="720" spans="1:29" ht="15.8" customHeight="1">
      <c r="A720" s="6"/>
      <c r="B720" s="6"/>
      <c r="C720" s="6"/>
      <c r="D720" s="6"/>
      <c r="E720" s="6"/>
      <c r="F720" s="94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8"/>
      <c r="AB720" s="8"/>
      <c r="AC720" s="8"/>
    </row>
    <row r="721" spans="1:29" ht="15.8" customHeight="1">
      <c r="A721" s="6"/>
      <c r="B721" s="6"/>
      <c r="C721" s="6"/>
      <c r="D721" s="6"/>
      <c r="E721" s="6"/>
      <c r="F721" s="94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8"/>
      <c r="AB721" s="8"/>
      <c r="AC721" s="8"/>
    </row>
    <row r="722" spans="1:29" ht="15.8" customHeight="1">
      <c r="A722" s="6"/>
      <c r="B722" s="6"/>
      <c r="C722" s="6"/>
      <c r="D722" s="6"/>
      <c r="E722" s="6"/>
      <c r="F722" s="94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8"/>
      <c r="AB722" s="8"/>
      <c r="AC722" s="8"/>
    </row>
    <row r="723" spans="1:29" ht="15.8" customHeight="1">
      <c r="A723" s="6"/>
      <c r="B723" s="6"/>
      <c r="C723" s="6"/>
      <c r="D723" s="6"/>
      <c r="E723" s="6"/>
      <c r="F723" s="94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8"/>
      <c r="AB723" s="8"/>
      <c r="AC723" s="8"/>
    </row>
    <row r="724" spans="1:29" ht="15.8" customHeight="1">
      <c r="A724" s="6"/>
      <c r="B724" s="6"/>
      <c r="C724" s="6"/>
      <c r="D724" s="6"/>
      <c r="E724" s="6"/>
      <c r="F724" s="94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8"/>
      <c r="AB724" s="8"/>
      <c r="AC724" s="8"/>
    </row>
    <row r="725" spans="1:29" ht="15.8" customHeight="1">
      <c r="A725" s="6"/>
      <c r="B725" s="6"/>
      <c r="C725" s="6"/>
      <c r="D725" s="6"/>
      <c r="E725" s="6"/>
      <c r="F725" s="94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8"/>
      <c r="AB725" s="8"/>
      <c r="AC725" s="8"/>
    </row>
    <row r="726" spans="1:29" ht="15.8" customHeight="1">
      <c r="A726" s="6"/>
      <c r="B726" s="6"/>
      <c r="C726" s="6"/>
      <c r="D726" s="6"/>
      <c r="E726" s="6"/>
      <c r="F726" s="94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8"/>
      <c r="AB726" s="8"/>
      <c r="AC726" s="8"/>
    </row>
    <row r="727" spans="1:29" ht="15.8" customHeight="1">
      <c r="A727" s="6"/>
      <c r="B727" s="6"/>
      <c r="C727" s="6"/>
      <c r="D727" s="6"/>
      <c r="E727" s="6"/>
      <c r="F727" s="94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8"/>
      <c r="AB727" s="8"/>
      <c r="AC727" s="8"/>
    </row>
    <row r="728" spans="1:29" ht="15.8" customHeight="1">
      <c r="A728" s="6"/>
      <c r="B728" s="6"/>
      <c r="C728" s="6"/>
      <c r="D728" s="6"/>
      <c r="E728" s="6"/>
      <c r="F728" s="94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8"/>
      <c r="AB728" s="8"/>
      <c r="AC728" s="8"/>
    </row>
    <row r="729" spans="1:29" ht="15.8" customHeight="1">
      <c r="A729" s="6"/>
      <c r="B729" s="6"/>
      <c r="C729" s="6"/>
      <c r="D729" s="6"/>
      <c r="E729" s="6"/>
      <c r="F729" s="94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8"/>
      <c r="AB729" s="8"/>
      <c r="AC729" s="8"/>
    </row>
    <row r="730" spans="1:29" ht="15.8" customHeight="1">
      <c r="A730" s="6"/>
      <c r="B730" s="6"/>
      <c r="C730" s="6"/>
      <c r="D730" s="6"/>
      <c r="E730" s="6"/>
      <c r="F730" s="94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8"/>
      <c r="AB730" s="8"/>
      <c r="AC730" s="8"/>
    </row>
    <row r="731" spans="1:29" ht="15.8" customHeight="1">
      <c r="A731" s="6"/>
      <c r="B731" s="6"/>
      <c r="C731" s="6"/>
      <c r="D731" s="6"/>
      <c r="E731" s="6"/>
      <c r="F731" s="94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8"/>
      <c r="AB731" s="8"/>
      <c r="AC731" s="8"/>
    </row>
    <row r="732" spans="1:29" ht="15.8" customHeight="1">
      <c r="A732" s="6"/>
      <c r="B732" s="6"/>
      <c r="C732" s="6"/>
      <c r="D732" s="6"/>
      <c r="E732" s="6"/>
      <c r="F732" s="94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8"/>
      <c r="AB732" s="8"/>
      <c r="AC732" s="8"/>
    </row>
    <row r="733" spans="1:29" ht="15.8" customHeight="1">
      <c r="A733" s="6"/>
      <c r="B733" s="6"/>
      <c r="C733" s="6"/>
      <c r="D733" s="6"/>
      <c r="E733" s="6"/>
      <c r="F733" s="94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8"/>
      <c r="AB733" s="8"/>
      <c r="AC733" s="8"/>
    </row>
    <row r="734" spans="1:29" ht="15.8" customHeight="1">
      <c r="A734" s="6"/>
      <c r="B734" s="6"/>
      <c r="C734" s="6"/>
      <c r="D734" s="6"/>
      <c r="E734" s="6"/>
      <c r="F734" s="94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8"/>
      <c r="AB734" s="8"/>
      <c r="AC734" s="8"/>
    </row>
    <row r="735" spans="1:29" ht="15.8" customHeight="1">
      <c r="A735" s="6"/>
      <c r="B735" s="6"/>
      <c r="C735" s="6"/>
      <c r="D735" s="6"/>
      <c r="E735" s="6"/>
      <c r="F735" s="94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8"/>
      <c r="AB735" s="8"/>
      <c r="AC735" s="8"/>
    </row>
    <row r="736" spans="1:29" ht="15.8" customHeight="1">
      <c r="A736" s="6"/>
      <c r="B736" s="6"/>
      <c r="C736" s="6"/>
      <c r="D736" s="6"/>
      <c r="E736" s="6"/>
      <c r="F736" s="94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8"/>
      <c r="AB736" s="8"/>
      <c r="AC736" s="8"/>
    </row>
    <row r="737" spans="1:29" ht="15.8" customHeight="1">
      <c r="A737" s="6"/>
      <c r="B737" s="6"/>
      <c r="C737" s="6"/>
      <c r="D737" s="6"/>
      <c r="E737" s="6"/>
      <c r="F737" s="94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8"/>
      <c r="AB737" s="8"/>
      <c r="AC737" s="8"/>
    </row>
    <row r="738" spans="1:29" ht="15.8" customHeight="1">
      <c r="A738" s="6"/>
      <c r="B738" s="6"/>
      <c r="C738" s="6"/>
      <c r="D738" s="6"/>
      <c r="E738" s="6"/>
      <c r="F738" s="94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8"/>
      <c r="AB738" s="8"/>
      <c r="AC738" s="8"/>
    </row>
    <row r="739" spans="1:29" ht="15.8" customHeight="1">
      <c r="A739" s="6"/>
      <c r="B739" s="6"/>
      <c r="C739" s="6"/>
      <c r="D739" s="6"/>
      <c r="E739" s="6"/>
      <c r="F739" s="94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8"/>
      <c r="AB739" s="8"/>
      <c r="AC739" s="8"/>
    </row>
    <row r="740" spans="1:29" ht="15.8" customHeight="1">
      <c r="A740" s="6"/>
      <c r="B740" s="6"/>
      <c r="C740" s="6"/>
      <c r="D740" s="6"/>
      <c r="E740" s="6"/>
      <c r="F740" s="94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8"/>
      <c r="AB740" s="8"/>
      <c r="AC740" s="8"/>
    </row>
    <row r="741" spans="1:29" ht="15.8" customHeight="1">
      <c r="A741" s="6"/>
      <c r="B741" s="6"/>
      <c r="C741" s="6"/>
      <c r="D741" s="6"/>
      <c r="E741" s="6"/>
      <c r="F741" s="94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8"/>
      <c r="AB741" s="8"/>
      <c r="AC741" s="8"/>
    </row>
    <row r="742" spans="1:29" ht="15.8" customHeight="1">
      <c r="A742" s="6"/>
      <c r="B742" s="6"/>
      <c r="C742" s="6"/>
      <c r="D742" s="6"/>
      <c r="E742" s="6"/>
      <c r="F742" s="94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8"/>
      <c r="AB742" s="8"/>
      <c r="AC742" s="8"/>
    </row>
    <row r="743" spans="1:29" ht="15.8" customHeight="1">
      <c r="A743" s="6"/>
      <c r="B743" s="6"/>
      <c r="C743" s="6"/>
      <c r="D743" s="6"/>
      <c r="E743" s="6"/>
      <c r="F743" s="94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8"/>
      <c r="AB743" s="8"/>
      <c r="AC743" s="8"/>
    </row>
    <row r="744" spans="1:29" ht="15.8" customHeight="1">
      <c r="A744" s="6"/>
      <c r="B744" s="6"/>
      <c r="C744" s="6"/>
      <c r="D744" s="6"/>
      <c r="E744" s="6"/>
      <c r="F744" s="94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8"/>
      <c r="AB744" s="8"/>
      <c r="AC744" s="8"/>
    </row>
    <row r="745" spans="1:29" ht="15.8" customHeight="1">
      <c r="A745" s="6"/>
      <c r="B745" s="6"/>
      <c r="C745" s="6"/>
      <c r="D745" s="6"/>
      <c r="E745" s="6"/>
      <c r="F745" s="94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8"/>
      <c r="AB745" s="8"/>
      <c r="AC745" s="8"/>
    </row>
    <row r="746" spans="1:29" ht="15.8" customHeight="1">
      <c r="A746" s="6"/>
      <c r="B746" s="6"/>
      <c r="C746" s="6"/>
      <c r="D746" s="6"/>
      <c r="E746" s="6"/>
      <c r="F746" s="94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8"/>
      <c r="AB746" s="8"/>
      <c r="AC746" s="8"/>
    </row>
    <row r="747" spans="1:29" ht="15.8" customHeight="1">
      <c r="A747" s="6"/>
      <c r="B747" s="6"/>
      <c r="C747" s="6"/>
      <c r="D747" s="6"/>
      <c r="E747" s="6"/>
      <c r="F747" s="94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8"/>
      <c r="AB747" s="8"/>
      <c r="AC747" s="8"/>
    </row>
    <row r="748" spans="1:29" ht="15.8" customHeight="1">
      <c r="A748" s="6"/>
      <c r="B748" s="6"/>
      <c r="C748" s="6"/>
      <c r="D748" s="6"/>
      <c r="E748" s="6"/>
      <c r="F748" s="94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8"/>
      <c r="AB748" s="8"/>
      <c r="AC748" s="8"/>
    </row>
    <row r="749" spans="1:29" ht="15.8" customHeight="1">
      <c r="A749" s="6"/>
      <c r="B749" s="6"/>
      <c r="C749" s="6"/>
      <c r="D749" s="6"/>
      <c r="E749" s="6"/>
      <c r="F749" s="94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8"/>
      <c r="AB749" s="8"/>
      <c r="AC749" s="8"/>
    </row>
    <row r="750" spans="1:29" ht="15.8" customHeight="1">
      <c r="A750" s="6"/>
      <c r="B750" s="6"/>
      <c r="C750" s="6"/>
      <c r="D750" s="6"/>
      <c r="E750" s="6"/>
      <c r="F750" s="94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8"/>
      <c r="AB750" s="8"/>
      <c r="AC750" s="8"/>
    </row>
    <row r="751" spans="1:29" ht="15.8" customHeight="1">
      <c r="A751" s="6"/>
      <c r="B751" s="6"/>
      <c r="C751" s="6"/>
      <c r="D751" s="6"/>
      <c r="E751" s="6"/>
      <c r="F751" s="94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8"/>
      <c r="AB751" s="8"/>
      <c r="AC751" s="8"/>
    </row>
    <row r="752" spans="1:29" ht="14.3" customHeight="1">
      <c r="A752" s="8"/>
      <c r="B752" s="8"/>
      <c r="C752" s="8"/>
      <c r="D752" s="8"/>
      <c r="E752" s="8"/>
      <c r="F752" s="173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</row>
    <row r="753" spans="1:29" ht="14.3" customHeight="1">
      <c r="A753" s="8"/>
      <c r="B753" s="8"/>
      <c r="C753" s="8"/>
      <c r="D753" s="8"/>
      <c r="E753" s="8"/>
      <c r="F753" s="173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</row>
    <row r="754" spans="1:29" ht="14.3" customHeight="1">
      <c r="A754" s="8"/>
      <c r="B754" s="8"/>
      <c r="C754" s="8"/>
      <c r="D754" s="8"/>
      <c r="E754" s="8"/>
      <c r="F754" s="173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</row>
    <row r="755" spans="1:29" ht="14.3" customHeight="1">
      <c r="A755" s="8"/>
      <c r="B755" s="8"/>
      <c r="C755" s="8"/>
      <c r="D755" s="8"/>
      <c r="E755" s="8"/>
      <c r="F755" s="173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</row>
    <row r="756" spans="1:29" ht="14.3" customHeight="1">
      <c r="A756" s="8"/>
      <c r="B756" s="8"/>
      <c r="C756" s="8"/>
      <c r="D756" s="8"/>
      <c r="E756" s="8"/>
      <c r="F756" s="173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</row>
    <row r="757" spans="1:29" ht="14.3" customHeight="1">
      <c r="A757" s="8"/>
      <c r="B757" s="8"/>
      <c r="C757" s="8"/>
      <c r="D757" s="8"/>
      <c r="E757" s="8"/>
      <c r="F757" s="173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</row>
    <row r="758" spans="1:29" ht="14.3" customHeight="1">
      <c r="A758" s="8"/>
      <c r="B758" s="8"/>
      <c r="C758" s="8"/>
      <c r="D758" s="8"/>
      <c r="E758" s="8"/>
      <c r="F758" s="173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</row>
    <row r="759" spans="1:29" ht="14.3" customHeight="1">
      <c r="A759" s="8"/>
      <c r="B759" s="8"/>
      <c r="C759" s="8"/>
      <c r="D759" s="8"/>
      <c r="E759" s="8"/>
      <c r="F759" s="173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</row>
    <row r="760" spans="1:29" ht="14.3" customHeight="1">
      <c r="A760" s="8"/>
      <c r="B760" s="8"/>
      <c r="C760" s="8"/>
      <c r="D760" s="8"/>
      <c r="E760" s="8"/>
      <c r="F760" s="173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</row>
    <row r="761" spans="1:29" ht="14.3" customHeight="1">
      <c r="A761" s="8"/>
      <c r="B761" s="8"/>
      <c r="C761" s="8"/>
      <c r="D761" s="8"/>
      <c r="E761" s="8"/>
      <c r="F761" s="173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</row>
    <row r="762" spans="1:29" ht="14.3" customHeight="1">
      <c r="A762" s="8"/>
      <c r="B762" s="8"/>
      <c r="C762" s="8"/>
      <c r="D762" s="8"/>
      <c r="E762" s="8"/>
      <c r="F762" s="173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</row>
    <row r="763" spans="1:29" ht="14.3" customHeight="1">
      <c r="A763" s="8"/>
      <c r="B763" s="8"/>
      <c r="C763" s="8"/>
      <c r="D763" s="8"/>
      <c r="E763" s="8"/>
      <c r="F763" s="173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</row>
    <row r="764" spans="1:29" ht="14.3" customHeight="1">
      <c r="A764" s="8"/>
      <c r="B764" s="8"/>
      <c r="C764" s="8"/>
      <c r="D764" s="8"/>
      <c r="E764" s="8"/>
      <c r="F764" s="173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</row>
    <row r="765" spans="1:29" ht="14.3" customHeight="1">
      <c r="A765" s="8"/>
      <c r="B765" s="8"/>
      <c r="C765" s="8"/>
      <c r="D765" s="8"/>
      <c r="E765" s="8"/>
      <c r="F765" s="173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</row>
    <row r="766" spans="1:29" ht="14.3" customHeight="1">
      <c r="A766" s="8"/>
      <c r="B766" s="8"/>
      <c r="C766" s="8"/>
      <c r="D766" s="8"/>
      <c r="E766" s="8"/>
      <c r="F766" s="173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</row>
    <row r="767" spans="1:29" ht="14.3" customHeight="1">
      <c r="A767" s="8"/>
      <c r="B767" s="8"/>
      <c r="C767" s="8"/>
      <c r="D767" s="8"/>
      <c r="E767" s="8"/>
      <c r="F767" s="173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</row>
    <row r="768" spans="1:29" ht="14.3" customHeight="1">
      <c r="A768" s="8"/>
      <c r="B768" s="8"/>
      <c r="C768" s="8"/>
      <c r="D768" s="8"/>
      <c r="E768" s="8"/>
      <c r="F768" s="173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</row>
    <row r="769" spans="1:29" ht="14.3" customHeight="1">
      <c r="A769" s="8"/>
      <c r="B769" s="8"/>
      <c r="C769" s="8"/>
      <c r="D769" s="8"/>
      <c r="E769" s="8"/>
      <c r="F769" s="173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</row>
    <row r="770" spans="1:29" ht="14.3" customHeight="1">
      <c r="A770" s="8"/>
      <c r="B770" s="8"/>
      <c r="C770" s="8"/>
      <c r="D770" s="8"/>
      <c r="E770" s="8"/>
      <c r="F770" s="173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</row>
    <row r="771" spans="1:29" ht="14.3" customHeight="1">
      <c r="A771" s="8"/>
      <c r="B771" s="8"/>
      <c r="C771" s="8"/>
      <c r="D771" s="8"/>
      <c r="E771" s="8"/>
      <c r="F771" s="173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</row>
    <row r="772" spans="1:29" ht="14.3" customHeight="1">
      <c r="A772" s="8"/>
      <c r="B772" s="8"/>
      <c r="C772" s="8"/>
      <c r="D772" s="8"/>
      <c r="E772" s="8"/>
      <c r="F772" s="173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</row>
    <row r="773" spans="1:29" ht="14.3" customHeight="1">
      <c r="A773" s="8"/>
      <c r="B773" s="8"/>
      <c r="C773" s="8"/>
      <c r="D773" s="8"/>
      <c r="E773" s="8"/>
      <c r="F773" s="173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</row>
    <row r="774" spans="1:29" ht="14.3" customHeight="1">
      <c r="A774" s="8"/>
      <c r="B774" s="8"/>
      <c r="C774" s="8"/>
      <c r="D774" s="8"/>
      <c r="E774" s="8"/>
      <c r="F774" s="173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</row>
    <row r="775" spans="1:29" ht="14.3" customHeight="1">
      <c r="A775" s="8"/>
      <c r="B775" s="8"/>
      <c r="C775" s="8"/>
      <c r="D775" s="8"/>
      <c r="E775" s="8"/>
      <c r="F775" s="173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</row>
    <row r="776" spans="1:29" ht="14.3" customHeight="1">
      <c r="A776" s="8"/>
      <c r="B776" s="8"/>
      <c r="C776" s="8"/>
      <c r="D776" s="8"/>
      <c r="E776" s="8"/>
      <c r="F776" s="173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</row>
    <row r="777" spans="1:29" ht="14.3" customHeight="1">
      <c r="A777" s="8"/>
      <c r="B777" s="8"/>
      <c r="C777" s="8"/>
      <c r="D777" s="8"/>
      <c r="E777" s="8"/>
      <c r="F777" s="173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</row>
    <row r="778" spans="1:29" ht="14.3" customHeight="1">
      <c r="A778" s="8"/>
      <c r="B778" s="8"/>
      <c r="C778" s="8"/>
      <c r="D778" s="8"/>
      <c r="E778" s="8"/>
      <c r="F778" s="173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</row>
    <row r="779" spans="1:29" ht="14.3" customHeight="1">
      <c r="A779" s="8"/>
      <c r="B779" s="8"/>
      <c r="C779" s="8"/>
      <c r="D779" s="8"/>
      <c r="E779" s="8"/>
      <c r="F779" s="173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</row>
    <row r="780" spans="1:29" ht="14.3" customHeight="1">
      <c r="A780" s="8"/>
      <c r="B780" s="8"/>
      <c r="C780" s="8"/>
      <c r="D780" s="8"/>
      <c r="E780" s="8"/>
      <c r="F780" s="173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</row>
    <row r="781" spans="1:29" ht="14.3" customHeight="1">
      <c r="A781" s="8"/>
      <c r="B781" s="8"/>
      <c r="C781" s="8"/>
      <c r="D781" s="8"/>
      <c r="E781" s="8"/>
      <c r="F781" s="173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</row>
    <row r="782" spans="1:29" ht="14.3" customHeight="1">
      <c r="A782" s="8"/>
      <c r="B782" s="8"/>
      <c r="C782" s="8"/>
      <c r="D782" s="8"/>
      <c r="E782" s="8"/>
      <c r="F782" s="173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</row>
    <row r="783" spans="1:29" ht="14.3" customHeight="1">
      <c r="A783" s="8"/>
      <c r="B783" s="8"/>
      <c r="C783" s="8"/>
      <c r="D783" s="8"/>
      <c r="E783" s="8"/>
      <c r="F783" s="173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</row>
    <row r="784" spans="1:29" ht="14.3" customHeight="1">
      <c r="A784" s="8"/>
      <c r="B784" s="8"/>
      <c r="C784" s="8"/>
      <c r="D784" s="8"/>
      <c r="E784" s="8"/>
      <c r="F784" s="173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</row>
    <row r="785" spans="1:29" ht="14.3" customHeight="1">
      <c r="A785" s="8"/>
      <c r="B785" s="8"/>
      <c r="C785" s="8"/>
      <c r="D785" s="8"/>
      <c r="E785" s="8"/>
      <c r="F785" s="173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</row>
    <row r="786" spans="1:29" ht="14.3" customHeight="1">
      <c r="A786" s="8"/>
      <c r="B786" s="8"/>
      <c r="C786" s="8"/>
      <c r="D786" s="8"/>
      <c r="E786" s="8"/>
      <c r="F786" s="173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</row>
    <row r="787" spans="1:29" ht="14.3" customHeight="1">
      <c r="A787" s="8"/>
      <c r="B787" s="8"/>
      <c r="C787" s="8"/>
      <c r="D787" s="8"/>
      <c r="E787" s="8"/>
      <c r="F787" s="173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</row>
    <row r="788" spans="1:29" ht="14.3" customHeight="1">
      <c r="A788" s="8"/>
      <c r="B788" s="8"/>
      <c r="C788" s="8"/>
      <c r="D788" s="8"/>
      <c r="E788" s="8"/>
      <c r="F788" s="173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</row>
    <row r="789" spans="1:29" ht="14.3" customHeight="1">
      <c r="A789" s="8"/>
      <c r="B789" s="8"/>
      <c r="C789" s="8"/>
      <c r="D789" s="8"/>
      <c r="E789" s="8"/>
      <c r="F789" s="173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</row>
    <row r="790" spans="1:29" ht="14.3" customHeight="1">
      <c r="A790" s="8"/>
      <c r="B790" s="8"/>
      <c r="C790" s="8"/>
      <c r="D790" s="8"/>
      <c r="E790" s="8"/>
      <c r="F790" s="173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</row>
    <row r="791" spans="1:29" ht="14.3" customHeight="1">
      <c r="A791" s="8"/>
      <c r="B791" s="8"/>
      <c r="C791" s="8"/>
      <c r="D791" s="8"/>
      <c r="E791" s="8"/>
      <c r="F791" s="173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</row>
    <row r="792" spans="1:29" ht="14.3" customHeight="1">
      <c r="A792" s="8"/>
      <c r="B792" s="8"/>
      <c r="C792" s="8"/>
      <c r="D792" s="8"/>
      <c r="E792" s="8"/>
      <c r="F792" s="173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</row>
    <row r="793" spans="1:29" ht="14.3" customHeight="1">
      <c r="A793" s="8"/>
      <c r="B793" s="8"/>
      <c r="C793" s="8"/>
      <c r="D793" s="8"/>
      <c r="E793" s="8"/>
      <c r="F793" s="173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</row>
    <row r="794" spans="1:29" ht="14.3" customHeight="1">
      <c r="A794" s="8"/>
      <c r="B794" s="8"/>
      <c r="C794" s="8"/>
      <c r="D794" s="8"/>
      <c r="E794" s="8"/>
      <c r="F794" s="173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</row>
    <row r="795" spans="1:29" ht="14.3" customHeight="1">
      <c r="A795" s="8"/>
      <c r="B795" s="8"/>
      <c r="C795" s="8"/>
      <c r="D795" s="8"/>
      <c r="E795" s="8"/>
      <c r="F795" s="173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</row>
    <row r="796" spans="1:29" ht="14.3" customHeight="1">
      <c r="A796" s="8"/>
      <c r="B796" s="8"/>
      <c r="C796" s="8"/>
      <c r="D796" s="8"/>
      <c r="E796" s="8"/>
      <c r="F796" s="173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</row>
    <row r="797" spans="1:29" ht="14.3" customHeight="1">
      <c r="A797" s="8"/>
      <c r="B797" s="8"/>
      <c r="C797" s="8"/>
      <c r="D797" s="8"/>
      <c r="E797" s="8"/>
      <c r="F797" s="173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</row>
    <row r="798" spans="1:29" ht="14.3" customHeight="1">
      <c r="A798" s="8"/>
      <c r="B798" s="8"/>
      <c r="C798" s="8"/>
      <c r="D798" s="8"/>
      <c r="E798" s="8"/>
      <c r="F798" s="173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</row>
    <row r="799" spans="1:29" ht="14.3" customHeight="1">
      <c r="A799" s="8"/>
      <c r="B799" s="8"/>
      <c r="C799" s="8"/>
      <c r="D799" s="8"/>
      <c r="E799" s="8"/>
      <c r="F799" s="173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</row>
    <row r="800" spans="1:29" ht="14.3" customHeight="1">
      <c r="A800" s="8"/>
      <c r="B800" s="8"/>
      <c r="C800" s="8"/>
      <c r="D800" s="8"/>
      <c r="E800" s="8"/>
      <c r="F800" s="173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</row>
    <row r="801" spans="1:29" ht="14.3" customHeight="1">
      <c r="A801" s="8"/>
      <c r="B801" s="8"/>
      <c r="C801" s="8"/>
      <c r="D801" s="8"/>
      <c r="E801" s="8"/>
      <c r="F801" s="173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</row>
    <row r="802" spans="1:29" ht="14.3" customHeight="1">
      <c r="A802" s="8"/>
      <c r="B802" s="8"/>
      <c r="C802" s="8"/>
      <c r="D802" s="8"/>
      <c r="E802" s="8"/>
      <c r="F802" s="173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</row>
    <row r="803" spans="1:29" ht="14.3" customHeight="1">
      <c r="A803" s="8"/>
      <c r="B803" s="8"/>
      <c r="C803" s="8"/>
      <c r="D803" s="8"/>
      <c r="E803" s="8"/>
      <c r="F803" s="173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</row>
    <row r="804" spans="1:29" ht="14.3" customHeight="1">
      <c r="A804" s="8"/>
      <c r="B804" s="8"/>
      <c r="C804" s="8"/>
      <c r="D804" s="8"/>
      <c r="E804" s="8"/>
      <c r="F804" s="173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</row>
    <row r="805" spans="1:29" ht="14.3" customHeight="1">
      <c r="A805" s="8"/>
      <c r="B805" s="8"/>
      <c r="C805" s="8"/>
      <c r="D805" s="8"/>
      <c r="E805" s="8"/>
      <c r="F805" s="173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</row>
    <row r="806" spans="1:29" ht="14.3" customHeight="1">
      <c r="A806" s="8"/>
      <c r="B806" s="8"/>
      <c r="C806" s="8"/>
      <c r="D806" s="8"/>
      <c r="E806" s="8"/>
      <c r="F806" s="173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</row>
    <row r="807" spans="1:29" ht="14.3" customHeight="1">
      <c r="A807" s="8"/>
      <c r="B807" s="8"/>
      <c r="C807" s="8"/>
      <c r="D807" s="8"/>
      <c r="E807" s="8"/>
      <c r="F807" s="173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</row>
    <row r="808" spans="1:29" ht="14.3" customHeight="1">
      <c r="A808" s="8"/>
      <c r="B808" s="8"/>
      <c r="C808" s="8"/>
      <c r="D808" s="8"/>
      <c r="E808" s="8"/>
      <c r="F808" s="173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</row>
    <row r="809" spans="1:29" ht="14.3" customHeight="1">
      <c r="A809" s="8"/>
      <c r="B809" s="8"/>
      <c r="C809" s="8"/>
      <c r="D809" s="8"/>
      <c r="E809" s="8"/>
      <c r="F809" s="173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</row>
    <row r="810" spans="1:29" ht="14.3" customHeight="1">
      <c r="A810" s="8"/>
      <c r="B810" s="8"/>
      <c r="C810" s="8"/>
      <c r="D810" s="8"/>
      <c r="E810" s="8"/>
      <c r="F810" s="173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</row>
    <row r="811" spans="1:29" ht="14.3" customHeight="1">
      <c r="A811" s="8"/>
      <c r="B811" s="8"/>
      <c r="C811" s="8"/>
      <c r="D811" s="8"/>
      <c r="E811" s="8"/>
      <c r="F811" s="173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</row>
    <row r="812" spans="1:29" ht="14.3" customHeight="1">
      <c r="A812" s="8"/>
      <c r="B812" s="8"/>
      <c r="C812" s="8"/>
      <c r="D812" s="8"/>
      <c r="E812" s="8"/>
      <c r="F812" s="173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</row>
    <row r="813" spans="1:29" ht="14.3" customHeight="1">
      <c r="A813" s="8"/>
      <c r="B813" s="8"/>
      <c r="C813" s="8"/>
      <c r="D813" s="8"/>
      <c r="E813" s="8"/>
      <c r="F813" s="173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</row>
    <row r="814" spans="1:29" ht="14.3" customHeight="1">
      <c r="A814" s="8"/>
      <c r="B814" s="8"/>
      <c r="C814" s="8"/>
      <c r="D814" s="8"/>
      <c r="E814" s="8"/>
      <c r="F814" s="173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</row>
    <row r="815" spans="1:29" ht="14.3" customHeight="1">
      <c r="A815" s="8"/>
      <c r="B815" s="8"/>
      <c r="C815" s="8"/>
      <c r="D815" s="8"/>
      <c r="E815" s="8"/>
      <c r="F815" s="173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</row>
    <row r="816" spans="1:29" ht="14.3" customHeight="1">
      <c r="A816" s="8"/>
      <c r="B816" s="8"/>
      <c r="C816" s="8"/>
      <c r="D816" s="8"/>
      <c r="E816" s="8"/>
      <c r="F816" s="173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</row>
    <row r="817" spans="1:29" ht="14.3" customHeight="1">
      <c r="A817" s="8"/>
      <c r="B817" s="8"/>
      <c r="C817" s="8"/>
      <c r="D817" s="8"/>
      <c r="E817" s="8"/>
      <c r="F817" s="173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</row>
    <row r="818" spans="1:29" ht="14.3" customHeight="1">
      <c r="A818" s="8"/>
      <c r="B818" s="8"/>
      <c r="C818" s="8"/>
      <c r="D818" s="8"/>
      <c r="E818" s="8"/>
      <c r="F818" s="173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</row>
    <row r="819" spans="1:29" ht="14.3" customHeight="1">
      <c r="A819" s="8"/>
      <c r="B819" s="8"/>
      <c r="C819" s="8"/>
      <c r="D819" s="8"/>
      <c r="E819" s="8"/>
      <c r="F819" s="173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</row>
    <row r="820" spans="1:29" ht="14.3" customHeight="1">
      <c r="A820" s="8"/>
      <c r="B820" s="8"/>
      <c r="C820" s="8"/>
      <c r="D820" s="8"/>
      <c r="E820" s="8"/>
      <c r="F820" s="173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</row>
    <row r="821" spans="1:29" ht="14.3" customHeight="1">
      <c r="A821" s="8"/>
      <c r="B821" s="8"/>
      <c r="C821" s="8"/>
      <c r="D821" s="8"/>
      <c r="E821" s="8"/>
      <c r="F821" s="173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</row>
    <row r="822" spans="1:29" ht="14.3" customHeight="1">
      <c r="A822" s="8"/>
      <c r="B822" s="8"/>
      <c r="C822" s="8"/>
      <c r="D822" s="8"/>
      <c r="E822" s="8"/>
      <c r="F822" s="173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</row>
    <row r="823" spans="1:29" ht="14.3" customHeight="1">
      <c r="A823" s="8"/>
      <c r="B823" s="8"/>
      <c r="C823" s="8"/>
      <c r="D823" s="8"/>
      <c r="E823" s="8"/>
      <c r="F823" s="173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</row>
    <row r="824" spans="1:29" ht="14.3" customHeight="1">
      <c r="A824" s="8"/>
      <c r="B824" s="8"/>
      <c r="C824" s="8"/>
      <c r="D824" s="8"/>
      <c r="E824" s="8"/>
      <c r="F824" s="173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</row>
    <row r="825" spans="1:29" ht="14.3" customHeight="1">
      <c r="A825" s="8"/>
      <c r="B825" s="8"/>
      <c r="C825" s="8"/>
      <c r="D825" s="8"/>
      <c r="E825" s="8"/>
      <c r="F825" s="173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</row>
    <row r="826" spans="1:29" ht="14.3" customHeight="1">
      <c r="A826" s="8"/>
      <c r="B826" s="8"/>
      <c r="C826" s="8"/>
      <c r="D826" s="8"/>
      <c r="E826" s="8"/>
      <c r="F826" s="173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</row>
    <row r="827" spans="1:29" ht="14.3" customHeight="1">
      <c r="A827" s="8"/>
      <c r="B827" s="8"/>
      <c r="C827" s="8"/>
      <c r="D827" s="8"/>
      <c r="E827" s="8"/>
      <c r="F827" s="173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</row>
    <row r="828" spans="1:29" ht="14.3" customHeight="1">
      <c r="A828" s="8"/>
      <c r="B828" s="8"/>
      <c r="C828" s="8"/>
      <c r="D828" s="8"/>
      <c r="E828" s="8"/>
      <c r="F828" s="173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</row>
    <row r="829" spans="1:29" ht="14.3" customHeight="1">
      <c r="A829" s="8"/>
      <c r="B829" s="8"/>
      <c r="C829" s="8"/>
      <c r="D829" s="8"/>
      <c r="E829" s="8"/>
      <c r="F829" s="173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</row>
    <row r="830" spans="1:29" ht="14.3" customHeight="1">
      <c r="A830" s="8"/>
      <c r="B830" s="8"/>
      <c r="C830" s="8"/>
      <c r="D830" s="8"/>
      <c r="E830" s="8"/>
      <c r="F830" s="173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</row>
    <row r="831" spans="1:29" ht="14.3" customHeight="1">
      <c r="A831" s="8"/>
      <c r="B831" s="8"/>
      <c r="C831" s="8"/>
      <c r="D831" s="8"/>
      <c r="E831" s="8"/>
      <c r="F831" s="173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</row>
    <row r="832" spans="1:29" ht="14.3" customHeight="1">
      <c r="A832" s="8"/>
      <c r="B832" s="8"/>
      <c r="C832" s="8"/>
      <c r="D832" s="8"/>
      <c r="E832" s="8"/>
      <c r="F832" s="173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</row>
    <row r="833" spans="1:29" ht="14.3" customHeight="1">
      <c r="A833" s="8"/>
      <c r="B833" s="8"/>
      <c r="C833" s="8"/>
      <c r="D833" s="8"/>
      <c r="E833" s="8"/>
      <c r="F833" s="173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</row>
    <row r="834" spans="1:29" ht="14.3" customHeight="1">
      <c r="A834" s="8"/>
      <c r="B834" s="8"/>
      <c r="C834" s="8"/>
      <c r="D834" s="8"/>
      <c r="E834" s="8"/>
      <c r="F834" s="173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</row>
    <row r="835" spans="1:29" ht="14.3" customHeight="1">
      <c r="A835" s="8"/>
      <c r="B835" s="8"/>
      <c r="C835" s="8"/>
      <c r="D835" s="8"/>
      <c r="E835" s="8"/>
      <c r="F835" s="173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</row>
    <row r="836" spans="1:29" ht="14.3" customHeight="1">
      <c r="A836" s="8"/>
      <c r="B836" s="8"/>
      <c r="C836" s="8"/>
      <c r="D836" s="8"/>
      <c r="E836" s="8"/>
      <c r="F836" s="173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</row>
    <row r="837" spans="1:29" ht="14.3" customHeight="1">
      <c r="A837" s="8"/>
      <c r="B837" s="8"/>
      <c r="C837" s="8"/>
      <c r="D837" s="8"/>
      <c r="E837" s="8"/>
      <c r="F837" s="173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</row>
    <row r="838" spans="1:29" ht="14.3" customHeight="1">
      <c r="A838" s="8"/>
      <c r="B838" s="8"/>
      <c r="C838" s="8"/>
      <c r="D838" s="8"/>
      <c r="E838" s="8"/>
      <c r="F838" s="173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</row>
    <row r="839" spans="1:29" ht="14.3" customHeight="1">
      <c r="A839" s="8"/>
      <c r="B839" s="8"/>
      <c r="C839" s="8"/>
      <c r="D839" s="8"/>
      <c r="E839" s="8"/>
      <c r="F839" s="173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</row>
    <row r="840" spans="1:29" ht="14.3" customHeight="1">
      <c r="A840" s="8"/>
      <c r="B840" s="8"/>
      <c r="C840" s="8"/>
      <c r="D840" s="8"/>
      <c r="E840" s="8"/>
      <c r="F840" s="173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</row>
    <row r="841" spans="1:29" ht="14.3" customHeight="1">
      <c r="A841" s="8"/>
      <c r="B841" s="8"/>
      <c r="C841" s="8"/>
      <c r="D841" s="8"/>
      <c r="E841" s="8"/>
      <c r="F841" s="173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</row>
    <row r="842" spans="1:29" ht="14.3" customHeight="1">
      <c r="A842" s="8"/>
      <c r="B842" s="8"/>
      <c r="C842" s="8"/>
      <c r="D842" s="8"/>
      <c r="E842" s="8"/>
      <c r="F842" s="173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</row>
    <row r="843" spans="1:29" ht="14.3" customHeight="1">
      <c r="A843" s="8"/>
      <c r="B843" s="8"/>
      <c r="C843" s="8"/>
      <c r="D843" s="8"/>
      <c r="E843" s="8"/>
      <c r="F843" s="173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</row>
    <row r="844" spans="1:29" ht="14.3" customHeight="1">
      <c r="A844" s="8"/>
      <c r="B844" s="8"/>
      <c r="C844" s="8"/>
      <c r="D844" s="8"/>
      <c r="E844" s="8"/>
      <c r="F844" s="173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</row>
    <row r="845" spans="1:29" ht="14.3" customHeight="1">
      <c r="A845" s="8"/>
      <c r="B845" s="8"/>
      <c r="C845" s="8"/>
      <c r="D845" s="8"/>
      <c r="E845" s="8"/>
      <c r="F845" s="173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</row>
    <row r="846" spans="1:29" ht="14.3" customHeight="1">
      <c r="A846" s="8"/>
      <c r="B846" s="8"/>
      <c r="C846" s="8"/>
      <c r="D846" s="8"/>
      <c r="E846" s="8"/>
      <c r="F846" s="173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</row>
    <row r="847" spans="1:29" ht="14.3" customHeight="1">
      <c r="A847" s="8"/>
      <c r="B847" s="8"/>
      <c r="C847" s="8"/>
      <c r="D847" s="8"/>
      <c r="E847" s="8"/>
      <c r="F847" s="173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</row>
    <row r="848" spans="1:29" ht="14.3" customHeight="1">
      <c r="A848" s="8"/>
      <c r="B848" s="8"/>
      <c r="C848" s="8"/>
      <c r="D848" s="8"/>
      <c r="E848" s="8"/>
      <c r="F848" s="173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</row>
    <row r="849" spans="1:29" ht="14.3" customHeight="1">
      <c r="A849" s="8"/>
      <c r="B849" s="8"/>
      <c r="C849" s="8"/>
      <c r="D849" s="8"/>
      <c r="E849" s="8"/>
      <c r="F849" s="173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</row>
    <row r="850" spans="1:29" ht="14.3" customHeight="1">
      <c r="A850" s="8"/>
      <c r="B850" s="8"/>
      <c r="C850" s="8"/>
      <c r="D850" s="8"/>
      <c r="E850" s="8"/>
      <c r="F850" s="173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</row>
    <row r="851" spans="1:29" ht="14.3" customHeight="1">
      <c r="A851" s="8"/>
      <c r="B851" s="8"/>
      <c r="C851" s="8"/>
      <c r="D851" s="8"/>
      <c r="E851" s="8"/>
      <c r="F851" s="173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</row>
    <row r="852" spans="1:29" ht="14.3" customHeight="1">
      <c r="A852" s="8"/>
      <c r="B852" s="8"/>
      <c r="C852" s="8"/>
      <c r="D852" s="8"/>
      <c r="E852" s="8"/>
      <c r="F852" s="173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</row>
    <row r="853" spans="1:29" ht="14.3" customHeight="1">
      <c r="A853" s="8"/>
      <c r="B853" s="8"/>
      <c r="C853" s="8"/>
      <c r="D853" s="8"/>
      <c r="E853" s="8"/>
      <c r="F853" s="173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</row>
    <row r="854" spans="1:29" ht="14.3" customHeight="1">
      <c r="A854" s="8"/>
      <c r="B854" s="8"/>
      <c r="C854" s="8"/>
      <c r="D854" s="8"/>
      <c r="E854" s="8"/>
      <c r="F854" s="173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</row>
    <row r="855" spans="1:29" ht="14.3" customHeight="1">
      <c r="A855" s="8"/>
      <c r="B855" s="8"/>
      <c r="C855" s="8"/>
      <c r="D855" s="8"/>
      <c r="E855" s="8"/>
      <c r="F855" s="173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</row>
    <row r="856" spans="1:29" ht="14.3" customHeight="1">
      <c r="A856" s="8"/>
      <c r="B856" s="8"/>
      <c r="C856" s="8"/>
      <c r="D856" s="8"/>
      <c r="E856" s="8"/>
      <c r="F856" s="173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</row>
    <row r="857" spans="1:29" ht="14.3" customHeight="1">
      <c r="A857" s="8"/>
      <c r="B857" s="8"/>
      <c r="C857" s="8"/>
      <c r="D857" s="8"/>
      <c r="E857" s="8"/>
      <c r="F857" s="173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</row>
    <row r="858" spans="1:29" ht="14.3" customHeight="1">
      <c r="A858" s="8"/>
      <c r="B858" s="8"/>
      <c r="C858" s="8"/>
      <c r="D858" s="8"/>
      <c r="E858" s="8"/>
      <c r="F858" s="173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</row>
    <row r="859" spans="1:29" ht="14.3" customHeight="1">
      <c r="A859" s="8"/>
      <c r="B859" s="8"/>
      <c r="C859" s="8"/>
      <c r="D859" s="8"/>
      <c r="E859" s="8"/>
      <c r="F859" s="173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</row>
    <row r="860" spans="1:29" ht="14.3" customHeight="1">
      <c r="A860" s="8"/>
      <c r="B860" s="8"/>
      <c r="C860" s="8"/>
      <c r="D860" s="8"/>
      <c r="E860" s="8"/>
      <c r="F860" s="173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</row>
    <row r="861" spans="1:29" ht="14.3" customHeight="1">
      <c r="A861" s="8"/>
      <c r="B861" s="8"/>
      <c r="C861" s="8"/>
      <c r="D861" s="8"/>
      <c r="E861" s="8"/>
      <c r="F861" s="173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</row>
    <row r="862" spans="1:29" ht="14.3" customHeight="1">
      <c r="A862" s="8"/>
      <c r="B862" s="8"/>
      <c r="C862" s="8"/>
      <c r="D862" s="8"/>
      <c r="E862" s="8"/>
      <c r="F862" s="173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</row>
    <row r="863" spans="1:29" ht="14.3" customHeight="1">
      <c r="A863" s="8"/>
      <c r="B863" s="8"/>
      <c r="C863" s="8"/>
      <c r="D863" s="8"/>
      <c r="E863" s="8"/>
      <c r="F863" s="173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</row>
    <row r="864" spans="1:29" ht="14.3" customHeight="1">
      <c r="A864" s="8"/>
      <c r="B864" s="8"/>
      <c r="C864" s="8"/>
      <c r="D864" s="8"/>
      <c r="E864" s="8"/>
      <c r="F864" s="173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</row>
    <row r="865" spans="1:29" ht="14.3" customHeight="1">
      <c r="A865" s="8"/>
      <c r="B865" s="8"/>
      <c r="C865" s="8"/>
      <c r="D865" s="8"/>
      <c r="E865" s="8"/>
      <c r="F865" s="173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</row>
    <row r="866" spans="1:29" ht="14.3" customHeight="1">
      <c r="A866" s="8"/>
      <c r="B866" s="8"/>
      <c r="C866" s="8"/>
      <c r="D866" s="8"/>
      <c r="E866" s="8"/>
      <c r="F866" s="173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</row>
    <row r="867" spans="1:29" ht="14.3" customHeight="1">
      <c r="A867" s="8"/>
      <c r="B867" s="8"/>
      <c r="C867" s="8"/>
      <c r="D867" s="8"/>
      <c r="E867" s="8"/>
      <c r="F867" s="173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</row>
    <row r="868" spans="1:29" ht="14.3" customHeight="1">
      <c r="A868" s="8"/>
      <c r="B868" s="8"/>
      <c r="C868" s="8"/>
      <c r="D868" s="8"/>
      <c r="E868" s="8"/>
      <c r="F868" s="173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</row>
    <row r="869" spans="1:29" ht="14.3" customHeight="1">
      <c r="A869" s="8"/>
      <c r="B869" s="8"/>
      <c r="C869" s="8"/>
      <c r="D869" s="8"/>
      <c r="E869" s="8"/>
      <c r="F869" s="173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</row>
    <row r="870" spans="1:29" ht="14.3" customHeight="1">
      <c r="A870" s="8"/>
      <c r="B870" s="8"/>
      <c r="C870" s="8"/>
      <c r="D870" s="8"/>
      <c r="E870" s="8"/>
      <c r="F870" s="173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</row>
    <row r="871" spans="1:29" ht="14.3" customHeight="1">
      <c r="A871" s="8"/>
      <c r="B871" s="8"/>
      <c r="C871" s="8"/>
      <c r="D871" s="8"/>
      <c r="E871" s="8"/>
      <c r="F871" s="173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</row>
    <row r="872" spans="1:29" ht="14.3" customHeight="1">
      <c r="A872" s="8"/>
      <c r="B872" s="8"/>
      <c r="C872" s="8"/>
      <c r="D872" s="8"/>
      <c r="E872" s="8"/>
      <c r="F872" s="173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</row>
    <row r="873" spans="1:29" ht="14.3" customHeight="1">
      <c r="A873" s="8"/>
      <c r="B873" s="8"/>
      <c r="C873" s="8"/>
      <c r="D873" s="8"/>
      <c r="E873" s="8"/>
      <c r="F873" s="173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</row>
    <row r="874" spans="1:29" ht="14.3" customHeight="1">
      <c r="A874" s="8"/>
      <c r="B874" s="8"/>
      <c r="C874" s="8"/>
      <c r="D874" s="8"/>
      <c r="E874" s="8"/>
      <c r="F874" s="173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</row>
    <row r="875" spans="1:29" ht="14.3" customHeight="1">
      <c r="A875" s="8"/>
      <c r="B875" s="8"/>
      <c r="C875" s="8"/>
      <c r="D875" s="8"/>
      <c r="E875" s="8"/>
      <c r="F875" s="173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</row>
    <row r="876" spans="1:29" ht="14.3" customHeight="1">
      <c r="A876" s="8"/>
      <c r="B876" s="8"/>
      <c r="C876" s="8"/>
      <c r="D876" s="8"/>
      <c r="E876" s="8"/>
      <c r="F876" s="173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</row>
    <row r="877" spans="1:29" ht="14.3" customHeight="1">
      <c r="A877" s="8"/>
      <c r="B877" s="8"/>
      <c r="C877" s="8"/>
      <c r="D877" s="8"/>
      <c r="E877" s="8"/>
      <c r="F877" s="173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</row>
    <row r="878" spans="1:29" ht="14.3" customHeight="1">
      <c r="A878" s="8"/>
      <c r="B878" s="8"/>
      <c r="C878" s="8"/>
      <c r="D878" s="8"/>
      <c r="E878" s="8"/>
      <c r="F878" s="173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</row>
    <row r="879" spans="1:29" ht="14.3" customHeight="1">
      <c r="A879" s="8"/>
      <c r="B879" s="8"/>
      <c r="C879" s="8"/>
      <c r="D879" s="8"/>
      <c r="E879" s="8"/>
      <c r="F879" s="173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</row>
    <row r="880" spans="1:29" ht="14.3" customHeight="1">
      <c r="A880" s="8"/>
      <c r="B880" s="8"/>
      <c r="C880" s="8"/>
      <c r="D880" s="8"/>
      <c r="E880" s="8"/>
      <c r="F880" s="173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</row>
    <row r="881" spans="1:29" ht="14.3" customHeight="1">
      <c r="A881" s="8"/>
      <c r="B881" s="8"/>
      <c r="C881" s="8"/>
      <c r="D881" s="8"/>
      <c r="E881" s="8"/>
      <c r="F881" s="173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</row>
    <row r="882" spans="1:29" ht="14.3" customHeight="1">
      <c r="A882" s="8"/>
      <c r="B882" s="8"/>
      <c r="C882" s="8"/>
      <c r="D882" s="8"/>
      <c r="E882" s="8"/>
      <c r="F882" s="173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</row>
    <row r="883" spans="1:29" ht="14.3" customHeight="1">
      <c r="A883" s="8"/>
      <c r="B883" s="8"/>
      <c r="C883" s="8"/>
      <c r="D883" s="8"/>
      <c r="E883" s="8"/>
      <c r="F883" s="173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</row>
    <row r="884" spans="1:29" ht="14.3" customHeight="1">
      <c r="A884" s="8"/>
      <c r="B884" s="8"/>
      <c r="C884" s="8"/>
      <c r="D884" s="8"/>
      <c r="E884" s="8"/>
      <c r="F884" s="173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</row>
    <row r="885" spans="1:29" ht="14.3" customHeight="1">
      <c r="A885" s="8"/>
      <c r="B885" s="8"/>
      <c r="C885" s="8"/>
      <c r="D885" s="8"/>
      <c r="E885" s="8"/>
      <c r="F885" s="173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</row>
    <row r="886" spans="1:29" ht="14.3" customHeight="1">
      <c r="A886" s="8"/>
      <c r="B886" s="8"/>
      <c r="C886" s="8"/>
      <c r="D886" s="8"/>
      <c r="E886" s="8"/>
      <c r="F886" s="173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</row>
    <row r="887" spans="1:29" ht="14.3" customHeight="1">
      <c r="A887" s="8"/>
      <c r="B887" s="8"/>
      <c r="C887" s="8"/>
      <c r="D887" s="8"/>
      <c r="E887" s="8"/>
      <c r="F887" s="173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</row>
    <row r="888" spans="1:29" ht="14.3" customHeight="1">
      <c r="A888" s="8"/>
      <c r="B888" s="8"/>
      <c r="C888" s="8"/>
      <c r="D888" s="8"/>
      <c r="E888" s="8"/>
      <c r="F888" s="173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</row>
    <row r="889" spans="1:29" ht="14.3" customHeight="1">
      <c r="A889" s="8"/>
      <c r="B889" s="8"/>
      <c r="C889" s="8"/>
      <c r="D889" s="8"/>
      <c r="E889" s="8"/>
      <c r="F889" s="173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</row>
    <row r="890" spans="1:29" ht="14.3" customHeight="1">
      <c r="A890" s="8"/>
      <c r="B890" s="8"/>
      <c r="C890" s="8"/>
      <c r="D890" s="8"/>
      <c r="E890" s="8"/>
      <c r="F890" s="173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</row>
    <row r="891" spans="1:29" ht="14.3" customHeight="1">
      <c r="A891" s="8"/>
      <c r="B891" s="8"/>
      <c r="C891" s="8"/>
      <c r="D891" s="8"/>
      <c r="E891" s="8"/>
      <c r="F891" s="173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</row>
    <row r="892" spans="1:29" ht="14.3" customHeight="1">
      <c r="A892" s="8"/>
      <c r="B892" s="8"/>
      <c r="C892" s="8"/>
      <c r="D892" s="8"/>
      <c r="E892" s="8"/>
      <c r="F892" s="173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</row>
    <row r="893" spans="1:29" ht="14.3" customHeight="1">
      <c r="A893" s="8"/>
      <c r="B893" s="8"/>
      <c r="C893" s="8"/>
      <c r="D893" s="8"/>
      <c r="E893" s="8"/>
      <c r="F893" s="173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</row>
    <row r="894" spans="1:29" ht="14.3" customHeight="1">
      <c r="A894" s="8"/>
      <c r="B894" s="8"/>
      <c r="C894" s="8"/>
      <c r="D894" s="8"/>
      <c r="E894" s="8"/>
      <c r="F894" s="173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</row>
    <row r="895" spans="1:29" ht="14.3" customHeight="1">
      <c r="A895" s="8"/>
      <c r="B895" s="8"/>
      <c r="C895" s="8"/>
      <c r="D895" s="8"/>
      <c r="E895" s="8"/>
      <c r="F895" s="173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</row>
    <row r="896" spans="1:29" ht="14.3" customHeight="1">
      <c r="A896" s="8"/>
      <c r="B896" s="8"/>
      <c r="C896" s="8"/>
      <c r="D896" s="8"/>
      <c r="E896" s="8"/>
      <c r="F896" s="173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</row>
    <row r="897" spans="1:29" ht="14.3" customHeight="1">
      <c r="A897" s="8"/>
      <c r="B897" s="8"/>
      <c r="C897" s="8"/>
      <c r="D897" s="8"/>
      <c r="E897" s="8"/>
      <c r="F897" s="173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</row>
    <row r="898" spans="1:29" ht="14.3" customHeight="1">
      <c r="A898" s="8"/>
      <c r="B898" s="8"/>
      <c r="C898" s="8"/>
      <c r="D898" s="8"/>
      <c r="E898" s="8"/>
      <c r="F898" s="173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</row>
    <row r="899" spans="1:29" ht="14.3" customHeight="1">
      <c r="A899" s="8"/>
      <c r="B899" s="8"/>
      <c r="C899" s="8"/>
      <c r="D899" s="8"/>
      <c r="E899" s="8"/>
      <c r="F899" s="173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</row>
    <row r="900" spans="1:29" ht="14.3" customHeight="1">
      <c r="A900" s="8"/>
      <c r="B900" s="8"/>
      <c r="C900" s="8"/>
      <c r="D900" s="8"/>
      <c r="E900" s="8"/>
      <c r="F900" s="173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</row>
    <row r="901" spans="1:29" ht="14.3" customHeight="1">
      <c r="A901" s="8"/>
      <c r="B901" s="8"/>
      <c r="C901" s="8"/>
      <c r="D901" s="8"/>
      <c r="E901" s="8"/>
      <c r="F901" s="173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</row>
    <row r="902" spans="1:29" ht="14.3" customHeight="1">
      <c r="A902" s="8"/>
      <c r="B902" s="8"/>
      <c r="C902" s="8"/>
      <c r="D902" s="8"/>
      <c r="E902" s="8"/>
      <c r="F902" s="173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</row>
    <row r="903" spans="1:29" ht="14.3" customHeight="1">
      <c r="A903" s="8"/>
      <c r="B903" s="8"/>
      <c r="C903" s="8"/>
      <c r="D903" s="8"/>
      <c r="E903" s="8"/>
      <c r="F903" s="173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</row>
    <row r="904" spans="1:29" ht="14.3" customHeight="1">
      <c r="A904" s="8"/>
      <c r="B904" s="8"/>
      <c r="C904" s="8"/>
      <c r="D904" s="8"/>
      <c r="E904" s="8"/>
      <c r="F904" s="173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</row>
    <row r="905" spans="1:29" ht="14.3" customHeight="1">
      <c r="A905" s="8"/>
      <c r="B905" s="8"/>
      <c r="C905" s="8"/>
      <c r="D905" s="8"/>
      <c r="E905" s="8"/>
      <c r="F905" s="173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</row>
    <row r="906" spans="1:29" ht="14.3" customHeight="1">
      <c r="A906" s="8"/>
      <c r="B906" s="8"/>
      <c r="C906" s="8"/>
      <c r="D906" s="8"/>
      <c r="E906" s="8"/>
      <c r="F906" s="173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</row>
    <row r="907" spans="1:29" ht="14.3" customHeight="1">
      <c r="A907" s="8"/>
      <c r="B907" s="8"/>
      <c r="C907" s="8"/>
      <c r="D907" s="8"/>
      <c r="E907" s="8"/>
      <c r="F907" s="173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</row>
    <row r="908" spans="1:29" ht="14.3" customHeight="1">
      <c r="A908" s="8"/>
      <c r="B908" s="8"/>
      <c r="C908" s="8"/>
      <c r="D908" s="8"/>
      <c r="E908" s="8"/>
      <c r="F908" s="173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</row>
    <row r="909" spans="1:29" ht="14.3" customHeight="1">
      <c r="A909" s="8"/>
      <c r="B909" s="8"/>
      <c r="C909" s="8"/>
      <c r="D909" s="8"/>
      <c r="E909" s="8"/>
      <c r="F909" s="173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</row>
    <row r="910" spans="1:29" ht="14.3" customHeight="1">
      <c r="A910" s="8"/>
      <c r="B910" s="8"/>
      <c r="C910" s="8"/>
      <c r="D910" s="8"/>
      <c r="E910" s="8"/>
      <c r="F910" s="173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</row>
    <row r="911" spans="1:29" ht="14.3" customHeight="1">
      <c r="A911" s="8"/>
      <c r="B911" s="8"/>
      <c r="C911" s="8"/>
      <c r="D911" s="8"/>
      <c r="E911" s="8"/>
      <c r="F911" s="173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</row>
    <row r="912" spans="1:29" ht="14.3" customHeight="1">
      <c r="A912" s="8"/>
      <c r="B912" s="8"/>
      <c r="C912" s="8"/>
      <c r="D912" s="8"/>
      <c r="E912" s="8"/>
      <c r="F912" s="173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</row>
    <row r="913" spans="1:29" ht="14.3" customHeight="1">
      <c r="A913" s="8"/>
      <c r="B913" s="8"/>
      <c r="C913" s="8"/>
      <c r="D913" s="8"/>
      <c r="E913" s="8"/>
      <c r="F913" s="173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</row>
    <row r="914" spans="1:29" ht="14.3" customHeight="1">
      <c r="A914" s="8"/>
      <c r="B914" s="8"/>
      <c r="C914" s="8"/>
      <c r="D914" s="8"/>
      <c r="E914" s="8"/>
      <c r="F914" s="173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</row>
    <row r="915" spans="1:29" ht="14.3" customHeight="1">
      <c r="A915" s="8"/>
      <c r="B915" s="8"/>
      <c r="C915" s="8"/>
      <c r="D915" s="8"/>
      <c r="E915" s="8"/>
      <c r="F915" s="173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</row>
    <row r="916" spans="1:29" ht="14.3" customHeight="1">
      <c r="A916" s="8"/>
      <c r="B916" s="8"/>
      <c r="C916" s="8"/>
      <c r="D916" s="8"/>
      <c r="E916" s="8"/>
      <c r="F916" s="173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</row>
    <row r="917" spans="1:29" ht="14.3" customHeight="1">
      <c r="A917" s="8"/>
      <c r="B917" s="8"/>
      <c r="C917" s="8"/>
      <c r="D917" s="8"/>
      <c r="E917" s="8"/>
      <c r="F917" s="173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</row>
    <row r="918" spans="1:29" ht="14.3" customHeight="1">
      <c r="A918" s="8"/>
      <c r="B918" s="8"/>
      <c r="C918" s="8"/>
      <c r="D918" s="8"/>
      <c r="E918" s="8"/>
      <c r="F918" s="173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</row>
    <row r="919" spans="1:29" ht="14.3" customHeight="1">
      <c r="A919" s="8"/>
      <c r="B919" s="8"/>
      <c r="C919" s="8"/>
      <c r="D919" s="8"/>
      <c r="E919" s="8"/>
      <c r="F919" s="173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</row>
    <row r="920" spans="1:29" ht="14.3" customHeight="1">
      <c r="A920" s="8"/>
      <c r="B920" s="8"/>
      <c r="C920" s="8"/>
      <c r="D920" s="8"/>
      <c r="E920" s="8"/>
      <c r="F920" s="173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</row>
    <row r="921" spans="1:29" ht="14.3" customHeight="1">
      <c r="A921" s="8"/>
      <c r="B921" s="8"/>
      <c r="C921" s="8"/>
      <c r="D921" s="8"/>
      <c r="E921" s="8"/>
      <c r="F921" s="173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</row>
    <row r="922" spans="1:29" ht="14.3" customHeight="1">
      <c r="A922" s="8"/>
      <c r="B922" s="8"/>
      <c r="C922" s="8"/>
      <c r="D922" s="8"/>
      <c r="E922" s="8"/>
      <c r="F922" s="173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</row>
    <row r="923" spans="1:29" ht="14.3" customHeight="1">
      <c r="A923" s="8"/>
      <c r="B923" s="8"/>
      <c r="C923" s="8"/>
      <c r="D923" s="8"/>
      <c r="E923" s="8"/>
      <c r="F923" s="173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</row>
    <row r="924" spans="1:29" ht="14.3" customHeight="1">
      <c r="A924" s="8"/>
      <c r="B924" s="8"/>
      <c r="C924" s="8"/>
      <c r="D924" s="8"/>
      <c r="E924" s="8"/>
      <c r="F924" s="173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</row>
    <row r="925" spans="1:29" ht="14.3" customHeight="1">
      <c r="A925" s="8"/>
      <c r="B925" s="8"/>
      <c r="C925" s="8"/>
      <c r="D925" s="8"/>
      <c r="E925" s="8"/>
      <c r="F925" s="173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</row>
    <row r="926" spans="1:29" ht="14.3" customHeight="1">
      <c r="A926" s="8"/>
      <c r="B926" s="8"/>
      <c r="C926" s="8"/>
      <c r="D926" s="8"/>
      <c r="E926" s="8"/>
      <c r="F926" s="173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</row>
    <row r="927" spans="1:29" ht="14.3" customHeight="1">
      <c r="A927" s="8"/>
      <c r="B927" s="8"/>
      <c r="C927" s="8"/>
      <c r="D927" s="8"/>
      <c r="E927" s="8"/>
      <c r="F927" s="173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</row>
    <row r="928" spans="1:29" ht="14.3" customHeight="1">
      <c r="A928" s="8"/>
      <c r="B928" s="8"/>
      <c r="C928" s="8"/>
      <c r="D928" s="8"/>
      <c r="E928" s="8"/>
      <c r="F928" s="173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</row>
    <row r="929" spans="1:29" ht="14.3" customHeight="1">
      <c r="A929" s="8"/>
      <c r="B929" s="8"/>
      <c r="C929" s="8"/>
      <c r="D929" s="8"/>
      <c r="E929" s="8"/>
      <c r="F929" s="173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</row>
    <row r="930" spans="1:29" ht="14.3" customHeight="1">
      <c r="A930" s="8"/>
      <c r="B930" s="8"/>
      <c r="C930" s="8"/>
      <c r="D930" s="8"/>
      <c r="E930" s="8"/>
      <c r="F930" s="173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</row>
    <row r="931" spans="1:29" ht="14.3" customHeight="1">
      <c r="A931" s="8"/>
      <c r="B931" s="8"/>
      <c r="C931" s="8"/>
      <c r="D931" s="8"/>
      <c r="E931" s="8"/>
      <c r="F931" s="173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</row>
    <row r="932" spans="1:29" ht="14.3" customHeight="1">
      <c r="A932" s="8"/>
      <c r="B932" s="8"/>
      <c r="C932" s="8"/>
      <c r="D932" s="8"/>
      <c r="E932" s="8"/>
      <c r="F932" s="173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</row>
    <row r="933" spans="1:29" ht="14.3" customHeight="1">
      <c r="A933" s="8"/>
      <c r="B933" s="8"/>
      <c r="C933" s="8"/>
      <c r="D933" s="8"/>
      <c r="E933" s="8"/>
      <c r="F933" s="173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</row>
    <row r="934" spans="1:29" ht="14.3" customHeight="1">
      <c r="A934" s="8"/>
      <c r="B934" s="8"/>
      <c r="C934" s="8"/>
      <c r="D934" s="8"/>
      <c r="E934" s="8"/>
      <c r="F934" s="173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</row>
    <row r="935" spans="1:29" ht="14.3" customHeight="1">
      <c r="A935" s="8"/>
      <c r="B935" s="8"/>
      <c r="C935" s="8"/>
      <c r="D935" s="8"/>
      <c r="E935" s="8"/>
      <c r="F935" s="173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</row>
    <row r="936" spans="1:29" ht="14.3" customHeight="1">
      <c r="A936" s="8"/>
      <c r="B936" s="8"/>
      <c r="C936" s="8"/>
      <c r="D936" s="8"/>
      <c r="E936" s="8"/>
      <c r="F936" s="173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</row>
    <row r="937" spans="1:29" ht="14.3" customHeight="1">
      <c r="A937" s="8"/>
      <c r="B937" s="8"/>
      <c r="C937" s="8"/>
      <c r="D937" s="8"/>
      <c r="E937" s="8"/>
      <c r="F937" s="173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</row>
    <row r="938" spans="1:29" ht="14.3" customHeight="1">
      <c r="A938" s="8"/>
      <c r="B938" s="8"/>
      <c r="C938" s="8"/>
      <c r="D938" s="8"/>
      <c r="E938" s="8"/>
      <c r="F938" s="173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</row>
    <row r="939" spans="1:29" ht="14.3" customHeight="1">
      <c r="A939" s="8"/>
      <c r="B939" s="8"/>
      <c r="C939" s="8"/>
      <c r="D939" s="8"/>
      <c r="E939" s="8"/>
      <c r="F939" s="173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</row>
    <row r="940" spans="1:29" ht="14.3" customHeight="1">
      <c r="A940" s="8"/>
      <c r="B940" s="8"/>
      <c r="C940" s="8"/>
      <c r="D940" s="8"/>
      <c r="E940" s="8"/>
      <c r="F940" s="173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</row>
    <row r="941" spans="1:29" ht="14.3" customHeight="1">
      <c r="A941" s="8"/>
      <c r="B941" s="8"/>
      <c r="C941" s="8"/>
      <c r="D941" s="8"/>
      <c r="E941" s="8"/>
      <c r="F941" s="173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</row>
    <row r="942" spans="1:29" ht="14.3" customHeight="1">
      <c r="A942" s="8"/>
      <c r="B942" s="8"/>
      <c r="C942" s="8"/>
      <c r="D942" s="8"/>
      <c r="E942" s="8"/>
      <c r="F942" s="173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</row>
    <row r="943" spans="1:29" ht="14.3" customHeight="1">
      <c r="A943" s="8"/>
      <c r="B943" s="8"/>
      <c r="C943" s="8"/>
      <c r="D943" s="8"/>
      <c r="E943" s="8"/>
      <c r="F943" s="173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</row>
    <row r="944" spans="1:29" ht="14.3" customHeight="1">
      <c r="A944" s="8"/>
      <c r="B944" s="8"/>
      <c r="C944" s="8"/>
      <c r="D944" s="8"/>
      <c r="E944" s="8"/>
      <c r="F944" s="173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</row>
    <row r="945" spans="1:29" ht="14.3" customHeight="1">
      <c r="A945" s="8"/>
      <c r="B945" s="8"/>
      <c r="C945" s="8"/>
      <c r="D945" s="8"/>
      <c r="E945" s="8"/>
      <c r="F945" s="173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</row>
    <row r="946" spans="1:29" ht="14.3" customHeight="1">
      <c r="A946" s="8"/>
      <c r="B946" s="8"/>
      <c r="C946" s="8"/>
      <c r="D946" s="8"/>
      <c r="E946" s="8"/>
      <c r="F946" s="173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</row>
    <row r="947" spans="1:29" ht="14.3" customHeight="1">
      <c r="A947" s="8"/>
      <c r="B947" s="8"/>
      <c r="C947" s="8"/>
      <c r="D947" s="8"/>
      <c r="E947" s="8"/>
      <c r="F947" s="173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</row>
    <row r="948" spans="1:29" ht="14.3" customHeight="1">
      <c r="A948" s="8"/>
      <c r="B948" s="8"/>
      <c r="C948" s="8"/>
      <c r="D948" s="8"/>
      <c r="E948" s="8"/>
      <c r="F948" s="173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</row>
    <row r="949" spans="1:29" ht="14.3" customHeight="1">
      <c r="A949" s="8"/>
      <c r="B949" s="8"/>
      <c r="C949" s="8"/>
      <c r="D949" s="8"/>
      <c r="E949" s="8"/>
      <c r="F949" s="173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</row>
    <row r="950" spans="1:29" ht="14.3" customHeight="1">
      <c r="A950" s="8"/>
      <c r="B950" s="8"/>
      <c r="C950" s="8"/>
      <c r="D950" s="8"/>
      <c r="E950" s="8"/>
      <c r="F950" s="173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</row>
    <row r="951" spans="1:29" ht="14.3" customHeight="1">
      <c r="A951" s="8"/>
      <c r="B951" s="8"/>
      <c r="C951" s="8"/>
      <c r="D951" s="8"/>
      <c r="E951" s="8"/>
      <c r="F951" s="173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</row>
    <row r="952" spans="1:29" ht="14.3" customHeight="1">
      <c r="A952" s="8"/>
      <c r="B952" s="8"/>
      <c r="C952" s="8"/>
      <c r="D952" s="8"/>
      <c r="E952" s="8"/>
      <c r="F952" s="173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</row>
    <row r="953" spans="1:29" ht="14.3" customHeight="1">
      <c r="A953" s="8"/>
      <c r="B953" s="8"/>
      <c r="C953" s="8"/>
      <c r="D953" s="8"/>
      <c r="E953" s="8"/>
      <c r="F953" s="173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</row>
    <row r="954" spans="1:29" ht="14.3" customHeight="1">
      <c r="A954" s="8"/>
      <c r="B954" s="8"/>
      <c r="C954" s="8"/>
      <c r="D954" s="8"/>
      <c r="E954" s="8"/>
      <c r="F954" s="173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</row>
    <row r="955" spans="1:29" ht="14.3" customHeight="1">
      <c r="A955" s="8"/>
      <c r="B955" s="8"/>
      <c r="C955" s="8"/>
      <c r="D955" s="8"/>
      <c r="E955" s="8"/>
      <c r="F955" s="173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</row>
    <row r="956" spans="1:29" ht="14.3" customHeight="1">
      <c r="A956" s="8"/>
      <c r="B956" s="8"/>
      <c r="C956" s="8"/>
      <c r="D956" s="8"/>
      <c r="E956" s="8"/>
      <c r="F956" s="173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</row>
    <row r="957" spans="1:29" ht="14.3" customHeight="1">
      <c r="A957" s="8"/>
      <c r="B957" s="8"/>
      <c r="C957" s="8"/>
      <c r="D957" s="8"/>
      <c r="E957" s="8"/>
      <c r="F957" s="173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</row>
    <row r="958" spans="1:29" ht="14.3" customHeight="1">
      <c r="A958" s="8"/>
      <c r="B958" s="8"/>
      <c r="C958" s="8"/>
      <c r="D958" s="8"/>
      <c r="E958" s="8"/>
      <c r="F958" s="173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</row>
    <row r="959" spans="1:29" ht="14.3" customHeight="1">
      <c r="A959" s="8"/>
      <c r="B959" s="8"/>
      <c r="C959" s="8"/>
      <c r="D959" s="8"/>
      <c r="E959" s="8"/>
      <c r="F959" s="173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</row>
    <row r="960" spans="1:29" ht="14.3" customHeight="1">
      <c r="A960" s="8"/>
      <c r="B960" s="8"/>
      <c r="C960" s="8"/>
      <c r="D960" s="8"/>
      <c r="E960" s="8"/>
      <c r="F960" s="173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</row>
    <row r="961" spans="1:29" ht="14.3" customHeight="1">
      <c r="A961" s="8"/>
      <c r="B961" s="8"/>
      <c r="C961" s="8"/>
      <c r="D961" s="8"/>
      <c r="E961" s="8"/>
      <c r="F961" s="173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</row>
    <row r="962" spans="1:29" ht="14.3" customHeight="1">
      <c r="A962" s="8"/>
      <c r="B962" s="8"/>
      <c r="C962" s="8"/>
      <c r="D962" s="8"/>
      <c r="E962" s="8"/>
      <c r="F962" s="173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</row>
    <row r="963" spans="1:29" ht="14.3" customHeight="1">
      <c r="A963" s="8"/>
      <c r="B963" s="8"/>
      <c r="C963" s="8"/>
      <c r="D963" s="8"/>
      <c r="E963" s="8"/>
      <c r="F963" s="173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</row>
    <row r="964" spans="1:29" ht="14.3" customHeight="1">
      <c r="A964" s="8"/>
      <c r="B964" s="8"/>
      <c r="C964" s="8"/>
      <c r="D964" s="8"/>
      <c r="E964" s="8"/>
      <c r="F964" s="173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</row>
    <row r="965" spans="1:29" ht="14.3" customHeight="1">
      <c r="A965" s="8"/>
      <c r="B965" s="8"/>
      <c r="C965" s="8"/>
      <c r="D965" s="8"/>
      <c r="E965" s="8"/>
      <c r="F965" s="173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</row>
    <row r="966" spans="1:29" ht="14.3" customHeight="1">
      <c r="A966" s="8"/>
      <c r="B966" s="8"/>
      <c r="C966" s="8"/>
      <c r="D966" s="8"/>
      <c r="E966" s="8"/>
      <c r="F966" s="173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</row>
    <row r="967" spans="1:29" ht="14.3" customHeight="1">
      <c r="A967" s="8"/>
      <c r="B967" s="8"/>
      <c r="C967" s="8"/>
      <c r="D967" s="8"/>
      <c r="E967" s="8"/>
      <c r="F967" s="173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</row>
    <row r="968" spans="1:29" ht="14.3" customHeight="1">
      <c r="A968" s="8"/>
      <c r="B968" s="8"/>
      <c r="C968" s="8"/>
      <c r="D968" s="8"/>
      <c r="E968" s="8"/>
      <c r="F968" s="173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</row>
    <row r="969" spans="1:29" ht="14.3" customHeight="1">
      <c r="A969" s="8"/>
      <c r="B969" s="8"/>
      <c r="C969" s="8"/>
      <c r="D969" s="8"/>
      <c r="E969" s="8"/>
      <c r="F969" s="173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</row>
    <row r="970" spans="1:29" ht="14.3" customHeight="1">
      <c r="A970" s="8"/>
      <c r="B970" s="8"/>
      <c r="C970" s="8"/>
      <c r="D970" s="8"/>
      <c r="E970" s="8"/>
      <c r="F970" s="173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</row>
    <row r="971" spans="1:29" ht="14.3" customHeight="1">
      <c r="A971" s="8"/>
      <c r="B971" s="8"/>
      <c r="C971" s="8"/>
      <c r="D971" s="8"/>
      <c r="E971" s="8"/>
      <c r="F971" s="173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</row>
    <row r="972" spans="1:29" ht="14.3" customHeight="1">
      <c r="A972" s="8"/>
      <c r="B972" s="8"/>
      <c r="C972" s="8"/>
      <c r="D972" s="8"/>
      <c r="E972" s="8"/>
      <c r="F972" s="173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</row>
    <row r="973" spans="1:29" ht="14.3" customHeight="1">
      <c r="A973" s="8"/>
      <c r="B973" s="8"/>
      <c r="C973" s="8"/>
      <c r="D973" s="8"/>
      <c r="E973" s="8"/>
      <c r="F973" s="173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</row>
    <row r="974" spans="1:29" ht="14.3" customHeight="1">
      <c r="A974" s="8"/>
      <c r="B974" s="8"/>
      <c r="C974" s="8"/>
      <c r="D974" s="8"/>
      <c r="E974" s="8"/>
      <c r="F974" s="173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</row>
    <row r="975" spans="1:29" ht="14.3" customHeight="1">
      <c r="A975" s="8"/>
      <c r="B975" s="8"/>
      <c r="C975" s="8"/>
      <c r="D975" s="8"/>
      <c r="E975" s="8"/>
      <c r="F975" s="173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</row>
    <row r="976" spans="1:29" ht="14.3" customHeight="1">
      <c r="A976" s="8"/>
      <c r="B976" s="8"/>
      <c r="C976" s="8"/>
      <c r="D976" s="8"/>
      <c r="E976" s="8"/>
      <c r="F976" s="173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</row>
    <row r="977" spans="1:29" ht="14.3" customHeight="1">
      <c r="A977" s="8"/>
      <c r="B977" s="8"/>
      <c r="C977" s="8"/>
      <c r="D977" s="8"/>
      <c r="E977" s="8"/>
      <c r="F977" s="173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</row>
    <row r="978" spans="1:29" ht="14.3" customHeight="1">
      <c r="A978" s="8"/>
      <c r="B978" s="8"/>
      <c r="C978" s="8"/>
      <c r="D978" s="8"/>
      <c r="E978" s="8"/>
      <c r="F978" s="173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</row>
    <row r="979" spans="1:29" ht="14.3" customHeight="1">
      <c r="A979" s="8"/>
      <c r="B979" s="8"/>
      <c r="C979" s="8"/>
      <c r="D979" s="8"/>
      <c r="E979" s="8"/>
      <c r="F979" s="173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</row>
    <row r="980" spans="1:29" ht="14.3" customHeight="1">
      <c r="A980" s="8"/>
      <c r="B980" s="8"/>
      <c r="C980" s="8"/>
      <c r="D980" s="8"/>
      <c r="E980" s="8"/>
      <c r="F980" s="173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</row>
    <row r="981" spans="1:29" ht="14.3" customHeight="1">
      <c r="A981" s="8"/>
      <c r="B981" s="8"/>
      <c r="C981" s="8"/>
      <c r="D981" s="8"/>
      <c r="E981" s="8"/>
      <c r="F981" s="173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</row>
    <row r="982" spans="1:29" ht="14.3" customHeight="1">
      <c r="A982" s="8"/>
      <c r="B982" s="8"/>
      <c r="C982" s="8"/>
      <c r="D982" s="8"/>
      <c r="E982" s="8"/>
      <c r="F982" s="173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</row>
    <row r="983" spans="1:29" ht="14.3" customHeight="1">
      <c r="A983" s="8"/>
      <c r="B983" s="8"/>
      <c r="C983" s="8"/>
      <c r="D983" s="8"/>
      <c r="E983" s="8"/>
      <c r="F983" s="173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</row>
    <row r="984" spans="1:29" ht="14.3" customHeight="1">
      <c r="A984" s="8"/>
      <c r="B984" s="8"/>
      <c r="C984" s="8"/>
      <c r="D984" s="8"/>
      <c r="E984" s="8"/>
      <c r="F984" s="173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</row>
    <row r="985" spans="1:29" ht="14.3" customHeight="1">
      <c r="A985" s="8"/>
      <c r="B985" s="8"/>
      <c r="C985" s="8"/>
      <c r="D985" s="8"/>
      <c r="E985" s="8"/>
      <c r="F985" s="173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</row>
    <row r="986" spans="1:29" ht="14.3" customHeight="1">
      <c r="A986" s="8"/>
      <c r="B986" s="8"/>
      <c r="C986" s="8"/>
      <c r="D986" s="8"/>
      <c r="E986" s="8"/>
      <c r="F986" s="173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</row>
    <row r="987" spans="1:29" ht="14.3" customHeight="1">
      <c r="A987" s="8"/>
      <c r="B987" s="8"/>
      <c r="C987" s="8"/>
      <c r="D987" s="8"/>
      <c r="E987" s="8"/>
      <c r="F987" s="173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</row>
    <row r="988" spans="1:29" ht="14.3" customHeight="1">
      <c r="A988" s="8"/>
      <c r="B988" s="8"/>
      <c r="C988" s="8"/>
      <c r="D988" s="8"/>
      <c r="E988" s="8"/>
      <c r="F988" s="173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</row>
    <row r="989" spans="1:29" ht="14.3" customHeight="1">
      <c r="A989" s="8"/>
      <c r="B989" s="8"/>
      <c r="C989" s="8"/>
      <c r="D989" s="8"/>
      <c r="E989" s="8"/>
      <c r="F989" s="173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</row>
    <row r="990" spans="1:29" ht="14.3" customHeight="1">
      <c r="A990" s="8"/>
      <c r="B990" s="8"/>
      <c r="C990" s="8"/>
      <c r="D990" s="8"/>
      <c r="E990" s="8"/>
      <c r="F990" s="173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</row>
    <row r="991" spans="1:29" ht="14.3" customHeight="1">
      <c r="A991" s="8"/>
      <c r="B991" s="8"/>
      <c r="C991" s="8"/>
      <c r="D991" s="8"/>
      <c r="E991" s="8"/>
      <c r="F991" s="173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</row>
    <row r="992" spans="1:29" ht="14.3" customHeight="1">
      <c r="A992" s="8"/>
      <c r="B992" s="8"/>
      <c r="C992" s="8"/>
      <c r="D992" s="8"/>
      <c r="E992" s="8"/>
      <c r="F992" s="173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</row>
    <row r="993" spans="1:29" ht="14.3" customHeight="1">
      <c r="A993" s="8"/>
      <c r="B993" s="8"/>
      <c r="C993" s="8"/>
      <c r="D993" s="8"/>
      <c r="E993" s="8"/>
      <c r="F993" s="173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</row>
    <row r="994" spans="1:29" ht="14.3" customHeight="1">
      <c r="A994" s="8"/>
      <c r="B994" s="8"/>
      <c r="C994" s="8"/>
      <c r="D994" s="8"/>
      <c r="E994" s="8"/>
      <c r="F994" s="173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</row>
    <row r="995" spans="1:29" ht="14.3" customHeight="1">
      <c r="A995" s="8"/>
      <c r="B995" s="8"/>
      <c r="C995" s="8"/>
      <c r="D995" s="8"/>
      <c r="E995" s="8"/>
      <c r="F995" s="173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</row>
  </sheetData>
  <mergeCells count="80">
    <mergeCell ref="A62:B62"/>
    <mergeCell ref="C62:E63"/>
    <mergeCell ref="F62:F63"/>
    <mergeCell ref="G62:M62"/>
    <mergeCell ref="N62:N63"/>
    <mergeCell ref="S19:S20"/>
    <mergeCell ref="B1:M1"/>
    <mergeCell ref="B2:M2"/>
    <mergeCell ref="B3:M3"/>
    <mergeCell ref="B4:M4"/>
    <mergeCell ref="B5:M5"/>
    <mergeCell ref="B6:M6"/>
    <mergeCell ref="A8:N8"/>
    <mergeCell ref="A13:B13"/>
    <mergeCell ref="G13:M13"/>
    <mergeCell ref="T19:T20"/>
    <mergeCell ref="U19:U20"/>
    <mergeCell ref="P26:P27"/>
    <mergeCell ref="Q26:Q27"/>
    <mergeCell ref="R26:R27"/>
    <mergeCell ref="S26:S27"/>
    <mergeCell ref="T26:T27"/>
    <mergeCell ref="U26:U27"/>
    <mergeCell ref="C13:E14"/>
    <mergeCell ref="F13:F14"/>
    <mergeCell ref="N13:N14"/>
    <mergeCell ref="P19:P20"/>
    <mergeCell ref="Q19:Q20"/>
    <mergeCell ref="R19:R20"/>
    <mergeCell ref="Q12:Q13"/>
    <mergeCell ref="R12:R13"/>
    <mergeCell ref="S12:S13"/>
    <mergeCell ref="T12:T13"/>
    <mergeCell ref="U12:U13"/>
    <mergeCell ref="N457:N458"/>
    <mergeCell ref="C506:E507"/>
    <mergeCell ref="F506:F507"/>
    <mergeCell ref="N506:N507"/>
    <mergeCell ref="P12:P13"/>
    <mergeCell ref="C111:E112"/>
    <mergeCell ref="F111:F112"/>
    <mergeCell ref="N111:N112"/>
    <mergeCell ref="C261:E262"/>
    <mergeCell ref="F261:F262"/>
    <mergeCell ref="G261:M261"/>
    <mergeCell ref="N261:N262"/>
    <mergeCell ref="A506:B506"/>
    <mergeCell ref="G506:M506"/>
    <mergeCell ref="A457:B457"/>
    <mergeCell ref="C457:E458"/>
    <mergeCell ref="F457:F458"/>
    <mergeCell ref="G457:M457"/>
    <mergeCell ref="A408:B408"/>
    <mergeCell ref="C408:E409"/>
    <mergeCell ref="F408:F409"/>
    <mergeCell ref="G408:M408"/>
    <mergeCell ref="N408:N409"/>
    <mergeCell ref="N310:N311"/>
    <mergeCell ref="C359:E360"/>
    <mergeCell ref="F359:F360"/>
    <mergeCell ref="N359:N360"/>
    <mergeCell ref="A359:B359"/>
    <mergeCell ref="G359:M359"/>
    <mergeCell ref="A261:B261"/>
    <mergeCell ref="A310:B310"/>
    <mergeCell ref="C310:E311"/>
    <mergeCell ref="F310:F311"/>
    <mergeCell ref="G310:M310"/>
    <mergeCell ref="N161:N162"/>
    <mergeCell ref="A161:B161"/>
    <mergeCell ref="A211:B211"/>
    <mergeCell ref="C211:E212"/>
    <mergeCell ref="F211:F212"/>
    <mergeCell ref="G211:M211"/>
    <mergeCell ref="N211:N212"/>
    <mergeCell ref="A111:B111"/>
    <mergeCell ref="G111:M111"/>
    <mergeCell ref="C161:E162"/>
    <mergeCell ref="F161:F162"/>
    <mergeCell ref="G161:M161"/>
  </mergeCells>
  <pageMargins left="0.7" right="0.7" top="0.75" bottom="0.75" header="0" footer="0"/>
  <pageSetup paperSize="10000" scale="76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1000"/>
  <sheetViews>
    <sheetView workbookViewId="0"/>
  </sheetViews>
  <sheetFormatPr defaultColWidth="14.375" defaultRowHeight="14.95" customHeight="1"/>
  <cols>
    <col min="1" max="1" width="14.375" customWidth="1"/>
    <col min="2" max="2" width="31.125" customWidth="1"/>
    <col min="3" max="6" width="14.375" customWidth="1"/>
  </cols>
  <sheetData>
    <row r="1" spans="1:3" ht="14.3" customHeight="1">
      <c r="A1" s="1">
        <v>232410205</v>
      </c>
      <c r="B1" s="2" t="s">
        <v>0</v>
      </c>
      <c r="C1" s="3" t="s">
        <v>1</v>
      </c>
    </row>
    <row r="2" spans="1:3" ht="14.3" customHeight="1">
      <c r="A2" s="1">
        <v>232410004</v>
      </c>
      <c r="B2" s="2" t="s">
        <v>2</v>
      </c>
      <c r="C2" s="3" t="s">
        <v>3</v>
      </c>
    </row>
    <row r="3" spans="1:3" ht="14.3" customHeight="1">
      <c r="A3" s="1">
        <v>232410171</v>
      </c>
      <c r="B3" s="2" t="s">
        <v>4</v>
      </c>
      <c r="C3" s="3" t="s">
        <v>1</v>
      </c>
    </row>
    <row r="4" spans="1:3" ht="14.3" customHeight="1">
      <c r="A4" s="1">
        <v>232410009</v>
      </c>
      <c r="B4" s="2" t="s">
        <v>5</v>
      </c>
      <c r="C4" s="3" t="s">
        <v>1</v>
      </c>
    </row>
    <row r="5" spans="1:3" ht="14.3" customHeight="1">
      <c r="A5" s="1">
        <v>232410011</v>
      </c>
      <c r="B5" s="2" t="s">
        <v>6</v>
      </c>
      <c r="C5" s="3" t="s">
        <v>3</v>
      </c>
    </row>
    <row r="6" spans="1:3" ht="14.3" customHeight="1">
      <c r="A6" s="1">
        <v>232410012</v>
      </c>
      <c r="B6" s="2" t="s">
        <v>7</v>
      </c>
      <c r="C6" s="3" t="s">
        <v>3</v>
      </c>
    </row>
    <row r="7" spans="1:3" ht="14.3" customHeight="1">
      <c r="A7" s="1">
        <v>232410139</v>
      </c>
      <c r="B7" s="2" t="s">
        <v>8</v>
      </c>
      <c r="C7" s="3" t="s">
        <v>1</v>
      </c>
    </row>
    <row r="8" spans="1:3" ht="14.3" customHeight="1">
      <c r="A8" s="1">
        <v>232410140</v>
      </c>
      <c r="B8" s="2" t="s">
        <v>9</v>
      </c>
      <c r="C8" s="3" t="s">
        <v>1</v>
      </c>
    </row>
    <row r="9" spans="1:3" ht="14.3" customHeight="1">
      <c r="A9" s="1">
        <v>232410087</v>
      </c>
      <c r="B9" s="2" t="s">
        <v>10</v>
      </c>
      <c r="C9" s="3" t="s">
        <v>1</v>
      </c>
    </row>
    <row r="10" spans="1:3" ht="14.3" customHeight="1">
      <c r="A10" s="1">
        <v>232410212</v>
      </c>
      <c r="B10" s="2" t="s">
        <v>11</v>
      </c>
      <c r="C10" s="3" t="s">
        <v>1</v>
      </c>
    </row>
    <row r="11" spans="1:3" ht="14.3" customHeight="1">
      <c r="A11" s="1">
        <v>232410341</v>
      </c>
      <c r="B11" s="2" t="s">
        <v>12</v>
      </c>
      <c r="C11" s="3" t="s">
        <v>1</v>
      </c>
    </row>
    <row r="12" spans="1:3" ht="14.3" customHeight="1">
      <c r="A12" s="1">
        <v>242511399</v>
      </c>
      <c r="B12" s="2" t="s">
        <v>13</v>
      </c>
      <c r="C12" s="3" t="s">
        <v>3</v>
      </c>
    </row>
    <row r="13" spans="1:3" ht="14.3" customHeight="1">
      <c r="A13" s="1">
        <v>232410153</v>
      </c>
      <c r="B13" s="2" t="s">
        <v>14</v>
      </c>
      <c r="C13" s="3" t="s">
        <v>3</v>
      </c>
    </row>
    <row r="14" spans="1:3" ht="14.3" customHeight="1">
      <c r="A14" s="1">
        <v>232410215</v>
      </c>
      <c r="B14" s="2" t="s">
        <v>15</v>
      </c>
      <c r="C14" s="3" t="s">
        <v>3</v>
      </c>
    </row>
    <row r="15" spans="1:3" ht="14.3" customHeight="1">
      <c r="A15" s="1">
        <v>232410092</v>
      </c>
      <c r="B15" s="2" t="s">
        <v>16</v>
      </c>
      <c r="C15" s="3" t="s">
        <v>1</v>
      </c>
    </row>
    <row r="16" spans="1:3" ht="14.3" customHeight="1">
      <c r="A16" s="1">
        <v>232410028</v>
      </c>
      <c r="B16" s="2" t="s">
        <v>17</v>
      </c>
      <c r="C16" s="3" t="s">
        <v>1</v>
      </c>
    </row>
    <row r="17" spans="1:3" ht="14.3" customHeight="1">
      <c r="A17" s="1">
        <v>232410381</v>
      </c>
      <c r="B17" s="2" t="s">
        <v>18</v>
      </c>
      <c r="C17" s="3" t="s">
        <v>1</v>
      </c>
    </row>
    <row r="18" spans="1:3" ht="14.3" customHeight="1">
      <c r="A18" s="1">
        <v>242511400</v>
      </c>
      <c r="B18" s="2" t="s">
        <v>19</v>
      </c>
      <c r="C18" s="3" t="s">
        <v>1</v>
      </c>
    </row>
    <row r="19" spans="1:3" ht="14.3" customHeight="1">
      <c r="A19" s="1">
        <v>232410347</v>
      </c>
      <c r="B19" s="2" t="s">
        <v>20</v>
      </c>
      <c r="C19" s="3" t="s">
        <v>1</v>
      </c>
    </row>
    <row r="20" spans="1:3" ht="14.3" customHeight="1">
      <c r="A20" s="1">
        <v>232410348</v>
      </c>
      <c r="B20" s="2" t="s">
        <v>21</v>
      </c>
      <c r="C20" s="3" t="s">
        <v>1</v>
      </c>
    </row>
    <row r="21" spans="1:3" ht="14.3" customHeight="1">
      <c r="A21" s="1"/>
      <c r="B21" s="2" t="s">
        <v>22</v>
      </c>
      <c r="C21" s="3" t="s">
        <v>3</v>
      </c>
    </row>
    <row r="22" spans="1:3" ht="14.3" customHeight="1">
      <c r="A22" s="1">
        <v>232410196</v>
      </c>
      <c r="B22" s="2" t="s">
        <v>23</v>
      </c>
      <c r="C22" s="3" t="s">
        <v>3</v>
      </c>
    </row>
    <row r="23" spans="1:3" ht="14.3" customHeight="1">
      <c r="A23" s="1">
        <v>242511401</v>
      </c>
      <c r="B23" s="2" t="s">
        <v>24</v>
      </c>
      <c r="C23" s="3" t="s">
        <v>3</v>
      </c>
    </row>
    <row r="24" spans="1:3" ht="14.3" customHeight="1">
      <c r="A24" s="1">
        <v>232410127</v>
      </c>
      <c r="B24" s="2" t="s">
        <v>25</v>
      </c>
      <c r="C24" s="3" t="s">
        <v>3</v>
      </c>
    </row>
    <row r="25" spans="1:3" ht="14.3" customHeight="1">
      <c r="A25" s="1">
        <v>242511402</v>
      </c>
      <c r="B25" s="2" t="s">
        <v>26</v>
      </c>
      <c r="C25" s="3" t="s">
        <v>1</v>
      </c>
    </row>
    <row r="26" spans="1:3" ht="14.3" customHeight="1">
      <c r="A26" s="1">
        <v>242511403</v>
      </c>
      <c r="B26" s="2" t="s">
        <v>27</v>
      </c>
      <c r="C26" s="3" t="s">
        <v>3</v>
      </c>
    </row>
    <row r="27" spans="1:3" ht="14.3" customHeight="1">
      <c r="A27" s="1">
        <v>242511404</v>
      </c>
      <c r="B27" s="2" t="s">
        <v>28</v>
      </c>
      <c r="C27" s="3" t="s">
        <v>3</v>
      </c>
    </row>
    <row r="28" spans="1:3" ht="14.3" customHeight="1">
      <c r="A28" s="1">
        <v>242511405</v>
      </c>
      <c r="B28" s="2" t="s">
        <v>30</v>
      </c>
      <c r="C28" s="3" t="s">
        <v>3</v>
      </c>
    </row>
    <row r="29" spans="1:3" ht="14.3" customHeight="1">
      <c r="A29" s="1">
        <v>232410134</v>
      </c>
      <c r="B29" s="2" t="s">
        <v>31</v>
      </c>
      <c r="C29" s="3" t="s">
        <v>3</v>
      </c>
    </row>
    <row r="30" spans="1:3" ht="14.3" customHeight="1">
      <c r="A30" s="1">
        <v>232410399</v>
      </c>
      <c r="B30" s="2" t="s">
        <v>32</v>
      </c>
      <c r="C30" s="3" t="s">
        <v>1</v>
      </c>
    </row>
    <row r="31" spans="1:3" ht="14.3" customHeight="1">
      <c r="A31" s="1">
        <v>232410401</v>
      </c>
      <c r="B31" s="2" t="s">
        <v>33</v>
      </c>
      <c r="C31" s="3" t="s">
        <v>3</v>
      </c>
    </row>
    <row r="32" spans="1:3" ht="14.3" customHeight="1">
      <c r="A32" s="1">
        <v>232410403</v>
      </c>
      <c r="B32" s="2" t="s">
        <v>34</v>
      </c>
      <c r="C32" s="3" t="s">
        <v>3</v>
      </c>
    </row>
    <row r="33" spans="1:3" ht="14.3" customHeight="1">
      <c r="A33" s="1"/>
      <c r="B33" s="2"/>
      <c r="C33" s="3"/>
    </row>
    <row r="34" spans="1:3" ht="14.3" customHeight="1">
      <c r="A34" s="1"/>
      <c r="B34" s="2"/>
      <c r="C34" s="3"/>
    </row>
    <row r="35" spans="1:3" ht="14.3" customHeight="1">
      <c r="A35" s="1"/>
      <c r="B35" s="2"/>
    </row>
    <row r="36" spans="1:3" ht="14.3" customHeight="1">
      <c r="A36" s="1"/>
      <c r="B36" s="2"/>
    </row>
    <row r="37" spans="1:3" ht="14.3" customHeight="1"/>
    <row r="38" spans="1:3" ht="14.3" customHeight="1"/>
    <row r="39" spans="1:3" ht="14.3" customHeight="1"/>
    <row r="40" spans="1:3" ht="14.3" customHeight="1"/>
    <row r="41" spans="1:3" ht="14.3" customHeight="1"/>
    <row r="42" spans="1:3" ht="14.3" customHeight="1"/>
    <row r="43" spans="1:3" ht="14.3" customHeight="1"/>
    <row r="44" spans="1:3" ht="14.3" customHeight="1"/>
    <row r="45" spans="1:3" ht="14.3" customHeight="1"/>
    <row r="46" spans="1:3" ht="14.3" customHeight="1"/>
    <row r="47" spans="1:3" ht="14.3" customHeight="1"/>
    <row r="48" spans="1:3" ht="14.3" customHeight="1"/>
    <row r="49" ht="14.3" customHeight="1"/>
    <row r="50" ht="14.3" customHeight="1"/>
    <row r="51" ht="14.3" customHeight="1"/>
    <row r="52" ht="14.3" customHeight="1"/>
    <row r="53" ht="14.3" customHeight="1"/>
    <row r="54" ht="14.3" customHeight="1"/>
    <row r="55" ht="14.3" customHeight="1"/>
    <row r="56" ht="14.3" customHeight="1"/>
    <row r="57" ht="14.3" customHeight="1"/>
    <row r="58" ht="14.3" customHeight="1"/>
    <row r="59" ht="14.3" customHeight="1"/>
    <row r="60" ht="14.3" customHeight="1"/>
    <row r="61" ht="14.3" customHeight="1"/>
    <row r="62" ht="14.3" customHeight="1"/>
    <row r="63" ht="14.3" customHeight="1"/>
    <row r="64" ht="14.3" customHeight="1"/>
    <row r="65" ht="14.3" customHeight="1"/>
    <row r="66" ht="14.3" customHeight="1"/>
    <row r="67" ht="14.3" customHeight="1"/>
    <row r="68" ht="14.3" customHeight="1"/>
    <row r="69" ht="14.3" customHeight="1"/>
    <row r="70" ht="14.3" customHeight="1"/>
    <row r="71" ht="14.3" customHeight="1"/>
    <row r="72" ht="14.3" customHeight="1"/>
    <row r="73" ht="14.3" customHeight="1"/>
    <row r="74" ht="14.3" customHeight="1"/>
    <row r="75" ht="14.3" customHeight="1"/>
    <row r="76" ht="14.3" customHeight="1"/>
    <row r="77" ht="14.3" customHeight="1"/>
    <row r="78" ht="14.3" customHeight="1"/>
    <row r="79" ht="14.3" customHeight="1"/>
    <row r="80" ht="14.3" customHeight="1"/>
    <row r="81" ht="14.3" customHeight="1"/>
    <row r="82" ht="14.3" customHeight="1"/>
    <row r="83" ht="14.3" customHeight="1"/>
    <row r="84" ht="14.3" customHeight="1"/>
    <row r="85" ht="14.3" customHeight="1"/>
    <row r="86" ht="14.3" customHeight="1"/>
    <row r="87" ht="14.3" customHeight="1"/>
    <row r="88" ht="14.3" customHeight="1"/>
    <row r="89" ht="14.3" customHeight="1"/>
    <row r="90" ht="14.3" customHeight="1"/>
    <row r="91" ht="14.3" customHeight="1"/>
    <row r="92" ht="14.3" customHeight="1"/>
    <row r="93" ht="14.3" customHeight="1"/>
    <row r="94" ht="14.3" customHeight="1"/>
    <row r="95" ht="14.3" customHeight="1"/>
    <row r="96" ht="14.3" customHeight="1"/>
    <row r="97" ht="14.3" customHeight="1"/>
    <row r="98" ht="14.3" customHeight="1"/>
    <row r="99" ht="14.3" customHeight="1"/>
    <row r="100" ht="14.3" customHeight="1"/>
    <row r="101" ht="14.3" customHeight="1"/>
    <row r="102" ht="14.3" customHeight="1"/>
    <row r="103" ht="14.3" customHeight="1"/>
    <row r="104" ht="14.3" customHeight="1"/>
    <row r="105" ht="14.3" customHeight="1"/>
    <row r="106" ht="14.3" customHeight="1"/>
    <row r="107" ht="14.3" customHeight="1"/>
    <row r="108" ht="14.3" customHeight="1"/>
    <row r="109" ht="14.3" customHeight="1"/>
    <row r="110" ht="14.3" customHeight="1"/>
    <row r="111" ht="14.3" customHeight="1"/>
    <row r="112" ht="14.3" customHeight="1"/>
    <row r="113" ht="14.3" customHeight="1"/>
    <row r="114" ht="14.3" customHeight="1"/>
    <row r="115" ht="14.3" customHeight="1"/>
    <row r="116" ht="14.3" customHeight="1"/>
    <row r="117" ht="14.3" customHeight="1"/>
    <row r="118" ht="14.3" customHeight="1"/>
    <row r="119" ht="14.3" customHeight="1"/>
    <row r="120" ht="14.3" customHeight="1"/>
    <row r="121" ht="14.3" customHeight="1"/>
    <row r="122" ht="14.3" customHeight="1"/>
    <row r="123" ht="14.3" customHeight="1"/>
    <row r="124" ht="14.3" customHeight="1"/>
    <row r="125" ht="14.3" customHeight="1"/>
    <row r="126" ht="14.3" customHeight="1"/>
    <row r="127" ht="14.3" customHeight="1"/>
    <row r="128" ht="14.3" customHeight="1"/>
    <row r="129" ht="14.3" customHeight="1"/>
    <row r="130" ht="14.3" customHeight="1"/>
    <row r="131" ht="14.3" customHeight="1"/>
    <row r="132" ht="14.3" customHeight="1"/>
    <row r="133" ht="14.3" customHeight="1"/>
    <row r="134" ht="14.3" customHeight="1"/>
    <row r="135" ht="14.3" customHeight="1"/>
    <row r="136" ht="14.3" customHeight="1"/>
    <row r="137" ht="14.3" customHeight="1"/>
    <row r="138" ht="14.3" customHeight="1"/>
    <row r="139" ht="14.3" customHeight="1"/>
    <row r="140" ht="14.3" customHeight="1"/>
    <row r="141" ht="14.3" customHeight="1"/>
    <row r="142" ht="14.3" customHeight="1"/>
    <row r="143" ht="14.3" customHeight="1"/>
    <row r="144" ht="14.3" customHeight="1"/>
    <row r="145" ht="14.3" customHeight="1"/>
    <row r="146" ht="14.3" customHeight="1"/>
    <row r="147" ht="14.3" customHeight="1"/>
    <row r="148" ht="14.3" customHeight="1"/>
    <row r="149" ht="14.3" customHeight="1"/>
    <row r="150" ht="14.3" customHeight="1"/>
    <row r="151" ht="14.3" customHeight="1"/>
    <row r="152" ht="14.3" customHeight="1"/>
    <row r="153" ht="14.3" customHeight="1"/>
    <row r="154" ht="14.3" customHeight="1"/>
    <row r="155" ht="14.3" customHeight="1"/>
    <row r="156" ht="14.3" customHeight="1"/>
    <row r="157" ht="14.3" customHeight="1"/>
    <row r="158" ht="14.3" customHeight="1"/>
    <row r="159" ht="14.3" customHeight="1"/>
    <row r="160" ht="14.3" customHeight="1"/>
    <row r="161" ht="14.3" customHeight="1"/>
    <row r="162" ht="14.3" customHeight="1"/>
    <row r="163" ht="14.3" customHeight="1"/>
    <row r="164" ht="14.3" customHeight="1"/>
    <row r="165" ht="14.3" customHeight="1"/>
    <row r="166" ht="14.3" customHeight="1"/>
    <row r="167" ht="14.3" customHeight="1"/>
    <row r="168" ht="14.3" customHeight="1"/>
    <row r="169" ht="14.3" customHeight="1"/>
    <row r="170" ht="14.3" customHeight="1"/>
    <row r="171" ht="14.3" customHeight="1"/>
    <row r="172" ht="14.3" customHeight="1"/>
    <row r="173" ht="14.3" customHeight="1"/>
    <row r="174" ht="14.3" customHeight="1"/>
    <row r="175" ht="14.3" customHeight="1"/>
    <row r="176" ht="14.3" customHeight="1"/>
    <row r="177" ht="14.3" customHeight="1"/>
    <row r="178" ht="14.3" customHeight="1"/>
    <row r="179" ht="14.3" customHeight="1"/>
    <row r="180" ht="14.3" customHeight="1"/>
    <row r="181" ht="14.3" customHeight="1"/>
    <row r="182" ht="14.3" customHeight="1"/>
    <row r="183" ht="14.3" customHeight="1"/>
    <row r="184" ht="14.3" customHeight="1"/>
    <row r="185" ht="14.3" customHeight="1"/>
    <row r="186" ht="14.3" customHeight="1"/>
    <row r="187" ht="14.3" customHeight="1"/>
    <row r="188" ht="14.3" customHeight="1"/>
    <row r="189" ht="14.3" customHeight="1"/>
    <row r="190" ht="14.3" customHeight="1"/>
    <row r="191" ht="14.3" customHeight="1"/>
    <row r="192" ht="14.3" customHeight="1"/>
    <row r="193" ht="14.3" customHeight="1"/>
    <row r="194" ht="14.3" customHeight="1"/>
    <row r="195" ht="14.3" customHeight="1"/>
    <row r="196" ht="14.3" customHeight="1"/>
    <row r="197" ht="14.3" customHeight="1"/>
    <row r="198" ht="14.3" customHeight="1"/>
    <row r="199" ht="14.3" customHeight="1"/>
    <row r="200" ht="14.3" customHeight="1"/>
    <row r="201" ht="14.3" customHeight="1"/>
    <row r="202" ht="14.3" customHeight="1"/>
    <row r="203" ht="14.3" customHeight="1"/>
    <row r="204" ht="14.3" customHeight="1"/>
    <row r="205" ht="14.3" customHeight="1"/>
    <row r="206" ht="14.3" customHeight="1"/>
    <row r="207" ht="14.3" customHeight="1"/>
    <row r="208" ht="14.3" customHeight="1"/>
    <row r="209" ht="14.3" customHeight="1"/>
    <row r="210" ht="14.3" customHeight="1"/>
    <row r="211" ht="14.3" customHeight="1"/>
    <row r="212" ht="14.3" customHeight="1"/>
    <row r="213" ht="14.3" customHeight="1"/>
    <row r="214" ht="14.3" customHeight="1"/>
    <row r="215" ht="14.3" customHeight="1"/>
    <row r="216" ht="14.3" customHeight="1"/>
    <row r="217" ht="14.3" customHeight="1"/>
    <row r="218" ht="14.3" customHeight="1"/>
    <row r="219" ht="14.3" customHeight="1"/>
    <row r="220" ht="14.3" customHeight="1"/>
    <row r="221" ht="14.3" customHeight="1"/>
    <row r="222" ht="14.3" customHeight="1"/>
    <row r="223" ht="14.3" customHeight="1"/>
    <row r="224" ht="14.3" customHeight="1"/>
    <row r="225" ht="14.3" customHeight="1"/>
    <row r="226" ht="14.3" customHeight="1"/>
    <row r="227" ht="14.3" customHeight="1"/>
    <row r="228" ht="14.3" customHeight="1"/>
    <row r="229" ht="14.3" customHeight="1"/>
    <row r="230" ht="14.3" customHeight="1"/>
    <row r="231" ht="14.3" customHeight="1"/>
    <row r="232" ht="14.3" customHeight="1"/>
    <row r="233" ht="14.3" customHeight="1"/>
    <row r="234" ht="14.3" customHeight="1"/>
    <row r="235" ht="14.3" customHeight="1"/>
    <row r="236" ht="14.3" customHeight="1"/>
    <row r="237" ht="14.3" customHeight="1"/>
    <row r="238" ht="14.3" customHeight="1"/>
    <row r="239" ht="14.3" customHeight="1"/>
    <row r="240" ht="14.3" customHeight="1"/>
    <row r="241" ht="14.3" customHeight="1"/>
    <row r="242" ht="14.3" customHeight="1"/>
    <row r="243" ht="14.3" customHeight="1"/>
    <row r="244" ht="14.3" customHeight="1"/>
    <row r="245" ht="14.3" customHeight="1"/>
    <row r="246" ht="14.3" customHeight="1"/>
    <row r="247" ht="14.3" customHeight="1"/>
    <row r="248" ht="14.3" customHeight="1"/>
    <row r="249" ht="14.3" customHeight="1"/>
    <row r="250" ht="14.3" customHeight="1"/>
    <row r="251" ht="14.3" customHeight="1"/>
    <row r="252" ht="14.3" customHeight="1"/>
    <row r="253" ht="14.3" customHeight="1"/>
    <row r="254" ht="14.3" customHeight="1"/>
    <row r="255" ht="14.3" customHeight="1"/>
    <row r="256" ht="14.3" customHeight="1"/>
    <row r="257" ht="14.3" customHeight="1"/>
    <row r="258" ht="14.3" customHeight="1"/>
    <row r="259" ht="14.3" customHeight="1"/>
    <row r="260" ht="14.3" customHeight="1"/>
    <row r="261" ht="14.3" customHeight="1"/>
    <row r="262" ht="14.3" customHeight="1"/>
    <row r="263" ht="14.3" customHeight="1"/>
    <row r="264" ht="14.3" customHeight="1"/>
    <row r="265" ht="14.3" customHeight="1"/>
    <row r="266" ht="14.3" customHeight="1"/>
    <row r="267" ht="14.3" customHeight="1"/>
    <row r="268" ht="14.3" customHeight="1"/>
    <row r="269" ht="14.3" customHeight="1"/>
    <row r="270" ht="14.3" customHeight="1"/>
    <row r="271" ht="14.3" customHeight="1"/>
    <row r="272" ht="14.3" customHeight="1"/>
    <row r="273" ht="14.3" customHeight="1"/>
    <row r="274" ht="14.3" customHeight="1"/>
    <row r="275" ht="14.3" customHeight="1"/>
    <row r="276" ht="14.3" customHeight="1"/>
    <row r="277" ht="14.3" customHeight="1"/>
    <row r="278" ht="14.3" customHeight="1"/>
    <row r="279" ht="14.3" customHeight="1"/>
    <row r="280" ht="14.3" customHeight="1"/>
    <row r="281" ht="14.3" customHeight="1"/>
    <row r="282" ht="14.3" customHeight="1"/>
    <row r="283" ht="14.3" customHeight="1"/>
    <row r="284" ht="14.3" customHeight="1"/>
    <row r="285" ht="14.3" customHeight="1"/>
    <row r="286" ht="14.3" customHeight="1"/>
    <row r="287" ht="14.3" customHeight="1"/>
    <row r="288" ht="14.3" customHeight="1"/>
    <row r="289" ht="14.3" customHeight="1"/>
    <row r="290" ht="14.3" customHeight="1"/>
    <row r="291" ht="14.3" customHeight="1"/>
    <row r="292" ht="14.3" customHeight="1"/>
    <row r="293" ht="14.3" customHeight="1"/>
    <row r="294" ht="14.3" customHeight="1"/>
    <row r="295" ht="14.3" customHeight="1"/>
    <row r="296" ht="14.3" customHeight="1"/>
    <row r="297" ht="14.3" customHeight="1"/>
    <row r="298" ht="14.3" customHeight="1"/>
    <row r="299" ht="14.3" customHeight="1"/>
    <row r="300" ht="14.3" customHeight="1"/>
    <row r="301" ht="14.3" customHeight="1"/>
    <row r="302" ht="14.3" customHeight="1"/>
    <row r="303" ht="14.3" customHeight="1"/>
    <row r="304" ht="14.3" customHeight="1"/>
    <row r="305" ht="14.3" customHeight="1"/>
    <row r="306" ht="14.3" customHeight="1"/>
    <row r="307" ht="14.3" customHeight="1"/>
    <row r="308" ht="14.3" customHeight="1"/>
    <row r="309" ht="14.3" customHeight="1"/>
    <row r="310" ht="14.3" customHeight="1"/>
    <row r="311" ht="14.3" customHeight="1"/>
    <row r="312" ht="14.3" customHeight="1"/>
    <row r="313" ht="14.3" customHeight="1"/>
    <row r="314" ht="14.3" customHeight="1"/>
    <row r="315" ht="14.3" customHeight="1"/>
    <row r="316" ht="14.3" customHeight="1"/>
    <row r="317" ht="14.3" customHeight="1"/>
    <row r="318" ht="14.3" customHeight="1"/>
    <row r="319" ht="14.3" customHeight="1"/>
    <row r="320" ht="14.3" customHeight="1"/>
    <row r="321" ht="14.3" customHeight="1"/>
    <row r="322" ht="14.3" customHeight="1"/>
    <row r="323" ht="14.3" customHeight="1"/>
    <row r="324" ht="14.3" customHeight="1"/>
    <row r="325" ht="14.3" customHeight="1"/>
    <row r="326" ht="14.3" customHeight="1"/>
    <row r="327" ht="14.3" customHeight="1"/>
    <row r="328" ht="14.3" customHeight="1"/>
    <row r="329" ht="14.3" customHeight="1"/>
    <row r="330" ht="14.3" customHeight="1"/>
    <row r="331" ht="14.3" customHeight="1"/>
    <row r="332" ht="14.3" customHeight="1"/>
    <row r="333" ht="14.3" customHeight="1"/>
    <row r="334" ht="14.3" customHeight="1"/>
    <row r="335" ht="14.3" customHeight="1"/>
    <row r="336" ht="14.3" customHeight="1"/>
    <row r="337" ht="14.3" customHeight="1"/>
    <row r="338" ht="14.3" customHeight="1"/>
    <row r="339" ht="14.3" customHeight="1"/>
    <row r="340" ht="14.3" customHeight="1"/>
    <row r="341" ht="14.3" customHeight="1"/>
    <row r="342" ht="14.3" customHeight="1"/>
    <row r="343" ht="14.3" customHeight="1"/>
    <row r="344" ht="14.3" customHeight="1"/>
    <row r="345" ht="14.3" customHeight="1"/>
    <row r="346" ht="14.3" customHeight="1"/>
    <row r="347" ht="14.3" customHeight="1"/>
    <row r="348" ht="14.3" customHeight="1"/>
    <row r="349" ht="14.3" customHeight="1"/>
    <row r="350" ht="14.3" customHeight="1"/>
    <row r="351" ht="14.3" customHeight="1"/>
    <row r="352" ht="14.3" customHeight="1"/>
    <row r="353" ht="14.3" customHeight="1"/>
    <row r="354" ht="14.3" customHeight="1"/>
    <row r="355" ht="14.3" customHeight="1"/>
    <row r="356" ht="14.3" customHeight="1"/>
    <row r="357" ht="14.3" customHeight="1"/>
    <row r="358" ht="14.3" customHeight="1"/>
    <row r="359" ht="14.3" customHeight="1"/>
    <row r="360" ht="14.3" customHeight="1"/>
    <row r="361" ht="14.3" customHeight="1"/>
    <row r="362" ht="14.3" customHeight="1"/>
    <row r="363" ht="14.3" customHeight="1"/>
    <row r="364" ht="14.3" customHeight="1"/>
    <row r="365" ht="14.3" customHeight="1"/>
    <row r="366" ht="14.3" customHeight="1"/>
    <row r="367" ht="14.3" customHeight="1"/>
    <row r="368" ht="14.3" customHeight="1"/>
    <row r="369" ht="14.3" customHeight="1"/>
    <row r="370" ht="14.3" customHeight="1"/>
    <row r="371" ht="14.3" customHeight="1"/>
    <row r="372" ht="14.3" customHeight="1"/>
    <row r="373" ht="14.3" customHeight="1"/>
    <row r="374" ht="14.3" customHeight="1"/>
    <row r="375" ht="14.3" customHeight="1"/>
    <row r="376" ht="14.3" customHeight="1"/>
    <row r="377" ht="14.3" customHeight="1"/>
    <row r="378" ht="14.3" customHeight="1"/>
    <row r="379" ht="14.3" customHeight="1"/>
    <row r="380" ht="14.3" customHeight="1"/>
    <row r="381" ht="14.3" customHeight="1"/>
    <row r="382" ht="14.3" customHeight="1"/>
    <row r="383" ht="14.3" customHeight="1"/>
    <row r="384" ht="14.3" customHeight="1"/>
    <row r="385" ht="14.3" customHeight="1"/>
    <row r="386" ht="14.3" customHeight="1"/>
    <row r="387" ht="14.3" customHeight="1"/>
    <row r="388" ht="14.3" customHeight="1"/>
    <row r="389" ht="14.3" customHeight="1"/>
    <row r="390" ht="14.3" customHeight="1"/>
    <row r="391" ht="14.3" customHeight="1"/>
    <row r="392" ht="14.3" customHeight="1"/>
    <row r="393" ht="14.3" customHeight="1"/>
    <row r="394" ht="14.3" customHeight="1"/>
    <row r="395" ht="14.3" customHeight="1"/>
    <row r="396" ht="14.3" customHeight="1"/>
    <row r="397" ht="14.3" customHeight="1"/>
    <row r="398" ht="14.3" customHeight="1"/>
    <row r="399" ht="14.3" customHeight="1"/>
    <row r="400" ht="14.3" customHeight="1"/>
    <row r="401" ht="14.3" customHeight="1"/>
    <row r="402" ht="14.3" customHeight="1"/>
    <row r="403" ht="14.3" customHeight="1"/>
    <row r="404" ht="14.3" customHeight="1"/>
    <row r="405" ht="14.3" customHeight="1"/>
    <row r="406" ht="14.3" customHeight="1"/>
    <row r="407" ht="14.3" customHeight="1"/>
    <row r="408" ht="14.3" customHeight="1"/>
    <row r="409" ht="14.3" customHeight="1"/>
    <row r="410" ht="14.3" customHeight="1"/>
    <row r="411" ht="14.3" customHeight="1"/>
    <row r="412" ht="14.3" customHeight="1"/>
    <row r="413" ht="14.3" customHeight="1"/>
    <row r="414" ht="14.3" customHeight="1"/>
    <row r="415" ht="14.3" customHeight="1"/>
    <row r="416" ht="14.3" customHeight="1"/>
    <row r="417" ht="14.3" customHeight="1"/>
    <row r="418" ht="14.3" customHeight="1"/>
    <row r="419" ht="14.3" customHeight="1"/>
    <row r="420" ht="14.3" customHeight="1"/>
    <row r="421" ht="14.3" customHeight="1"/>
    <row r="422" ht="14.3" customHeight="1"/>
    <row r="423" ht="14.3" customHeight="1"/>
    <row r="424" ht="14.3" customHeight="1"/>
    <row r="425" ht="14.3" customHeight="1"/>
    <row r="426" ht="14.3" customHeight="1"/>
    <row r="427" ht="14.3" customHeight="1"/>
    <row r="428" ht="14.3" customHeight="1"/>
    <row r="429" ht="14.3" customHeight="1"/>
    <row r="430" ht="14.3" customHeight="1"/>
    <row r="431" ht="14.3" customHeight="1"/>
    <row r="432" ht="14.3" customHeight="1"/>
    <row r="433" ht="14.3" customHeight="1"/>
    <row r="434" ht="14.3" customHeight="1"/>
    <row r="435" ht="14.3" customHeight="1"/>
    <row r="436" ht="14.3" customHeight="1"/>
    <row r="437" ht="14.3" customHeight="1"/>
    <row r="438" ht="14.3" customHeight="1"/>
    <row r="439" ht="14.3" customHeight="1"/>
    <row r="440" ht="14.3" customHeight="1"/>
    <row r="441" ht="14.3" customHeight="1"/>
    <row r="442" ht="14.3" customHeight="1"/>
    <row r="443" ht="14.3" customHeight="1"/>
    <row r="444" ht="14.3" customHeight="1"/>
    <row r="445" ht="14.3" customHeight="1"/>
    <row r="446" ht="14.3" customHeight="1"/>
    <row r="447" ht="14.3" customHeight="1"/>
    <row r="448" ht="14.3" customHeight="1"/>
    <row r="449" ht="14.3" customHeight="1"/>
    <row r="450" ht="14.3" customHeight="1"/>
    <row r="451" ht="14.3" customHeight="1"/>
    <row r="452" ht="14.3" customHeight="1"/>
    <row r="453" ht="14.3" customHeight="1"/>
    <row r="454" ht="14.3" customHeight="1"/>
    <row r="455" ht="14.3" customHeight="1"/>
    <row r="456" ht="14.3" customHeight="1"/>
    <row r="457" ht="14.3" customHeight="1"/>
    <row r="458" ht="14.3" customHeight="1"/>
    <row r="459" ht="14.3" customHeight="1"/>
    <row r="460" ht="14.3" customHeight="1"/>
    <row r="461" ht="14.3" customHeight="1"/>
    <row r="462" ht="14.3" customHeight="1"/>
    <row r="463" ht="14.3" customHeight="1"/>
    <row r="464" ht="14.3" customHeight="1"/>
    <row r="465" ht="14.3" customHeight="1"/>
    <row r="466" ht="14.3" customHeight="1"/>
    <row r="467" ht="14.3" customHeight="1"/>
    <row r="468" ht="14.3" customHeight="1"/>
    <row r="469" ht="14.3" customHeight="1"/>
    <row r="470" ht="14.3" customHeight="1"/>
    <row r="471" ht="14.3" customHeight="1"/>
    <row r="472" ht="14.3" customHeight="1"/>
    <row r="473" ht="14.3" customHeight="1"/>
    <row r="474" ht="14.3" customHeight="1"/>
    <row r="475" ht="14.3" customHeight="1"/>
    <row r="476" ht="14.3" customHeight="1"/>
    <row r="477" ht="14.3" customHeight="1"/>
    <row r="478" ht="14.3" customHeight="1"/>
    <row r="479" ht="14.3" customHeight="1"/>
    <row r="480" ht="14.3" customHeight="1"/>
    <row r="481" ht="14.3" customHeight="1"/>
    <row r="482" ht="14.3" customHeight="1"/>
    <row r="483" ht="14.3" customHeight="1"/>
    <row r="484" ht="14.3" customHeight="1"/>
    <row r="485" ht="14.3" customHeight="1"/>
    <row r="486" ht="14.3" customHeight="1"/>
    <row r="487" ht="14.3" customHeight="1"/>
    <row r="488" ht="14.3" customHeight="1"/>
    <row r="489" ht="14.3" customHeight="1"/>
    <row r="490" ht="14.3" customHeight="1"/>
    <row r="491" ht="14.3" customHeight="1"/>
    <row r="492" ht="14.3" customHeight="1"/>
    <row r="493" ht="14.3" customHeight="1"/>
    <row r="494" ht="14.3" customHeight="1"/>
    <row r="495" ht="14.3" customHeight="1"/>
    <row r="496" ht="14.3" customHeight="1"/>
    <row r="497" ht="14.3" customHeight="1"/>
    <row r="498" ht="14.3" customHeight="1"/>
    <row r="499" ht="14.3" customHeight="1"/>
    <row r="500" ht="14.3" customHeight="1"/>
    <row r="501" ht="14.3" customHeight="1"/>
    <row r="502" ht="14.3" customHeight="1"/>
    <row r="503" ht="14.3" customHeight="1"/>
    <row r="504" ht="14.3" customHeight="1"/>
    <row r="505" ht="14.3" customHeight="1"/>
    <row r="506" ht="14.3" customHeight="1"/>
    <row r="507" ht="14.3" customHeight="1"/>
    <row r="508" ht="14.3" customHeight="1"/>
    <row r="509" ht="14.3" customHeight="1"/>
    <row r="510" ht="14.3" customHeight="1"/>
    <row r="511" ht="14.3" customHeight="1"/>
    <row r="512" ht="14.3" customHeight="1"/>
    <row r="513" ht="14.3" customHeight="1"/>
    <row r="514" ht="14.3" customHeight="1"/>
    <row r="515" ht="14.3" customHeight="1"/>
    <row r="516" ht="14.3" customHeight="1"/>
    <row r="517" ht="14.3" customHeight="1"/>
    <row r="518" ht="14.3" customHeight="1"/>
    <row r="519" ht="14.3" customHeight="1"/>
    <row r="520" ht="14.3" customHeight="1"/>
    <row r="521" ht="14.3" customHeight="1"/>
    <row r="522" ht="14.3" customHeight="1"/>
    <row r="523" ht="14.3" customHeight="1"/>
    <row r="524" ht="14.3" customHeight="1"/>
    <row r="525" ht="14.3" customHeight="1"/>
    <row r="526" ht="14.3" customHeight="1"/>
    <row r="527" ht="14.3" customHeight="1"/>
    <row r="528" ht="14.3" customHeight="1"/>
    <row r="529" ht="14.3" customHeight="1"/>
    <row r="530" ht="14.3" customHeight="1"/>
    <row r="531" ht="14.3" customHeight="1"/>
    <row r="532" ht="14.3" customHeight="1"/>
    <row r="533" ht="14.3" customHeight="1"/>
    <row r="534" ht="14.3" customHeight="1"/>
    <row r="535" ht="14.3" customHeight="1"/>
    <row r="536" ht="14.3" customHeight="1"/>
    <row r="537" ht="14.3" customHeight="1"/>
    <row r="538" ht="14.3" customHeight="1"/>
    <row r="539" ht="14.3" customHeight="1"/>
    <row r="540" ht="14.3" customHeight="1"/>
    <row r="541" ht="14.3" customHeight="1"/>
    <row r="542" ht="14.3" customHeight="1"/>
    <row r="543" ht="14.3" customHeight="1"/>
    <row r="544" ht="14.3" customHeight="1"/>
    <row r="545" ht="14.3" customHeight="1"/>
    <row r="546" ht="14.3" customHeight="1"/>
    <row r="547" ht="14.3" customHeight="1"/>
    <row r="548" ht="14.3" customHeight="1"/>
    <row r="549" ht="14.3" customHeight="1"/>
    <row r="550" ht="14.3" customHeight="1"/>
    <row r="551" ht="14.3" customHeight="1"/>
    <row r="552" ht="14.3" customHeight="1"/>
    <row r="553" ht="14.3" customHeight="1"/>
    <row r="554" ht="14.3" customHeight="1"/>
    <row r="555" ht="14.3" customHeight="1"/>
    <row r="556" ht="14.3" customHeight="1"/>
    <row r="557" ht="14.3" customHeight="1"/>
    <row r="558" ht="14.3" customHeight="1"/>
    <row r="559" ht="14.3" customHeight="1"/>
    <row r="560" ht="14.3" customHeight="1"/>
    <row r="561" ht="14.3" customHeight="1"/>
    <row r="562" ht="14.3" customHeight="1"/>
    <row r="563" ht="14.3" customHeight="1"/>
    <row r="564" ht="14.3" customHeight="1"/>
    <row r="565" ht="14.3" customHeight="1"/>
    <row r="566" ht="14.3" customHeight="1"/>
    <row r="567" ht="14.3" customHeight="1"/>
    <row r="568" ht="14.3" customHeight="1"/>
    <row r="569" ht="14.3" customHeight="1"/>
    <row r="570" ht="14.3" customHeight="1"/>
    <row r="571" ht="14.3" customHeight="1"/>
    <row r="572" ht="14.3" customHeight="1"/>
    <row r="573" ht="14.3" customHeight="1"/>
    <row r="574" ht="14.3" customHeight="1"/>
    <row r="575" ht="14.3" customHeight="1"/>
    <row r="576" ht="14.3" customHeight="1"/>
    <row r="577" ht="14.3" customHeight="1"/>
    <row r="578" ht="14.3" customHeight="1"/>
    <row r="579" ht="14.3" customHeight="1"/>
    <row r="580" ht="14.3" customHeight="1"/>
    <row r="581" ht="14.3" customHeight="1"/>
    <row r="582" ht="14.3" customHeight="1"/>
    <row r="583" ht="14.3" customHeight="1"/>
    <row r="584" ht="14.3" customHeight="1"/>
    <row r="585" ht="14.3" customHeight="1"/>
    <row r="586" ht="14.3" customHeight="1"/>
    <row r="587" ht="14.3" customHeight="1"/>
    <row r="588" ht="14.3" customHeight="1"/>
    <row r="589" ht="14.3" customHeight="1"/>
    <row r="590" ht="14.3" customHeight="1"/>
    <row r="591" ht="14.3" customHeight="1"/>
    <row r="592" ht="14.3" customHeight="1"/>
    <row r="593" ht="14.3" customHeight="1"/>
    <row r="594" ht="14.3" customHeight="1"/>
    <row r="595" ht="14.3" customHeight="1"/>
    <row r="596" ht="14.3" customHeight="1"/>
    <row r="597" ht="14.3" customHeight="1"/>
    <row r="598" ht="14.3" customHeight="1"/>
    <row r="599" ht="14.3" customHeight="1"/>
    <row r="600" ht="14.3" customHeight="1"/>
    <row r="601" ht="14.3" customHeight="1"/>
    <row r="602" ht="14.3" customHeight="1"/>
    <row r="603" ht="14.3" customHeight="1"/>
    <row r="604" ht="14.3" customHeight="1"/>
    <row r="605" ht="14.3" customHeight="1"/>
    <row r="606" ht="14.3" customHeight="1"/>
    <row r="607" ht="14.3" customHeight="1"/>
    <row r="608" ht="14.3" customHeight="1"/>
    <row r="609" ht="14.3" customHeight="1"/>
    <row r="610" ht="14.3" customHeight="1"/>
    <row r="611" ht="14.3" customHeight="1"/>
    <row r="612" ht="14.3" customHeight="1"/>
    <row r="613" ht="14.3" customHeight="1"/>
    <row r="614" ht="14.3" customHeight="1"/>
    <row r="615" ht="14.3" customHeight="1"/>
    <row r="616" ht="14.3" customHeight="1"/>
    <row r="617" ht="14.3" customHeight="1"/>
    <row r="618" ht="14.3" customHeight="1"/>
    <row r="619" ht="14.3" customHeight="1"/>
    <row r="620" ht="14.3" customHeight="1"/>
    <row r="621" ht="14.3" customHeight="1"/>
    <row r="622" ht="14.3" customHeight="1"/>
    <row r="623" ht="14.3" customHeight="1"/>
    <row r="624" ht="14.3" customHeight="1"/>
    <row r="625" ht="14.3" customHeight="1"/>
    <row r="626" ht="14.3" customHeight="1"/>
    <row r="627" ht="14.3" customHeight="1"/>
    <row r="628" ht="14.3" customHeight="1"/>
    <row r="629" ht="14.3" customHeight="1"/>
    <row r="630" ht="14.3" customHeight="1"/>
    <row r="631" ht="14.3" customHeight="1"/>
    <row r="632" ht="14.3" customHeight="1"/>
    <row r="633" ht="14.3" customHeight="1"/>
    <row r="634" ht="14.3" customHeight="1"/>
    <row r="635" ht="14.3" customHeight="1"/>
    <row r="636" ht="14.3" customHeight="1"/>
    <row r="637" ht="14.3" customHeight="1"/>
    <row r="638" ht="14.3" customHeight="1"/>
    <row r="639" ht="14.3" customHeight="1"/>
    <row r="640" ht="14.3" customHeight="1"/>
    <row r="641" ht="14.3" customHeight="1"/>
    <row r="642" ht="14.3" customHeight="1"/>
    <row r="643" ht="14.3" customHeight="1"/>
    <row r="644" ht="14.3" customHeight="1"/>
    <row r="645" ht="14.3" customHeight="1"/>
    <row r="646" ht="14.3" customHeight="1"/>
    <row r="647" ht="14.3" customHeight="1"/>
    <row r="648" ht="14.3" customHeight="1"/>
    <row r="649" ht="14.3" customHeight="1"/>
    <row r="650" ht="14.3" customHeight="1"/>
    <row r="651" ht="14.3" customHeight="1"/>
    <row r="652" ht="14.3" customHeight="1"/>
    <row r="653" ht="14.3" customHeight="1"/>
    <row r="654" ht="14.3" customHeight="1"/>
    <row r="655" ht="14.3" customHeight="1"/>
    <row r="656" ht="14.3" customHeight="1"/>
    <row r="657" ht="14.3" customHeight="1"/>
    <row r="658" ht="14.3" customHeight="1"/>
    <row r="659" ht="14.3" customHeight="1"/>
    <row r="660" ht="14.3" customHeight="1"/>
    <row r="661" ht="14.3" customHeight="1"/>
    <row r="662" ht="14.3" customHeight="1"/>
    <row r="663" ht="14.3" customHeight="1"/>
    <row r="664" ht="14.3" customHeight="1"/>
    <row r="665" ht="14.3" customHeight="1"/>
    <row r="666" ht="14.3" customHeight="1"/>
    <row r="667" ht="14.3" customHeight="1"/>
    <row r="668" ht="14.3" customHeight="1"/>
    <row r="669" ht="14.3" customHeight="1"/>
    <row r="670" ht="14.3" customHeight="1"/>
    <row r="671" ht="14.3" customHeight="1"/>
    <row r="672" ht="14.3" customHeight="1"/>
    <row r="673" ht="14.3" customHeight="1"/>
    <row r="674" ht="14.3" customHeight="1"/>
    <row r="675" ht="14.3" customHeight="1"/>
    <row r="676" ht="14.3" customHeight="1"/>
    <row r="677" ht="14.3" customHeight="1"/>
    <row r="678" ht="14.3" customHeight="1"/>
    <row r="679" ht="14.3" customHeight="1"/>
    <row r="680" ht="14.3" customHeight="1"/>
    <row r="681" ht="14.3" customHeight="1"/>
    <row r="682" ht="14.3" customHeight="1"/>
    <row r="683" ht="14.3" customHeight="1"/>
    <row r="684" ht="14.3" customHeight="1"/>
    <row r="685" ht="14.3" customHeight="1"/>
    <row r="686" ht="14.3" customHeight="1"/>
    <row r="687" ht="14.3" customHeight="1"/>
    <row r="688" ht="14.3" customHeight="1"/>
    <row r="689" ht="14.3" customHeight="1"/>
    <row r="690" ht="14.3" customHeight="1"/>
    <row r="691" ht="14.3" customHeight="1"/>
    <row r="692" ht="14.3" customHeight="1"/>
    <row r="693" ht="14.3" customHeight="1"/>
    <row r="694" ht="14.3" customHeight="1"/>
    <row r="695" ht="14.3" customHeight="1"/>
    <row r="696" ht="14.3" customHeight="1"/>
    <row r="697" ht="14.3" customHeight="1"/>
    <row r="698" ht="14.3" customHeight="1"/>
    <row r="699" ht="14.3" customHeight="1"/>
    <row r="700" ht="14.3" customHeight="1"/>
    <row r="701" ht="14.3" customHeight="1"/>
    <row r="702" ht="14.3" customHeight="1"/>
    <row r="703" ht="14.3" customHeight="1"/>
    <row r="704" ht="14.3" customHeight="1"/>
    <row r="705" ht="14.3" customHeight="1"/>
    <row r="706" ht="14.3" customHeight="1"/>
    <row r="707" ht="14.3" customHeight="1"/>
    <row r="708" ht="14.3" customHeight="1"/>
    <row r="709" ht="14.3" customHeight="1"/>
    <row r="710" ht="14.3" customHeight="1"/>
    <row r="711" ht="14.3" customHeight="1"/>
    <row r="712" ht="14.3" customHeight="1"/>
    <row r="713" ht="14.3" customHeight="1"/>
    <row r="714" ht="14.3" customHeight="1"/>
    <row r="715" ht="14.3" customHeight="1"/>
    <row r="716" ht="14.3" customHeight="1"/>
    <row r="717" ht="14.3" customHeight="1"/>
    <row r="718" ht="14.3" customHeight="1"/>
    <row r="719" ht="14.3" customHeight="1"/>
    <row r="720" ht="14.3" customHeight="1"/>
    <row r="721" ht="14.3" customHeight="1"/>
    <row r="722" ht="14.3" customHeight="1"/>
    <row r="723" ht="14.3" customHeight="1"/>
    <row r="724" ht="14.3" customHeight="1"/>
    <row r="725" ht="14.3" customHeight="1"/>
    <row r="726" ht="14.3" customHeight="1"/>
    <row r="727" ht="14.3" customHeight="1"/>
    <row r="728" ht="14.3" customHeight="1"/>
    <row r="729" ht="14.3" customHeight="1"/>
    <row r="730" ht="14.3" customHeight="1"/>
    <row r="731" ht="14.3" customHeight="1"/>
    <row r="732" ht="14.3" customHeight="1"/>
    <row r="733" ht="14.3" customHeight="1"/>
    <row r="734" ht="14.3" customHeight="1"/>
    <row r="735" ht="14.3" customHeight="1"/>
    <row r="736" ht="14.3" customHeight="1"/>
    <row r="737" ht="14.3" customHeight="1"/>
    <row r="738" ht="14.3" customHeight="1"/>
    <row r="739" ht="14.3" customHeight="1"/>
    <row r="740" ht="14.3" customHeight="1"/>
    <row r="741" ht="14.3" customHeight="1"/>
    <row r="742" ht="14.3" customHeight="1"/>
    <row r="743" ht="14.3" customHeight="1"/>
    <row r="744" ht="14.3" customHeight="1"/>
    <row r="745" ht="14.3" customHeight="1"/>
    <row r="746" ht="14.3" customHeight="1"/>
    <row r="747" ht="14.3" customHeight="1"/>
    <row r="748" ht="14.3" customHeight="1"/>
    <row r="749" ht="14.3" customHeight="1"/>
    <row r="750" ht="14.3" customHeight="1"/>
    <row r="751" ht="14.3" customHeight="1"/>
    <row r="752" ht="14.3" customHeight="1"/>
    <row r="753" ht="14.3" customHeight="1"/>
    <row r="754" ht="14.3" customHeight="1"/>
    <row r="755" ht="14.3" customHeight="1"/>
    <row r="756" ht="14.3" customHeight="1"/>
    <row r="757" ht="14.3" customHeight="1"/>
    <row r="758" ht="14.3" customHeight="1"/>
    <row r="759" ht="14.3" customHeight="1"/>
    <row r="760" ht="14.3" customHeight="1"/>
    <row r="761" ht="14.3" customHeight="1"/>
    <row r="762" ht="14.3" customHeight="1"/>
    <row r="763" ht="14.3" customHeight="1"/>
    <row r="764" ht="14.3" customHeight="1"/>
    <row r="765" ht="14.3" customHeight="1"/>
    <row r="766" ht="14.3" customHeight="1"/>
    <row r="767" ht="14.3" customHeight="1"/>
    <row r="768" ht="14.3" customHeight="1"/>
    <row r="769" ht="14.3" customHeight="1"/>
    <row r="770" ht="14.3" customHeight="1"/>
    <row r="771" ht="14.3" customHeight="1"/>
    <row r="772" ht="14.3" customHeight="1"/>
    <row r="773" ht="14.3" customHeight="1"/>
    <row r="774" ht="14.3" customHeight="1"/>
    <row r="775" ht="14.3" customHeight="1"/>
    <row r="776" ht="14.3" customHeight="1"/>
    <row r="777" ht="14.3" customHeight="1"/>
    <row r="778" ht="14.3" customHeight="1"/>
    <row r="779" ht="14.3" customHeight="1"/>
    <row r="780" ht="14.3" customHeight="1"/>
    <row r="781" ht="14.3" customHeight="1"/>
    <row r="782" ht="14.3" customHeight="1"/>
    <row r="783" ht="14.3" customHeight="1"/>
    <row r="784" ht="14.3" customHeight="1"/>
    <row r="785" ht="14.3" customHeight="1"/>
    <row r="786" ht="14.3" customHeight="1"/>
    <row r="787" ht="14.3" customHeight="1"/>
    <row r="788" ht="14.3" customHeight="1"/>
    <row r="789" ht="14.3" customHeight="1"/>
    <row r="790" ht="14.3" customHeight="1"/>
    <row r="791" ht="14.3" customHeight="1"/>
    <row r="792" ht="14.3" customHeight="1"/>
    <row r="793" ht="14.3" customHeight="1"/>
    <row r="794" ht="14.3" customHeight="1"/>
    <row r="795" ht="14.3" customHeight="1"/>
    <row r="796" ht="14.3" customHeight="1"/>
    <row r="797" ht="14.3" customHeight="1"/>
    <row r="798" ht="14.3" customHeight="1"/>
    <row r="799" ht="14.3" customHeight="1"/>
    <row r="800" ht="14.3" customHeight="1"/>
    <row r="801" ht="14.3" customHeight="1"/>
    <row r="802" ht="14.3" customHeight="1"/>
    <row r="803" ht="14.3" customHeight="1"/>
    <row r="804" ht="14.3" customHeight="1"/>
    <row r="805" ht="14.3" customHeight="1"/>
    <row r="806" ht="14.3" customHeight="1"/>
    <row r="807" ht="14.3" customHeight="1"/>
    <row r="808" ht="14.3" customHeight="1"/>
    <row r="809" ht="14.3" customHeight="1"/>
    <row r="810" ht="14.3" customHeight="1"/>
    <row r="811" ht="14.3" customHeight="1"/>
    <row r="812" ht="14.3" customHeight="1"/>
    <row r="813" ht="14.3" customHeight="1"/>
    <row r="814" ht="14.3" customHeight="1"/>
    <row r="815" ht="14.3" customHeight="1"/>
    <row r="816" ht="14.3" customHeight="1"/>
    <row r="817" ht="14.3" customHeight="1"/>
    <row r="818" ht="14.3" customHeight="1"/>
    <row r="819" ht="14.3" customHeight="1"/>
    <row r="820" ht="14.3" customHeight="1"/>
    <row r="821" ht="14.3" customHeight="1"/>
    <row r="822" ht="14.3" customHeight="1"/>
    <row r="823" ht="14.3" customHeight="1"/>
    <row r="824" ht="14.3" customHeight="1"/>
    <row r="825" ht="14.3" customHeight="1"/>
    <row r="826" ht="14.3" customHeight="1"/>
    <row r="827" ht="14.3" customHeight="1"/>
    <row r="828" ht="14.3" customHeight="1"/>
    <row r="829" ht="14.3" customHeight="1"/>
    <row r="830" ht="14.3" customHeight="1"/>
    <row r="831" ht="14.3" customHeight="1"/>
    <row r="832" ht="14.3" customHeight="1"/>
    <row r="833" ht="14.3" customHeight="1"/>
    <row r="834" ht="14.3" customHeight="1"/>
    <row r="835" ht="14.3" customHeight="1"/>
    <row r="836" ht="14.3" customHeight="1"/>
    <row r="837" ht="14.3" customHeight="1"/>
    <row r="838" ht="14.3" customHeight="1"/>
    <row r="839" ht="14.3" customHeight="1"/>
    <row r="840" ht="14.3" customHeight="1"/>
    <row r="841" ht="14.3" customHeight="1"/>
    <row r="842" ht="14.3" customHeight="1"/>
    <row r="843" ht="14.3" customHeight="1"/>
    <row r="844" ht="14.3" customHeight="1"/>
    <row r="845" ht="14.3" customHeight="1"/>
    <row r="846" ht="14.3" customHeight="1"/>
    <row r="847" ht="14.3" customHeight="1"/>
    <row r="848" ht="14.3" customHeight="1"/>
    <row r="849" ht="14.3" customHeight="1"/>
    <row r="850" ht="14.3" customHeight="1"/>
    <row r="851" ht="14.3" customHeight="1"/>
    <row r="852" ht="14.3" customHeight="1"/>
    <row r="853" ht="14.3" customHeight="1"/>
    <row r="854" ht="14.3" customHeight="1"/>
    <row r="855" ht="14.3" customHeight="1"/>
    <row r="856" ht="14.3" customHeight="1"/>
    <row r="857" ht="14.3" customHeight="1"/>
    <row r="858" ht="14.3" customHeight="1"/>
    <row r="859" ht="14.3" customHeight="1"/>
    <row r="860" ht="14.3" customHeight="1"/>
    <row r="861" ht="14.3" customHeight="1"/>
    <row r="862" ht="14.3" customHeight="1"/>
    <row r="863" ht="14.3" customHeight="1"/>
    <row r="864" ht="14.3" customHeight="1"/>
    <row r="865" ht="14.3" customHeight="1"/>
    <row r="866" ht="14.3" customHeight="1"/>
    <row r="867" ht="14.3" customHeight="1"/>
    <row r="868" ht="14.3" customHeight="1"/>
    <row r="869" ht="14.3" customHeight="1"/>
    <row r="870" ht="14.3" customHeight="1"/>
    <row r="871" ht="14.3" customHeight="1"/>
    <row r="872" ht="14.3" customHeight="1"/>
    <row r="873" ht="14.3" customHeight="1"/>
    <row r="874" ht="14.3" customHeight="1"/>
    <row r="875" ht="14.3" customHeight="1"/>
    <row r="876" ht="14.3" customHeight="1"/>
    <row r="877" ht="14.3" customHeight="1"/>
    <row r="878" ht="14.3" customHeight="1"/>
    <row r="879" ht="14.3" customHeight="1"/>
    <row r="880" ht="14.3" customHeight="1"/>
    <row r="881" ht="14.3" customHeight="1"/>
    <row r="882" ht="14.3" customHeight="1"/>
    <row r="883" ht="14.3" customHeight="1"/>
    <row r="884" ht="14.3" customHeight="1"/>
    <row r="885" ht="14.3" customHeight="1"/>
    <row r="886" ht="14.3" customHeight="1"/>
    <row r="887" ht="14.3" customHeight="1"/>
    <row r="888" ht="14.3" customHeight="1"/>
    <row r="889" ht="14.3" customHeight="1"/>
    <row r="890" ht="14.3" customHeight="1"/>
    <row r="891" ht="14.3" customHeight="1"/>
    <row r="892" ht="14.3" customHeight="1"/>
    <row r="893" ht="14.3" customHeight="1"/>
    <row r="894" ht="14.3" customHeight="1"/>
    <row r="895" ht="14.3" customHeight="1"/>
    <row r="896" ht="14.3" customHeight="1"/>
    <row r="897" ht="14.3" customHeight="1"/>
    <row r="898" ht="14.3" customHeight="1"/>
    <row r="899" ht="14.3" customHeight="1"/>
    <row r="900" ht="14.3" customHeight="1"/>
    <row r="901" ht="14.3" customHeight="1"/>
    <row r="902" ht="14.3" customHeight="1"/>
    <row r="903" ht="14.3" customHeight="1"/>
    <row r="904" ht="14.3" customHeight="1"/>
    <row r="905" ht="14.3" customHeight="1"/>
    <row r="906" ht="14.3" customHeight="1"/>
    <row r="907" ht="14.3" customHeight="1"/>
    <row r="908" ht="14.3" customHeight="1"/>
    <row r="909" ht="14.3" customHeight="1"/>
    <row r="910" ht="14.3" customHeight="1"/>
    <row r="911" ht="14.3" customHeight="1"/>
    <row r="912" ht="14.3" customHeight="1"/>
    <row r="913" ht="14.3" customHeight="1"/>
    <row r="914" ht="14.3" customHeight="1"/>
    <row r="915" ht="14.3" customHeight="1"/>
    <row r="916" ht="14.3" customHeight="1"/>
    <row r="917" ht="14.3" customHeight="1"/>
    <row r="918" ht="14.3" customHeight="1"/>
    <row r="919" ht="14.3" customHeight="1"/>
    <row r="920" ht="14.3" customHeight="1"/>
    <row r="921" ht="14.3" customHeight="1"/>
    <row r="922" ht="14.3" customHeight="1"/>
    <row r="923" ht="14.3" customHeight="1"/>
    <row r="924" ht="14.3" customHeight="1"/>
    <row r="925" ht="14.3" customHeight="1"/>
    <row r="926" ht="14.3" customHeight="1"/>
    <row r="927" ht="14.3" customHeight="1"/>
    <row r="928" ht="14.3" customHeight="1"/>
    <row r="929" ht="14.3" customHeight="1"/>
    <row r="930" ht="14.3" customHeight="1"/>
    <row r="931" ht="14.3" customHeight="1"/>
    <row r="932" ht="14.3" customHeight="1"/>
    <row r="933" ht="14.3" customHeight="1"/>
    <row r="934" ht="14.3" customHeight="1"/>
    <row r="935" ht="14.3" customHeight="1"/>
    <row r="936" ht="14.3" customHeight="1"/>
    <row r="937" ht="14.3" customHeight="1"/>
    <row r="938" ht="14.3" customHeight="1"/>
    <row r="939" ht="14.3" customHeight="1"/>
    <row r="940" ht="14.3" customHeight="1"/>
    <row r="941" ht="14.3" customHeight="1"/>
    <row r="942" ht="14.3" customHeight="1"/>
    <row r="943" ht="14.3" customHeight="1"/>
    <row r="944" ht="14.3" customHeight="1"/>
    <row r="945" ht="14.3" customHeight="1"/>
    <row r="946" ht="14.3" customHeight="1"/>
    <row r="947" ht="14.3" customHeight="1"/>
    <row r="948" ht="14.3" customHeight="1"/>
    <row r="949" ht="14.3" customHeight="1"/>
    <row r="950" ht="14.3" customHeight="1"/>
    <row r="951" ht="14.3" customHeight="1"/>
    <row r="952" ht="14.3" customHeight="1"/>
    <row r="953" ht="14.3" customHeight="1"/>
    <row r="954" ht="14.3" customHeight="1"/>
    <row r="955" ht="14.3" customHeight="1"/>
    <row r="956" ht="14.3" customHeight="1"/>
    <row r="957" ht="14.3" customHeight="1"/>
    <row r="958" ht="14.3" customHeight="1"/>
    <row r="959" ht="14.3" customHeight="1"/>
    <row r="960" ht="14.3" customHeight="1"/>
    <row r="961" ht="14.3" customHeight="1"/>
    <row r="962" ht="14.3" customHeight="1"/>
    <row r="963" ht="14.3" customHeight="1"/>
    <row r="964" ht="14.3" customHeight="1"/>
    <row r="965" ht="14.3" customHeight="1"/>
    <row r="966" ht="14.3" customHeight="1"/>
    <row r="967" ht="14.3" customHeight="1"/>
    <row r="968" ht="14.3" customHeight="1"/>
    <row r="969" ht="14.3" customHeight="1"/>
    <row r="970" ht="14.3" customHeight="1"/>
    <row r="971" ht="14.3" customHeight="1"/>
    <row r="972" ht="14.3" customHeight="1"/>
    <row r="973" ht="14.3" customHeight="1"/>
    <row r="974" ht="14.3" customHeight="1"/>
    <row r="975" ht="14.3" customHeight="1"/>
    <row r="976" ht="14.3" customHeight="1"/>
    <row r="977" ht="14.3" customHeight="1"/>
    <row r="978" ht="14.3" customHeight="1"/>
    <row r="979" ht="14.3" customHeight="1"/>
    <row r="980" ht="14.3" customHeight="1"/>
    <row r="981" ht="14.3" customHeight="1"/>
    <row r="982" ht="14.3" customHeight="1"/>
    <row r="983" ht="14.3" customHeight="1"/>
    <row r="984" ht="14.3" customHeight="1"/>
    <row r="985" ht="14.3" customHeight="1"/>
    <row r="986" ht="14.3" customHeight="1"/>
    <row r="987" ht="14.3" customHeight="1"/>
    <row r="988" ht="14.3" customHeight="1"/>
    <row r="989" ht="14.3" customHeight="1"/>
    <row r="990" ht="14.3" customHeight="1"/>
    <row r="991" ht="14.3" customHeight="1"/>
    <row r="992" ht="14.3" customHeight="1"/>
    <row r="993" ht="14.3" customHeight="1"/>
    <row r="994" ht="14.3" customHeight="1"/>
    <row r="995" ht="14.3" customHeight="1"/>
    <row r="996" ht="14.3" customHeight="1"/>
    <row r="997" ht="14.3" customHeight="1"/>
    <row r="998" ht="14.3" customHeight="1"/>
    <row r="999" ht="14.3" customHeight="1"/>
    <row r="1000" ht="14.3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C1000"/>
  <sheetViews>
    <sheetView workbookViewId="0"/>
  </sheetViews>
  <sheetFormatPr defaultColWidth="14.375" defaultRowHeight="14.95" customHeight="1"/>
  <cols>
    <col min="1" max="1" width="14.375" customWidth="1"/>
    <col min="2" max="2" width="39.375" customWidth="1"/>
    <col min="3" max="6" width="14.375" customWidth="1"/>
  </cols>
  <sheetData>
    <row r="1" spans="1:3" ht="14.3" customHeight="1">
      <c r="A1" s="9">
        <v>222310171</v>
      </c>
      <c r="B1" s="10" t="s">
        <v>39</v>
      </c>
      <c r="C1" s="9" t="s">
        <v>1</v>
      </c>
    </row>
    <row r="2" spans="1:3" ht="14.3" customHeight="1">
      <c r="A2" s="9">
        <v>222310375</v>
      </c>
      <c r="B2" s="10" t="s">
        <v>40</v>
      </c>
      <c r="C2" s="9" t="s">
        <v>3</v>
      </c>
    </row>
    <row r="3" spans="1:3" ht="14.3" customHeight="1">
      <c r="A3" s="9">
        <v>222310240</v>
      </c>
      <c r="B3" s="10" t="s">
        <v>41</v>
      </c>
      <c r="C3" s="9" t="s">
        <v>3</v>
      </c>
    </row>
    <row r="4" spans="1:3" ht="14.3" customHeight="1">
      <c r="A4" s="9">
        <v>222310002</v>
      </c>
      <c r="B4" s="10" t="s">
        <v>42</v>
      </c>
      <c r="C4" s="9" t="s">
        <v>3</v>
      </c>
    </row>
    <row r="5" spans="1:3" ht="14.3" customHeight="1">
      <c r="A5" s="9">
        <v>222310173</v>
      </c>
      <c r="B5" s="10" t="s">
        <v>43</v>
      </c>
      <c r="C5" s="9" t="s">
        <v>3</v>
      </c>
    </row>
    <row r="6" spans="1:3" ht="14.3" customHeight="1">
      <c r="A6" s="9">
        <v>222310175</v>
      </c>
      <c r="B6" s="10" t="s">
        <v>44</v>
      </c>
      <c r="C6" s="9" t="s">
        <v>1</v>
      </c>
    </row>
    <row r="7" spans="1:3" ht="14.3" customHeight="1">
      <c r="A7" s="9">
        <v>222310210</v>
      </c>
      <c r="B7" s="10" t="s">
        <v>45</v>
      </c>
      <c r="C7" s="9" t="s">
        <v>1</v>
      </c>
    </row>
    <row r="8" spans="1:3" ht="14.3" customHeight="1">
      <c r="A8" s="9">
        <v>222310079</v>
      </c>
      <c r="B8" s="10" t="s">
        <v>47</v>
      </c>
      <c r="C8" s="9" t="s">
        <v>1</v>
      </c>
    </row>
    <row r="9" spans="1:3" ht="14.3" customHeight="1">
      <c r="A9" s="9">
        <v>222310114</v>
      </c>
      <c r="B9" s="10" t="s">
        <v>48</v>
      </c>
      <c r="C9" s="9" t="s">
        <v>1</v>
      </c>
    </row>
    <row r="10" spans="1:3" ht="14.3" customHeight="1">
      <c r="A10" s="9">
        <v>222310115</v>
      </c>
      <c r="B10" s="10" t="s">
        <v>49</v>
      </c>
      <c r="C10" s="9" t="s">
        <v>3</v>
      </c>
    </row>
    <row r="11" spans="1:3" ht="14.3" customHeight="1">
      <c r="A11" s="9">
        <v>222310212</v>
      </c>
      <c r="B11" s="10" t="s">
        <v>50</v>
      </c>
      <c r="C11" s="9" t="s">
        <v>3</v>
      </c>
    </row>
    <row r="12" spans="1:3" ht="14.3" customHeight="1">
      <c r="A12" s="9">
        <v>222310082</v>
      </c>
      <c r="B12" s="10" t="s">
        <v>51</v>
      </c>
      <c r="C12" s="9" t="s">
        <v>3</v>
      </c>
    </row>
    <row r="13" spans="1:3" ht="14.3" customHeight="1">
      <c r="A13" s="9"/>
      <c r="B13" s="10" t="s">
        <v>52</v>
      </c>
      <c r="C13" s="9" t="s">
        <v>3</v>
      </c>
    </row>
    <row r="14" spans="1:3" ht="14.3" customHeight="1">
      <c r="A14" s="9">
        <v>222310146</v>
      </c>
      <c r="B14" s="10" t="s">
        <v>53</v>
      </c>
      <c r="C14" s="9" t="s">
        <v>3</v>
      </c>
    </row>
    <row r="15" spans="1:3" ht="14.3" customHeight="1">
      <c r="A15" s="1">
        <v>222310055</v>
      </c>
      <c r="B15" s="2" t="s">
        <v>54</v>
      </c>
      <c r="C15" s="1" t="s">
        <v>3</v>
      </c>
    </row>
    <row r="16" spans="1:3" ht="14.3" customHeight="1">
      <c r="A16" s="1">
        <v>222310389</v>
      </c>
      <c r="B16" s="2" t="s">
        <v>55</v>
      </c>
      <c r="C16" s="1" t="s">
        <v>1</v>
      </c>
    </row>
    <row r="17" spans="1:3" ht="14.3" customHeight="1">
      <c r="A17" s="9">
        <v>222310390</v>
      </c>
      <c r="B17" s="10" t="s">
        <v>56</v>
      </c>
      <c r="C17" s="9" t="s">
        <v>1</v>
      </c>
    </row>
    <row r="18" spans="1:3" ht="14.3" customHeight="1">
      <c r="A18" s="1">
        <v>222310256</v>
      </c>
      <c r="B18" s="2" t="s">
        <v>57</v>
      </c>
      <c r="C18" s="1" t="s">
        <v>1</v>
      </c>
    </row>
    <row r="19" spans="1:3" ht="14.3" customHeight="1">
      <c r="A19" s="1">
        <v>222310285</v>
      </c>
      <c r="B19" s="2" t="s">
        <v>58</v>
      </c>
      <c r="C19" s="1" t="s">
        <v>1</v>
      </c>
    </row>
    <row r="20" spans="1:3" ht="14.3" customHeight="1">
      <c r="A20" s="1">
        <v>222310012</v>
      </c>
      <c r="B20" s="2" t="s">
        <v>59</v>
      </c>
      <c r="C20" s="1" t="s">
        <v>1</v>
      </c>
    </row>
    <row r="21" spans="1:3" ht="15.8" customHeight="1">
      <c r="A21" s="1">
        <v>232411407</v>
      </c>
      <c r="B21" s="2" t="s">
        <v>60</v>
      </c>
      <c r="C21" s="1" t="s">
        <v>1</v>
      </c>
    </row>
    <row r="22" spans="1:3" ht="15.8" customHeight="1">
      <c r="A22" s="1">
        <v>222310322</v>
      </c>
      <c r="B22" s="2" t="s">
        <v>61</v>
      </c>
      <c r="C22" s="1" t="s">
        <v>3</v>
      </c>
    </row>
    <row r="23" spans="1:3" ht="15.8" customHeight="1">
      <c r="A23" s="1">
        <v>222310128</v>
      </c>
      <c r="B23" s="2" t="s">
        <v>62</v>
      </c>
      <c r="C23" s="1" t="s">
        <v>1</v>
      </c>
    </row>
    <row r="24" spans="1:3" ht="15.8" customHeight="1">
      <c r="A24" s="1">
        <v>222310018</v>
      </c>
      <c r="B24" s="2" t="s">
        <v>63</v>
      </c>
      <c r="C24" s="1" t="s">
        <v>3</v>
      </c>
    </row>
    <row r="25" spans="1:3" ht="15.8" customHeight="1">
      <c r="A25" s="1">
        <v>222310325</v>
      </c>
      <c r="B25" s="2" t="s">
        <v>64</v>
      </c>
      <c r="C25" s="1" t="s">
        <v>1</v>
      </c>
    </row>
    <row r="26" spans="1:3" ht="15.8" customHeight="1">
      <c r="A26" s="1">
        <v>222310295</v>
      </c>
      <c r="B26" s="2" t="s">
        <v>65</v>
      </c>
      <c r="C26" s="1" t="s">
        <v>3</v>
      </c>
    </row>
    <row r="27" spans="1:3" ht="15.8" customHeight="1">
      <c r="A27" s="1">
        <v>222310260</v>
      </c>
      <c r="B27" s="2" t="s">
        <v>66</v>
      </c>
      <c r="C27" s="1" t="s">
        <v>3</v>
      </c>
    </row>
    <row r="28" spans="1:3" ht="15.8" customHeight="1">
      <c r="A28" s="9">
        <v>222310296</v>
      </c>
      <c r="B28" s="10" t="s">
        <v>67</v>
      </c>
      <c r="C28" s="9" t="s">
        <v>3</v>
      </c>
    </row>
    <row r="29" spans="1:3" ht="15.8" customHeight="1">
      <c r="A29" s="9">
        <v>222310262</v>
      </c>
      <c r="B29" s="10" t="s">
        <v>68</v>
      </c>
      <c r="C29" s="9" t="s">
        <v>3</v>
      </c>
    </row>
    <row r="30" spans="1:3" ht="15.8" customHeight="1">
      <c r="A30" s="9">
        <v>222310301</v>
      </c>
      <c r="B30" s="10" t="s">
        <v>70</v>
      </c>
      <c r="C30" s="9" t="s">
        <v>1</v>
      </c>
    </row>
    <row r="31" spans="1:3" ht="15.8" customHeight="1">
      <c r="A31" s="9">
        <v>222310370</v>
      </c>
      <c r="B31" s="10" t="s">
        <v>71</v>
      </c>
      <c r="C31" s="9" t="s">
        <v>3</v>
      </c>
    </row>
    <row r="32" spans="1:3" ht="15.8" customHeight="1">
      <c r="A32" s="9">
        <v>222310029</v>
      </c>
      <c r="B32" s="10" t="s">
        <v>72</v>
      </c>
      <c r="C32" s="9" t="s">
        <v>3</v>
      </c>
    </row>
    <row r="33" spans="1:3" ht="15.8" customHeight="1">
      <c r="A33" s="9">
        <v>222310203</v>
      </c>
      <c r="B33" s="10" t="s">
        <v>73</v>
      </c>
      <c r="C33" s="9" t="s">
        <v>3</v>
      </c>
    </row>
    <row r="34" spans="1:3" ht="15.8" customHeight="1">
      <c r="A34" s="9">
        <v>222310336</v>
      </c>
      <c r="B34" s="10" t="s">
        <v>74</v>
      </c>
      <c r="C34" s="9" t="s">
        <v>1</v>
      </c>
    </row>
    <row r="35" spans="1:3" ht="15.8" customHeight="1">
      <c r="A35" s="9">
        <v>222310235</v>
      </c>
      <c r="B35" s="10" t="s">
        <v>75</v>
      </c>
      <c r="C35" s="9" t="s">
        <v>3</v>
      </c>
    </row>
    <row r="36" spans="1:3" ht="15.8" customHeight="1"/>
    <row r="37" spans="1:3" ht="15.8" customHeight="1"/>
    <row r="38" spans="1:3" ht="15.8" customHeight="1"/>
    <row r="39" spans="1:3" ht="15.8" customHeight="1"/>
    <row r="40" spans="1:3" ht="15.8" customHeight="1"/>
    <row r="41" spans="1:3" ht="15.8" customHeight="1"/>
    <row r="42" spans="1:3" ht="15.8" customHeight="1"/>
    <row r="43" spans="1:3" ht="15.8" customHeight="1"/>
    <row r="44" spans="1:3" ht="15.8" customHeight="1"/>
    <row r="45" spans="1:3" ht="15.8" customHeight="1"/>
    <row r="46" spans="1:3" ht="15.8" customHeight="1"/>
    <row r="47" spans="1:3" ht="15.8" customHeight="1"/>
    <row r="48" spans="1:3" ht="15.8" customHeight="1"/>
    <row r="49" ht="15.8" customHeight="1"/>
    <row r="50" ht="15.8" customHeight="1"/>
    <row r="51" ht="15.8" customHeight="1"/>
    <row r="52" ht="15.8" customHeight="1"/>
    <row r="53" ht="15.8" customHeight="1"/>
    <row r="54" ht="15.8" customHeight="1"/>
    <row r="55" ht="15.8" customHeight="1"/>
    <row r="56" ht="15.8" customHeight="1"/>
    <row r="57" ht="15.8" customHeight="1"/>
    <row r="58" ht="15.8" customHeight="1"/>
    <row r="59" ht="15.8" customHeight="1"/>
    <row r="60" ht="15.8" customHeight="1"/>
    <row r="61" ht="15.8" customHeight="1"/>
    <row r="62" ht="15.8" customHeight="1"/>
    <row r="63" ht="15.8" customHeight="1"/>
    <row r="64" ht="15.8" customHeight="1"/>
    <row r="65" ht="15.8" customHeight="1"/>
    <row r="66" ht="15.8" customHeight="1"/>
    <row r="67" ht="15.8" customHeight="1"/>
    <row r="68" ht="15.8" customHeight="1"/>
    <row r="69" ht="15.8" customHeight="1"/>
    <row r="70" ht="15.8" customHeight="1"/>
    <row r="71" ht="15.8" customHeight="1"/>
    <row r="72" ht="15.8" customHeight="1"/>
    <row r="73" ht="15.8" customHeight="1"/>
    <row r="74" ht="15.8" customHeight="1"/>
    <row r="75" ht="15.8" customHeight="1"/>
    <row r="76" ht="15.8" customHeight="1"/>
    <row r="77" ht="15.8" customHeight="1"/>
    <row r="78" ht="15.8" customHeight="1"/>
    <row r="79" ht="15.8" customHeight="1"/>
    <row r="80" ht="15.8" customHeight="1"/>
    <row r="81" ht="15.8" customHeight="1"/>
    <row r="82" ht="15.8" customHeight="1"/>
    <row r="83" ht="15.8" customHeight="1"/>
    <row r="84" ht="15.8" customHeight="1"/>
    <row r="85" ht="15.8" customHeight="1"/>
    <row r="86" ht="15.8" customHeight="1"/>
    <row r="87" ht="15.8" customHeight="1"/>
    <row r="88" ht="15.8" customHeight="1"/>
    <row r="89" ht="15.8" customHeight="1"/>
    <row r="90" ht="15.8" customHeight="1"/>
    <row r="91" ht="15.8" customHeight="1"/>
    <row r="92" ht="15.8" customHeight="1"/>
    <row r="93" ht="15.8" customHeight="1"/>
    <row r="94" ht="15.8" customHeight="1"/>
    <row r="95" ht="15.8" customHeight="1"/>
    <row r="96" ht="15.8" customHeight="1"/>
    <row r="97" ht="15.8" customHeight="1"/>
    <row r="98" ht="15.8" customHeight="1"/>
    <row r="99" ht="15.8" customHeight="1"/>
    <row r="100" ht="15.8" customHeight="1"/>
    <row r="101" ht="15.8" customHeight="1"/>
    <row r="102" ht="15.8" customHeight="1"/>
    <row r="103" ht="15.8" customHeight="1"/>
    <row r="104" ht="15.8" customHeight="1"/>
    <row r="105" ht="15.8" customHeight="1"/>
    <row r="106" ht="15.8" customHeight="1"/>
    <row r="107" ht="15.8" customHeight="1"/>
    <row r="108" ht="15.8" customHeight="1"/>
    <row r="109" ht="15.8" customHeight="1"/>
    <row r="110" ht="15.8" customHeight="1"/>
    <row r="111" ht="15.8" customHeight="1"/>
    <row r="112" ht="15.8" customHeight="1"/>
    <row r="113" ht="15.8" customHeight="1"/>
    <row r="114" ht="15.8" customHeight="1"/>
    <row r="115" ht="15.8" customHeight="1"/>
    <row r="116" ht="15.8" customHeight="1"/>
    <row r="117" ht="15.8" customHeight="1"/>
    <row r="118" ht="15.8" customHeight="1"/>
    <row r="119" ht="15.8" customHeight="1"/>
    <row r="120" ht="15.8" customHeight="1"/>
    <row r="121" ht="15.8" customHeight="1"/>
    <row r="122" ht="15.8" customHeight="1"/>
    <row r="123" ht="15.8" customHeight="1"/>
    <row r="124" ht="15.8" customHeight="1"/>
    <row r="125" ht="15.8" customHeight="1"/>
    <row r="126" ht="15.8" customHeight="1"/>
    <row r="127" ht="15.8" customHeight="1"/>
    <row r="128" ht="15.8" customHeight="1"/>
    <row r="129" ht="15.8" customHeight="1"/>
    <row r="130" ht="15.8" customHeight="1"/>
    <row r="131" ht="15.8" customHeight="1"/>
    <row r="132" ht="15.8" customHeight="1"/>
    <row r="133" ht="15.8" customHeight="1"/>
    <row r="134" ht="15.8" customHeight="1"/>
    <row r="135" ht="15.8" customHeight="1"/>
    <row r="136" ht="15.8" customHeight="1"/>
    <row r="137" ht="15.8" customHeight="1"/>
    <row r="138" ht="15.8" customHeight="1"/>
    <row r="139" ht="15.8" customHeight="1"/>
    <row r="140" ht="15.8" customHeight="1"/>
    <row r="141" ht="15.8" customHeight="1"/>
    <row r="142" ht="15.8" customHeight="1"/>
    <row r="143" ht="15.8" customHeight="1"/>
    <row r="144" ht="15.8" customHeight="1"/>
    <row r="145" ht="15.8" customHeight="1"/>
    <row r="146" ht="15.8" customHeight="1"/>
    <row r="147" ht="15.8" customHeight="1"/>
    <row r="148" ht="15.8" customHeight="1"/>
    <row r="149" ht="15.8" customHeight="1"/>
    <row r="150" ht="15.8" customHeight="1"/>
    <row r="151" ht="15.8" customHeight="1"/>
    <row r="152" ht="15.8" customHeight="1"/>
    <row r="153" ht="15.8" customHeight="1"/>
    <row r="154" ht="15.8" customHeight="1"/>
    <row r="155" ht="15.8" customHeight="1"/>
    <row r="156" ht="15.8" customHeight="1"/>
    <row r="157" ht="15.8" customHeight="1"/>
    <row r="158" ht="15.8" customHeight="1"/>
    <row r="159" ht="15.8" customHeight="1"/>
    <row r="160" ht="15.8" customHeight="1"/>
    <row r="161" ht="15.8" customHeight="1"/>
    <row r="162" ht="15.8" customHeight="1"/>
    <row r="163" ht="15.8" customHeight="1"/>
    <row r="164" ht="15.8" customHeight="1"/>
    <row r="165" ht="15.8" customHeight="1"/>
    <row r="166" ht="15.8" customHeight="1"/>
    <row r="167" ht="15.8" customHeight="1"/>
    <row r="168" ht="15.8" customHeight="1"/>
    <row r="169" ht="15.8" customHeight="1"/>
    <row r="170" ht="15.8" customHeight="1"/>
    <row r="171" ht="15.8" customHeight="1"/>
    <row r="172" ht="15.8" customHeight="1"/>
    <row r="173" ht="15.8" customHeight="1"/>
    <row r="174" ht="15.8" customHeight="1"/>
    <row r="175" ht="15.8" customHeight="1"/>
    <row r="176" ht="15.8" customHeight="1"/>
    <row r="177" ht="15.8" customHeight="1"/>
    <row r="178" ht="15.8" customHeight="1"/>
    <row r="179" ht="15.8" customHeight="1"/>
    <row r="180" ht="15.8" customHeight="1"/>
    <row r="181" ht="15.8" customHeight="1"/>
    <row r="182" ht="15.8" customHeight="1"/>
    <row r="183" ht="15.8" customHeight="1"/>
    <row r="184" ht="15.8" customHeight="1"/>
    <row r="185" ht="15.8" customHeight="1"/>
    <row r="186" ht="15.8" customHeight="1"/>
    <row r="187" ht="15.8" customHeight="1"/>
    <row r="188" ht="15.8" customHeight="1"/>
    <row r="189" ht="15.8" customHeight="1"/>
    <row r="190" ht="15.8" customHeight="1"/>
    <row r="191" ht="15.8" customHeight="1"/>
    <row r="192" ht="15.8" customHeight="1"/>
    <row r="193" ht="15.8" customHeight="1"/>
    <row r="194" ht="15.8" customHeight="1"/>
    <row r="195" ht="15.8" customHeight="1"/>
    <row r="196" ht="15.8" customHeight="1"/>
    <row r="197" ht="15.8" customHeight="1"/>
    <row r="198" ht="15.8" customHeight="1"/>
    <row r="199" ht="15.8" customHeight="1"/>
    <row r="200" ht="15.8" customHeight="1"/>
    <row r="201" ht="15.8" customHeight="1"/>
    <row r="202" ht="15.8" customHeight="1"/>
    <row r="203" ht="15.8" customHeight="1"/>
    <row r="204" ht="15.8" customHeight="1"/>
    <row r="205" ht="15.8" customHeight="1"/>
    <row r="206" ht="15.8" customHeight="1"/>
    <row r="207" ht="15.8" customHeight="1"/>
    <row r="208" ht="15.8" customHeight="1"/>
    <row r="209" ht="15.8" customHeight="1"/>
    <row r="210" ht="15.8" customHeight="1"/>
    <row r="211" ht="15.8" customHeight="1"/>
    <row r="212" ht="15.8" customHeight="1"/>
    <row r="213" ht="15.8" customHeight="1"/>
    <row r="214" ht="15.8" customHeight="1"/>
    <row r="215" ht="15.8" customHeight="1"/>
    <row r="216" ht="15.8" customHeight="1"/>
    <row r="217" ht="15.8" customHeight="1"/>
    <row r="218" ht="15.8" customHeight="1"/>
    <row r="219" ht="15.8" customHeight="1"/>
    <row r="220" ht="15.8" customHeight="1"/>
    <row r="221" ht="15.8" customHeight="1"/>
    <row r="222" ht="15.8" customHeight="1"/>
    <row r="223" ht="15.8" customHeight="1"/>
    <row r="224" ht="15.8" customHeight="1"/>
    <row r="225" ht="15.8" customHeight="1"/>
    <row r="226" ht="15.8" customHeight="1"/>
    <row r="227" ht="15.8" customHeight="1"/>
    <row r="228" ht="15.8" customHeight="1"/>
    <row r="229" ht="15.8" customHeight="1"/>
    <row r="230" ht="15.8" customHeight="1"/>
    <row r="231" ht="15.8" customHeight="1"/>
    <row r="232" ht="15.8" customHeight="1"/>
    <row r="233" ht="15.8" customHeight="1"/>
    <row r="234" ht="15.8" customHeight="1"/>
    <row r="235" ht="15.8" customHeight="1"/>
    <row r="236" ht="14.3" customHeight="1"/>
    <row r="237" ht="14.3" customHeight="1"/>
    <row r="238" ht="14.3" customHeight="1"/>
    <row r="239" ht="14.3" customHeight="1"/>
    <row r="240" ht="14.3" customHeight="1"/>
    <row r="241" ht="14.3" customHeight="1"/>
    <row r="242" ht="14.3" customHeight="1"/>
    <row r="243" ht="14.3" customHeight="1"/>
    <row r="244" ht="14.3" customHeight="1"/>
    <row r="245" ht="14.3" customHeight="1"/>
    <row r="246" ht="14.3" customHeight="1"/>
    <row r="247" ht="14.3" customHeight="1"/>
    <row r="248" ht="14.3" customHeight="1"/>
    <row r="249" ht="14.3" customHeight="1"/>
    <row r="250" ht="14.3" customHeight="1"/>
    <row r="251" ht="14.3" customHeight="1"/>
    <row r="252" ht="14.3" customHeight="1"/>
    <row r="253" ht="14.3" customHeight="1"/>
    <row r="254" ht="14.3" customHeight="1"/>
    <row r="255" ht="14.3" customHeight="1"/>
    <row r="256" ht="14.3" customHeight="1"/>
    <row r="257" ht="14.3" customHeight="1"/>
    <row r="258" ht="14.3" customHeight="1"/>
    <row r="259" ht="14.3" customHeight="1"/>
    <row r="260" ht="14.3" customHeight="1"/>
    <row r="261" ht="14.3" customHeight="1"/>
    <row r="262" ht="14.3" customHeight="1"/>
    <row r="263" ht="14.3" customHeight="1"/>
    <row r="264" ht="14.3" customHeight="1"/>
    <row r="265" ht="14.3" customHeight="1"/>
    <row r="266" ht="14.3" customHeight="1"/>
    <row r="267" ht="14.3" customHeight="1"/>
    <row r="268" ht="14.3" customHeight="1"/>
    <row r="269" ht="14.3" customHeight="1"/>
    <row r="270" ht="14.3" customHeight="1"/>
    <row r="271" ht="14.3" customHeight="1"/>
    <row r="272" ht="14.3" customHeight="1"/>
    <row r="273" ht="14.3" customHeight="1"/>
    <row r="274" ht="14.3" customHeight="1"/>
    <row r="275" ht="14.3" customHeight="1"/>
    <row r="276" ht="14.3" customHeight="1"/>
    <row r="277" ht="14.3" customHeight="1"/>
    <row r="278" ht="14.3" customHeight="1"/>
    <row r="279" ht="14.3" customHeight="1"/>
    <row r="280" ht="14.3" customHeight="1"/>
    <row r="281" ht="14.3" customHeight="1"/>
    <row r="282" ht="14.3" customHeight="1"/>
    <row r="283" ht="14.3" customHeight="1"/>
    <row r="284" ht="14.3" customHeight="1"/>
    <row r="285" ht="14.3" customHeight="1"/>
    <row r="286" ht="14.3" customHeight="1"/>
    <row r="287" ht="14.3" customHeight="1"/>
    <row r="288" ht="14.3" customHeight="1"/>
    <row r="289" ht="14.3" customHeight="1"/>
    <row r="290" ht="14.3" customHeight="1"/>
    <row r="291" ht="14.3" customHeight="1"/>
    <row r="292" ht="14.3" customHeight="1"/>
    <row r="293" ht="14.3" customHeight="1"/>
    <row r="294" ht="14.3" customHeight="1"/>
    <row r="295" ht="14.3" customHeight="1"/>
    <row r="296" ht="14.3" customHeight="1"/>
    <row r="297" ht="14.3" customHeight="1"/>
    <row r="298" ht="14.3" customHeight="1"/>
    <row r="299" ht="14.3" customHeight="1"/>
    <row r="300" ht="14.3" customHeight="1"/>
    <row r="301" ht="14.3" customHeight="1"/>
    <row r="302" ht="14.3" customHeight="1"/>
    <row r="303" ht="14.3" customHeight="1"/>
    <row r="304" ht="14.3" customHeight="1"/>
    <row r="305" ht="14.3" customHeight="1"/>
    <row r="306" ht="14.3" customHeight="1"/>
    <row r="307" ht="14.3" customHeight="1"/>
    <row r="308" ht="14.3" customHeight="1"/>
    <row r="309" ht="14.3" customHeight="1"/>
    <row r="310" ht="14.3" customHeight="1"/>
    <row r="311" ht="14.3" customHeight="1"/>
    <row r="312" ht="14.3" customHeight="1"/>
    <row r="313" ht="14.3" customHeight="1"/>
    <row r="314" ht="14.3" customHeight="1"/>
    <row r="315" ht="14.3" customHeight="1"/>
    <row r="316" ht="14.3" customHeight="1"/>
    <row r="317" ht="14.3" customHeight="1"/>
    <row r="318" ht="14.3" customHeight="1"/>
    <row r="319" ht="14.3" customHeight="1"/>
    <row r="320" ht="14.3" customHeight="1"/>
    <row r="321" ht="14.3" customHeight="1"/>
    <row r="322" ht="14.3" customHeight="1"/>
    <row r="323" ht="14.3" customHeight="1"/>
    <row r="324" ht="14.3" customHeight="1"/>
    <row r="325" ht="14.3" customHeight="1"/>
    <row r="326" ht="14.3" customHeight="1"/>
    <row r="327" ht="14.3" customHeight="1"/>
    <row r="328" ht="14.3" customHeight="1"/>
    <row r="329" ht="14.3" customHeight="1"/>
    <row r="330" ht="14.3" customHeight="1"/>
    <row r="331" ht="14.3" customHeight="1"/>
    <row r="332" ht="14.3" customHeight="1"/>
    <row r="333" ht="14.3" customHeight="1"/>
    <row r="334" ht="14.3" customHeight="1"/>
    <row r="335" ht="14.3" customHeight="1"/>
    <row r="336" ht="14.3" customHeight="1"/>
    <row r="337" ht="14.3" customHeight="1"/>
    <row r="338" ht="14.3" customHeight="1"/>
    <row r="339" ht="14.3" customHeight="1"/>
    <row r="340" ht="14.3" customHeight="1"/>
    <row r="341" ht="14.3" customHeight="1"/>
    <row r="342" ht="14.3" customHeight="1"/>
    <row r="343" ht="14.3" customHeight="1"/>
    <row r="344" ht="14.3" customHeight="1"/>
    <row r="345" ht="14.3" customHeight="1"/>
    <row r="346" ht="14.3" customHeight="1"/>
    <row r="347" ht="14.3" customHeight="1"/>
    <row r="348" ht="14.3" customHeight="1"/>
    <row r="349" ht="14.3" customHeight="1"/>
    <row r="350" ht="14.3" customHeight="1"/>
    <row r="351" ht="14.3" customHeight="1"/>
    <row r="352" ht="14.3" customHeight="1"/>
    <row r="353" ht="14.3" customHeight="1"/>
    <row r="354" ht="14.3" customHeight="1"/>
    <row r="355" ht="14.3" customHeight="1"/>
    <row r="356" ht="14.3" customHeight="1"/>
    <row r="357" ht="14.3" customHeight="1"/>
    <row r="358" ht="14.3" customHeight="1"/>
    <row r="359" ht="14.3" customHeight="1"/>
    <row r="360" ht="14.3" customHeight="1"/>
    <row r="361" ht="14.3" customHeight="1"/>
    <row r="362" ht="14.3" customHeight="1"/>
    <row r="363" ht="14.3" customHeight="1"/>
    <row r="364" ht="14.3" customHeight="1"/>
    <row r="365" ht="14.3" customHeight="1"/>
    <row r="366" ht="14.3" customHeight="1"/>
    <row r="367" ht="14.3" customHeight="1"/>
    <row r="368" ht="14.3" customHeight="1"/>
    <row r="369" ht="14.3" customHeight="1"/>
    <row r="370" ht="14.3" customHeight="1"/>
    <row r="371" ht="14.3" customHeight="1"/>
    <row r="372" ht="14.3" customHeight="1"/>
    <row r="373" ht="14.3" customHeight="1"/>
    <row r="374" ht="14.3" customHeight="1"/>
    <row r="375" ht="14.3" customHeight="1"/>
    <row r="376" ht="14.3" customHeight="1"/>
    <row r="377" ht="14.3" customHeight="1"/>
    <row r="378" ht="14.3" customHeight="1"/>
    <row r="379" ht="14.3" customHeight="1"/>
    <row r="380" ht="14.3" customHeight="1"/>
    <row r="381" ht="14.3" customHeight="1"/>
    <row r="382" ht="14.3" customHeight="1"/>
    <row r="383" ht="14.3" customHeight="1"/>
    <row r="384" ht="14.3" customHeight="1"/>
    <row r="385" ht="14.3" customHeight="1"/>
    <row r="386" ht="14.3" customHeight="1"/>
    <row r="387" ht="14.3" customHeight="1"/>
    <row r="388" ht="14.3" customHeight="1"/>
    <row r="389" ht="14.3" customHeight="1"/>
    <row r="390" ht="14.3" customHeight="1"/>
    <row r="391" ht="14.3" customHeight="1"/>
    <row r="392" ht="14.3" customHeight="1"/>
    <row r="393" ht="14.3" customHeight="1"/>
    <row r="394" ht="14.3" customHeight="1"/>
    <row r="395" ht="14.3" customHeight="1"/>
    <row r="396" ht="14.3" customHeight="1"/>
    <row r="397" ht="14.3" customHeight="1"/>
    <row r="398" ht="14.3" customHeight="1"/>
    <row r="399" ht="14.3" customHeight="1"/>
    <row r="400" ht="14.3" customHeight="1"/>
    <row r="401" ht="14.3" customHeight="1"/>
    <row r="402" ht="14.3" customHeight="1"/>
    <row r="403" ht="14.3" customHeight="1"/>
    <row r="404" ht="14.3" customHeight="1"/>
    <row r="405" ht="14.3" customHeight="1"/>
    <row r="406" ht="14.3" customHeight="1"/>
    <row r="407" ht="14.3" customHeight="1"/>
    <row r="408" ht="14.3" customHeight="1"/>
    <row r="409" ht="14.3" customHeight="1"/>
    <row r="410" ht="14.3" customHeight="1"/>
    <row r="411" ht="14.3" customHeight="1"/>
    <row r="412" ht="14.3" customHeight="1"/>
    <row r="413" ht="14.3" customHeight="1"/>
    <row r="414" ht="14.3" customHeight="1"/>
    <row r="415" ht="14.3" customHeight="1"/>
    <row r="416" ht="14.3" customHeight="1"/>
    <row r="417" ht="14.3" customHeight="1"/>
    <row r="418" ht="14.3" customHeight="1"/>
    <row r="419" ht="14.3" customHeight="1"/>
    <row r="420" ht="14.3" customHeight="1"/>
    <row r="421" ht="14.3" customHeight="1"/>
    <row r="422" ht="14.3" customHeight="1"/>
    <row r="423" ht="14.3" customHeight="1"/>
    <row r="424" ht="14.3" customHeight="1"/>
    <row r="425" ht="14.3" customHeight="1"/>
    <row r="426" ht="14.3" customHeight="1"/>
    <row r="427" ht="14.3" customHeight="1"/>
    <row r="428" ht="14.3" customHeight="1"/>
    <row r="429" ht="14.3" customHeight="1"/>
    <row r="430" ht="14.3" customHeight="1"/>
    <row r="431" ht="14.3" customHeight="1"/>
    <row r="432" ht="14.3" customHeight="1"/>
    <row r="433" ht="14.3" customHeight="1"/>
    <row r="434" ht="14.3" customHeight="1"/>
    <row r="435" ht="14.3" customHeight="1"/>
    <row r="436" ht="14.3" customHeight="1"/>
    <row r="437" ht="14.3" customHeight="1"/>
    <row r="438" ht="14.3" customHeight="1"/>
    <row r="439" ht="14.3" customHeight="1"/>
    <row r="440" ht="14.3" customHeight="1"/>
    <row r="441" ht="14.3" customHeight="1"/>
    <row r="442" ht="14.3" customHeight="1"/>
    <row r="443" ht="14.3" customHeight="1"/>
    <row r="444" ht="14.3" customHeight="1"/>
    <row r="445" ht="14.3" customHeight="1"/>
    <row r="446" ht="14.3" customHeight="1"/>
    <row r="447" ht="14.3" customHeight="1"/>
    <row r="448" ht="14.3" customHeight="1"/>
    <row r="449" ht="14.3" customHeight="1"/>
    <row r="450" ht="14.3" customHeight="1"/>
    <row r="451" ht="14.3" customHeight="1"/>
    <row r="452" ht="14.3" customHeight="1"/>
    <row r="453" ht="14.3" customHeight="1"/>
    <row r="454" ht="14.3" customHeight="1"/>
    <row r="455" ht="14.3" customHeight="1"/>
    <row r="456" ht="14.3" customHeight="1"/>
    <row r="457" ht="14.3" customHeight="1"/>
    <row r="458" ht="14.3" customHeight="1"/>
    <row r="459" ht="14.3" customHeight="1"/>
    <row r="460" ht="14.3" customHeight="1"/>
    <row r="461" ht="14.3" customHeight="1"/>
    <row r="462" ht="14.3" customHeight="1"/>
    <row r="463" ht="14.3" customHeight="1"/>
    <row r="464" ht="14.3" customHeight="1"/>
    <row r="465" ht="14.3" customHeight="1"/>
    <row r="466" ht="14.3" customHeight="1"/>
    <row r="467" ht="14.3" customHeight="1"/>
    <row r="468" ht="14.3" customHeight="1"/>
    <row r="469" ht="14.3" customHeight="1"/>
    <row r="470" ht="14.3" customHeight="1"/>
    <row r="471" ht="14.3" customHeight="1"/>
    <row r="472" ht="14.3" customHeight="1"/>
    <row r="473" ht="14.3" customHeight="1"/>
    <row r="474" ht="14.3" customHeight="1"/>
    <row r="475" ht="14.3" customHeight="1"/>
    <row r="476" ht="14.3" customHeight="1"/>
    <row r="477" ht="14.3" customHeight="1"/>
    <row r="478" ht="14.3" customHeight="1"/>
    <row r="479" ht="14.3" customHeight="1"/>
    <row r="480" ht="14.3" customHeight="1"/>
    <row r="481" ht="14.3" customHeight="1"/>
    <row r="482" ht="14.3" customHeight="1"/>
    <row r="483" ht="14.3" customHeight="1"/>
    <row r="484" ht="14.3" customHeight="1"/>
    <row r="485" ht="14.3" customHeight="1"/>
    <row r="486" ht="14.3" customHeight="1"/>
    <row r="487" ht="14.3" customHeight="1"/>
    <row r="488" ht="14.3" customHeight="1"/>
    <row r="489" ht="14.3" customHeight="1"/>
    <row r="490" ht="14.3" customHeight="1"/>
    <row r="491" ht="14.3" customHeight="1"/>
    <row r="492" ht="14.3" customHeight="1"/>
    <row r="493" ht="14.3" customHeight="1"/>
    <row r="494" ht="14.3" customHeight="1"/>
    <row r="495" ht="14.3" customHeight="1"/>
    <row r="496" ht="14.3" customHeight="1"/>
    <row r="497" ht="14.3" customHeight="1"/>
    <row r="498" ht="14.3" customHeight="1"/>
    <row r="499" ht="14.3" customHeight="1"/>
    <row r="500" ht="14.3" customHeight="1"/>
    <row r="501" ht="14.3" customHeight="1"/>
    <row r="502" ht="14.3" customHeight="1"/>
    <row r="503" ht="14.3" customHeight="1"/>
    <row r="504" ht="14.3" customHeight="1"/>
    <row r="505" ht="14.3" customHeight="1"/>
    <row r="506" ht="14.3" customHeight="1"/>
    <row r="507" ht="14.3" customHeight="1"/>
    <row r="508" ht="14.3" customHeight="1"/>
    <row r="509" ht="14.3" customHeight="1"/>
    <row r="510" ht="14.3" customHeight="1"/>
    <row r="511" ht="14.3" customHeight="1"/>
    <row r="512" ht="14.3" customHeight="1"/>
    <row r="513" ht="14.3" customHeight="1"/>
    <row r="514" ht="14.3" customHeight="1"/>
    <row r="515" ht="14.3" customHeight="1"/>
    <row r="516" ht="14.3" customHeight="1"/>
    <row r="517" ht="14.3" customHeight="1"/>
    <row r="518" ht="14.3" customHeight="1"/>
    <row r="519" ht="14.3" customHeight="1"/>
    <row r="520" ht="14.3" customHeight="1"/>
    <row r="521" ht="14.3" customHeight="1"/>
    <row r="522" ht="14.3" customHeight="1"/>
    <row r="523" ht="14.3" customHeight="1"/>
    <row r="524" ht="14.3" customHeight="1"/>
    <row r="525" ht="14.3" customHeight="1"/>
    <row r="526" ht="14.3" customHeight="1"/>
    <row r="527" ht="14.3" customHeight="1"/>
    <row r="528" ht="14.3" customHeight="1"/>
    <row r="529" ht="14.3" customHeight="1"/>
    <row r="530" ht="14.3" customHeight="1"/>
    <row r="531" ht="14.3" customHeight="1"/>
    <row r="532" ht="14.3" customHeight="1"/>
    <row r="533" ht="14.3" customHeight="1"/>
    <row r="534" ht="14.3" customHeight="1"/>
    <row r="535" ht="14.3" customHeight="1"/>
    <row r="536" ht="14.3" customHeight="1"/>
    <row r="537" ht="14.3" customHeight="1"/>
    <row r="538" ht="14.3" customHeight="1"/>
    <row r="539" ht="14.3" customHeight="1"/>
    <row r="540" ht="14.3" customHeight="1"/>
    <row r="541" ht="14.3" customHeight="1"/>
    <row r="542" ht="14.3" customHeight="1"/>
    <row r="543" ht="14.3" customHeight="1"/>
    <row r="544" ht="14.3" customHeight="1"/>
    <row r="545" ht="14.3" customHeight="1"/>
    <row r="546" ht="14.3" customHeight="1"/>
    <row r="547" ht="14.3" customHeight="1"/>
    <row r="548" ht="14.3" customHeight="1"/>
    <row r="549" ht="14.3" customHeight="1"/>
    <row r="550" ht="14.3" customHeight="1"/>
    <row r="551" ht="14.3" customHeight="1"/>
    <row r="552" ht="14.3" customHeight="1"/>
    <row r="553" ht="14.3" customHeight="1"/>
    <row r="554" ht="14.3" customHeight="1"/>
    <row r="555" ht="14.3" customHeight="1"/>
    <row r="556" ht="14.3" customHeight="1"/>
    <row r="557" ht="14.3" customHeight="1"/>
    <row r="558" ht="14.3" customHeight="1"/>
    <row r="559" ht="14.3" customHeight="1"/>
    <row r="560" ht="14.3" customHeight="1"/>
    <row r="561" ht="14.3" customHeight="1"/>
    <row r="562" ht="14.3" customHeight="1"/>
    <row r="563" ht="14.3" customHeight="1"/>
    <row r="564" ht="14.3" customHeight="1"/>
    <row r="565" ht="14.3" customHeight="1"/>
    <row r="566" ht="14.3" customHeight="1"/>
    <row r="567" ht="14.3" customHeight="1"/>
    <row r="568" ht="14.3" customHeight="1"/>
    <row r="569" ht="14.3" customHeight="1"/>
    <row r="570" ht="14.3" customHeight="1"/>
    <row r="571" ht="14.3" customHeight="1"/>
    <row r="572" ht="14.3" customHeight="1"/>
    <row r="573" ht="14.3" customHeight="1"/>
    <row r="574" ht="14.3" customHeight="1"/>
    <row r="575" ht="14.3" customHeight="1"/>
    <row r="576" ht="14.3" customHeight="1"/>
    <row r="577" ht="14.3" customHeight="1"/>
    <row r="578" ht="14.3" customHeight="1"/>
    <row r="579" ht="14.3" customHeight="1"/>
    <row r="580" ht="14.3" customHeight="1"/>
    <row r="581" ht="14.3" customHeight="1"/>
    <row r="582" ht="14.3" customHeight="1"/>
    <row r="583" ht="14.3" customHeight="1"/>
    <row r="584" ht="14.3" customHeight="1"/>
    <row r="585" ht="14.3" customHeight="1"/>
    <row r="586" ht="14.3" customHeight="1"/>
    <row r="587" ht="14.3" customHeight="1"/>
    <row r="588" ht="14.3" customHeight="1"/>
    <row r="589" ht="14.3" customHeight="1"/>
    <row r="590" ht="14.3" customHeight="1"/>
    <row r="591" ht="14.3" customHeight="1"/>
    <row r="592" ht="14.3" customHeight="1"/>
    <row r="593" ht="14.3" customHeight="1"/>
    <row r="594" ht="14.3" customHeight="1"/>
    <row r="595" ht="14.3" customHeight="1"/>
    <row r="596" ht="14.3" customHeight="1"/>
    <row r="597" ht="14.3" customHeight="1"/>
    <row r="598" ht="14.3" customHeight="1"/>
    <row r="599" ht="14.3" customHeight="1"/>
    <row r="600" ht="14.3" customHeight="1"/>
    <row r="601" ht="14.3" customHeight="1"/>
    <row r="602" ht="14.3" customHeight="1"/>
    <row r="603" ht="14.3" customHeight="1"/>
    <row r="604" ht="14.3" customHeight="1"/>
    <row r="605" ht="14.3" customHeight="1"/>
    <row r="606" ht="14.3" customHeight="1"/>
    <row r="607" ht="14.3" customHeight="1"/>
    <row r="608" ht="14.3" customHeight="1"/>
    <row r="609" ht="14.3" customHeight="1"/>
    <row r="610" ht="14.3" customHeight="1"/>
    <row r="611" ht="14.3" customHeight="1"/>
    <row r="612" ht="14.3" customHeight="1"/>
    <row r="613" ht="14.3" customHeight="1"/>
    <row r="614" ht="14.3" customHeight="1"/>
    <row r="615" ht="14.3" customHeight="1"/>
    <row r="616" ht="14.3" customHeight="1"/>
    <row r="617" ht="14.3" customHeight="1"/>
    <row r="618" ht="14.3" customHeight="1"/>
    <row r="619" ht="14.3" customHeight="1"/>
    <row r="620" ht="14.3" customHeight="1"/>
    <row r="621" ht="14.3" customHeight="1"/>
    <row r="622" ht="14.3" customHeight="1"/>
    <row r="623" ht="14.3" customHeight="1"/>
    <row r="624" ht="14.3" customHeight="1"/>
    <row r="625" ht="14.3" customHeight="1"/>
    <row r="626" ht="14.3" customHeight="1"/>
    <row r="627" ht="14.3" customHeight="1"/>
    <row r="628" ht="14.3" customHeight="1"/>
    <row r="629" ht="14.3" customHeight="1"/>
    <row r="630" ht="14.3" customHeight="1"/>
    <row r="631" ht="14.3" customHeight="1"/>
    <row r="632" ht="14.3" customHeight="1"/>
    <row r="633" ht="14.3" customHeight="1"/>
    <row r="634" ht="14.3" customHeight="1"/>
    <row r="635" ht="14.3" customHeight="1"/>
    <row r="636" ht="14.3" customHeight="1"/>
    <row r="637" ht="14.3" customHeight="1"/>
    <row r="638" ht="14.3" customHeight="1"/>
    <row r="639" ht="14.3" customHeight="1"/>
    <row r="640" ht="14.3" customHeight="1"/>
    <row r="641" ht="14.3" customHeight="1"/>
    <row r="642" ht="14.3" customHeight="1"/>
    <row r="643" ht="14.3" customHeight="1"/>
    <row r="644" ht="14.3" customHeight="1"/>
    <row r="645" ht="14.3" customHeight="1"/>
    <row r="646" ht="14.3" customHeight="1"/>
    <row r="647" ht="14.3" customHeight="1"/>
    <row r="648" ht="14.3" customHeight="1"/>
    <row r="649" ht="14.3" customHeight="1"/>
    <row r="650" ht="14.3" customHeight="1"/>
    <row r="651" ht="14.3" customHeight="1"/>
    <row r="652" ht="14.3" customHeight="1"/>
    <row r="653" ht="14.3" customHeight="1"/>
    <row r="654" ht="14.3" customHeight="1"/>
    <row r="655" ht="14.3" customHeight="1"/>
    <row r="656" ht="14.3" customHeight="1"/>
    <row r="657" ht="14.3" customHeight="1"/>
    <row r="658" ht="14.3" customHeight="1"/>
    <row r="659" ht="14.3" customHeight="1"/>
    <row r="660" ht="14.3" customHeight="1"/>
    <row r="661" ht="14.3" customHeight="1"/>
    <row r="662" ht="14.3" customHeight="1"/>
    <row r="663" ht="14.3" customHeight="1"/>
    <row r="664" ht="14.3" customHeight="1"/>
    <row r="665" ht="14.3" customHeight="1"/>
    <row r="666" ht="14.3" customHeight="1"/>
    <row r="667" ht="14.3" customHeight="1"/>
    <row r="668" ht="14.3" customHeight="1"/>
    <row r="669" ht="14.3" customHeight="1"/>
    <row r="670" ht="14.3" customHeight="1"/>
    <row r="671" ht="14.3" customHeight="1"/>
    <row r="672" ht="14.3" customHeight="1"/>
    <row r="673" ht="14.3" customHeight="1"/>
    <row r="674" ht="14.3" customHeight="1"/>
    <row r="675" ht="14.3" customHeight="1"/>
    <row r="676" ht="14.3" customHeight="1"/>
    <row r="677" ht="14.3" customHeight="1"/>
    <row r="678" ht="14.3" customHeight="1"/>
    <row r="679" ht="14.3" customHeight="1"/>
    <row r="680" ht="14.3" customHeight="1"/>
    <row r="681" ht="14.3" customHeight="1"/>
    <row r="682" ht="14.3" customHeight="1"/>
    <row r="683" ht="14.3" customHeight="1"/>
    <row r="684" ht="14.3" customHeight="1"/>
    <row r="685" ht="14.3" customHeight="1"/>
    <row r="686" ht="14.3" customHeight="1"/>
    <row r="687" ht="14.3" customHeight="1"/>
    <row r="688" ht="14.3" customHeight="1"/>
    <row r="689" ht="14.3" customHeight="1"/>
    <row r="690" ht="14.3" customHeight="1"/>
    <row r="691" ht="14.3" customHeight="1"/>
    <row r="692" ht="14.3" customHeight="1"/>
    <row r="693" ht="14.3" customHeight="1"/>
    <row r="694" ht="14.3" customHeight="1"/>
    <row r="695" ht="14.3" customHeight="1"/>
    <row r="696" ht="14.3" customHeight="1"/>
    <row r="697" ht="14.3" customHeight="1"/>
    <row r="698" ht="14.3" customHeight="1"/>
    <row r="699" ht="14.3" customHeight="1"/>
    <row r="700" ht="14.3" customHeight="1"/>
    <row r="701" ht="14.3" customHeight="1"/>
    <row r="702" ht="14.3" customHeight="1"/>
    <row r="703" ht="14.3" customHeight="1"/>
    <row r="704" ht="14.3" customHeight="1"/>
    <row r="705" ht="14.3" customHeight="1"/>
    <row r="706" ht="14.3" customHeight="1"/>
    <row r="707" ht="14.3" customHeight="1"/>
    <row r="708" ht="14.3" customHeight="1"/>
    <row r="709" ht="14.3" customHeight="1"/>
    <row r="710" ht="14.3" customHeight="1"/>
    <row r="711" ht="14.3" customHeight="1"/>
    <row r="712" ht="14.3" customHeight="1"/>
    <row r="713" ht="14.3" customHeight="1"/>
    <row r="714" ht="14.3" customHeight="1"/>
    <row r="715" ht="14.3" customHeight="1"/>
    <row r="716" ht="14.3" customHeight="1"/>
    <row r="717" ht="14.3" customHeight="1"/>
    <row r="718" ht="14.3" customHeight="1"/>
    <row r="719" ht="14.3" customHeight="1"/>
    <row r="720" ht="14.3" customHeight="1"/>
    <row r="721" ht="14.3" customHeight="1"/>
    <row r="722" ht="14.3" customHeight="1"/>
    <row r="723" ht="14.3" customHeight="1"/>
    <row r="724" ht="14.3" customHeight="1"/>
    <row r="725" ht="14.3" customHeight="1"/>
    <row r="726" ht="14.3" customHeight="1"/>
    <row r="727" ht="14.3" customHeight="1"/>
    <row r="728" ht="14.3" customHeight="1"/>
    <row r="729" ht="14.3" customHeight="1"/>
    <row r="730" ht="14.3" customHeight="1"/>
    <row r="731" ht="14.3" customHeight="1"/>
    <row r="732" ht="14.3" customHeight="1"/>
    <row r="733" ht="14.3" customHeight="1"/>
    <row r="734" ht="14.3" customHeight="1"/>
    <row r="735" ht="14.3" customHeight="1"/>
    <row r="736" ht="14.3" customHeight="1"/>
    <row r="737" ht="14.3" customHeight="1"/>
    <row r="738" ht="14.3" customHeight="1"/>
    <row r="739" ht="14.3" customHeight="1"/>
    <row r="740" ht="14.3" customHeight="1"/>
    <row r="741" ht="14.3" customHeight="1"/>
    <row r="742" ht="14.3" customHeight="1"/>
    <row r="743" ht="14.3" customHeight="1"/>
    <row r="744" ht="14.3" customHeight="1"/>
    <row r="745" ht="14.3" customHeight="1"/>
    <row r="746" ht="14.3" customHeight="1"/>
    <row r="747" ht="14.3" customHeight="1"/>
    <row r="748" ht="14.3" customHeight="1"/>
    <row r="749" ht="14.3" customHeight="1"/>
    <row r="750" ht="14.3" customHeight="1"/>
    <row r="751" ht="14.3" customHeight="1"/>
    <row r="752" ht="14.3" customHeight="1"/>
    <row r="753" ht="14.3" customHeight="1"/>
    <row r="754" ht="14.3" customHeight="1"/>
    <row r="755" ht="14.3" customHeight="1"/>
    <row r="756" ht="14.3" customHeight="1"/>
    <row r="757" ht="14.3" customHeight="1"/>
    <row r="758" ht="14.3" customHeight="1"/>
    <row r="759" ht="14.3" customHeight="1"/>
    <row r="760" ht="14.3" customHeight="1"/>
    <row r="761" ht="14.3" customHeight="1"/>
    <row r="762" ht="14.3" customHeight="1"/>
    <row r="763" ht="14.3" customHeight="1"/>
    <row r="764" ht="14.3" customHeight="1"/>
    <row r="765" ht="14.3" customHeight="1"/>
    <row r="766" ht="14.3" customHeight="1"/>
    <row r="767" ht="14.3" customHeight="1"/>
    <row r="768" ht="14.3" customHeight="1"/>
    <row r="769" ht="14.3" customHeight="1"/>
    <row r="770" ht="14.3" customHeight="1"/>
    <row r="771" ht="14.3" customHeight="1"/>
    <row r="772" ht="14.3" customHeight="1"/>
    <row r="773" ht="14.3" customHeight="1"/>
    <row r="774" ht="14.3" customHeight="1"/>
    <row r="775" ht="14.3" customHeight="1"/>
    <row r="776" ht="14.3" customHeight="1"/>
    <row r="777" ht="14.3" customHeight="1"/>
    <row r="778" ht="14.3" customHeight="1"/>
    <row r="779" ht="14.3" customHeight="1"/>
    <row r="780" ht="14.3" customHeight="1"/>
    <row r="781" ht="14.3" customHeight="1"/>
    <row r="782" ht="14.3" customHeight="1"/>
    <row r="783" ht="14.3" customHeight="1"/>
    <row r="784" ht="14.3" customHeight="1"/>
    <row r="785" ht="14.3" customHeight="1"/>
    <row r="786" ht="14.3" customHeight="1"/>
    <row r="787" ht="14.3" customHeight="1"/>
    <row r="788" ht="14.3" customHeight="1"/>
    <row r="789" ht="14.3" customHeight="1"/>
    <row r="790" ht="14.3" customHeight="1"/>
    <row r="791" ht="14.3" customHeight="1"/>
    <row r="792" ht="14.3" customHeight="1"/>
    <row r="793" ht="14.3" customHeight="1"/>
    <row r="794" ht="14.3" customHeight="1"/>
    <row r="795" ht="14.3" customHeight="1"/>
    <row r="796" ht="14.3" customHeight="1"/>
    <row r="797" ht="14.3" customHeight="1"/>
    <row r="798" ht="14.3" customHeight="1"/>
    <row r="799" ht="14.3" customHeight="1"/>
    <row r="800" ht="14.3" customHeight="1"/>
    <row r="801" ht="14.3" customHeight="1"/>
    <row r="802" ht="14.3" customHeight="1"/>
    <row r="803" ht="14.3" customHeight="1"/>
    <row r="804" ht="14.3" customHeight="1"/>
    <row r="805" ht="14.3" customHeight="1"/>
    <row r="806" ht="14.3" customHeight="1"/>
    <row r="807" ht="14.3" customHeight="1"/>
    <row r="808" ht="14.3" customHeight="1"/>
    <row r="809" ht="14.3" customHeight="1"/>
    <row r="810" ht="14.3" customHeight="1"/>
    <row r="811" ht="14.3" customHeight="1"/>
    <row r="812" ht="14.3" customHeight="1"/>
    <row r="813" ht="14.3" customHeight="1"/>
    <row r="814" ht="14.3" customHeight="1"/>
    <row r="815" ht="14.3" customHeight="1"/>
    <row r="816" ht="14.3" customHeight="1"/>
    <row r="817" ht="14.3" customHeight="1"/>
    <row r="818" ht="14.3" customHeight="1"/>
    <row r="819" ht="14.3" customHeight="1"/>
    <row r="820" ht="14.3" customHeight="1"/>
    <row r="821" ht="14.3" customHeight="1"/>
    <row r="822" ht="14.3" customHeight="1"/>
    <row r="823" ht="14.3" customHeight="1"/>
    <row r="824" ht="14.3" customHeight="1"/>
    <row r="825" ht="14.3" customHeight="1"/>
    <row r="826" ht="14.3" customHeight="1"/>
    <row r="827" ht="14.3" customHeight="1"/>
    <row r="828" ht="14.3" customHeight="1"/>
    <row r="829" ht="14.3" customHeight="1"/>
    <row r="830" ht="14.3" customHeight="1"/>
    <row r="831" ht="14.3" customHeight="1"/>
    <row r="832" ht="14.3" customHeight="1"/>
    <row r="833" ht="14.3" customHeight="1"/>
    <row r="834" ht="14.3" customHeight="1"/>
    <row r="835" ht="14.3" customHeight="1"/>
    <row r="836" ht="14.3" customHeight="1"/>
    <row r="837" ht="14.3" customHeight="1"/>
    <row r="838" ht="14.3" customHeight="1"/>
    <row r="839" ht="14.3" customHeight="1"/>
    <row r="840" ht="14.3" customHeight="1"/>
    <row r="841" ht="14.3" customHeight="1"/>
    <row r="842" ht="14.3" customHeight="1"/>
    <row r="843" ht="14.3" customHeight="1"/>
    <row r="844" ht="14.3" customHeight="1"/>
    <row r="845" ht="14.3" customHeight="1"/>
    <row r="846" ht="14.3" customHeight="1"/>
    <row r="847" ht="14.3" customHeight="1"/>
    <row r="848" ht="14.3" customHeight="1"/>
    <row r="849" ht="14.3" customHeight="1"/>
    <row r="850" ht="14.3" customHeight="1"/>
    <row r="851" ht="14.3" customHeight="1"/>
    <row r="852" ht="14.3" customHeight="1"/>
    <row r="853" ht="14.3" customHeight="1"/>
    <row r="854" ht="14.3" customHeight="1"/>
    <row r="855" ht="14.3" customHeight="1"/>
    <row r="856" ht="14.3" customHeight="1"/>
    <row r="857" ht="14.3" customHeight="1"/>
    <row r="858" ht="14.3" customHeight="1"/>
    <row r="859" ht="14.3" customHeight="1"/>
    <row r="860" ht="14.3" customHeight="1"/>
    <row r="861" ht="14.3" customHeight="1"/>
    <row r="862" ht="14.3" customHeight="1"/>
    <row r="863" ht="14.3" customHeight="1"/>
    <row r="864" ht="14.3" customHeight="1"/>
    <row r="865" ht="14.3" customHeight="1"/>
    <row r="866" ht="14.3" customHeight="1"/>
    <row r="867" ht="14.3" customHeight="1"/>
    <row r="868" ht="14.3" customHeight="1"/>
    <row r="869" ht="14.3" customHeight="1"/>
    <row r="870" ht="14.3" customHeight="1"/>
    <row r="871" ht="14.3" customHeight="1"/>
    <row r="872" ht="14.3" customHeight="1"/>
    <row r="873" ht="14.3" customHeight="1"/>
    <row r="874" ht="14.3" customHeight="1"/>
    <row r="875" ht="14.3" customHeight="1"/>
    <row r="876" ht="14.3" customHeight="1"/>
    <row r="877" ht="14.3" customHeight="1"/>
    <row r="878" ht="14.3" customHeight="1"/>
    <row r="879" ht="14.3" customHeight="1"/>
    <row r="880" ht="14.3" customHeight="1"/>
    <row r="881" ht="14.3" customHeight="1"/>
    <row r="882" ht="14.3" customHeight="1"/>
    <row r="883" ht="14.3" customHeight="1"/>
    <row r="884" ht="14.3" customHeight="1"/>
    <row r="885" ht="14.3" customHeight="1"/>
    <row r="886" ht="14.3" customHeight="1"/>
    <row r="887" ht="14.3" customHeight="1"/>
    <row r="888" ht="14.3" customHeight="1"/>
    <row r="889" ht="14.3" customHeight="1"/>
    <row r="890" ht="14.3" customHeight="1"/>
    <row r="891" ht="14.3" customHeight="1"/>
    <row r="892" ht="14.3" customHeight="1"/>
    <row r="893" ht="14.3" customHeight="1"/>
    <row r="894" ht="14.3" customHeight="1"/>
    <row r="895" ht="14.3" customHeight="1"/>
    <row r="896" ht="14.3" customHeight="1"/>
    <row r="897" ht="14.3" customHeight="1"/>
    <row r="898" ht="14.3" customHeight="1"/>
    <row r="899" ht="14.3" customHeight="1"/>
    <row r="900" ht="14.3" customHeight="1"/>
    <row r="901" ht="14.3" customHeight="1"/>
    <row r="902" ht="14.3" customHeight="1"/>
    <row r="903" ht="14.3" customHeight="1"/>
    <row r="904" ht="14.3" customHeight="1"/>
    <row r="905" ht="14.3" customHeight="1"/>
    <row r="906" ht="14.3" customHeight="1"/>
    <row r="907" ht="14.3" customHeight="1"/>
    <row r="908" ht="14.3" customHeight="1"/>
    <row r="909" ht="14.3" customHeight="1"/>
    <row r="910" ht="14.3" customHeight="1"/>
    <row r="911" ht="14.3" customHeight="1"/>
    <row r="912" ht="14.3" customHeight="1"/>
    <row r="913" ht="14.3" customHeight="1"/>
    <row r="914" ht="14.3" customHeight="1"/>
    <row r="915" ht="14.3" customHeight="1"/>
    <row r="916" ht="14.3" customHeight="1"/>
    <row r="917" ht="14.3" customHeight="1"/>
    <row r="918" ht="14.3" customHeight="1"/>
    <row r="919" ht="14.3" customHeight="1"/>
    <row r="920" ht="14.3" customHeight="1"/>
    <row r="921" ht="14.3" customHeight="1"/>
    <row r="922" ht="14.3" customHeight="1"/>
    <row r="923" ht="14.3" customHeight="1"/>
    <row r="924" ht="14.3" customHeight="1"/>
    <row r="925" ht="14.3" customHeight="1"/>
    <row r="926" ht="14.3" customHeight="1"/>
    <row r="927" ht="14.3" customHeight="1"/>
    <row r="928" ht="14.3" customHeight="1"/>
    <row r="929" ht="14.3" customHeight="1"/>
    <row r="930" ht="14.3" customHeight="1"/>
    <row r="931" ht="14.3" customHeight="1"/>
    <row r="932" ht="14.3" customHeight="1"/>
    <row r="933" ht="14.3" customHeight="1"/>
    <row r="934" ht="14.3" customHeight="1"/>
    <row r="935" ht="14.3" customHeight="1"/>
    <row r="936" ht="14.3" customHeight="1"/>
    <row r="937" ht="14.3" customHeight="1"/>
    <row r="938" ht="14.3" customHeight="1"/>
    <row r="939" ht="14.3" customHeight="1"/>
    <row r="940" ht="14.3" customHeight="1"/>
    <row r="941" ht="14.3" customHeight="1"/>
    <row r="942" ht="14.3" customHeight="1"/>
    <row r="943" ht="14.3" customHeight="1"/>
    <row r="944" ht="14.3" customHeight="1"/>
    <row r="945" ht="14.3" customHeight="1"/>
    <row r="946" ht="14.3" customHeight="1"/>
    <row r="947" ht="14.3" customHeight="1"/>
    <row r="948" ht="14.3" customHeight="1"/>
    <row r="949" ht="14.3" customHeight="1"/>
    <row r="950" ht="14.3" customHeight="1"/>
    <row r="951" ht="14.3" customHeight="1"/>
    <row r="952" ht="14.3" customHeight="1"/>
    <row r="953" ht="14.3" customHeight="1"/>
    <row r="954" ht="14.3" customHeight="1"/>
    <row r="955" ht="14.3" customHeight="1"/>
    <row r="956" ht="14.3" customHeight="1"/>
    <row r="957" ht="14.3" customHeight="1"/>
    <row r="958" ht="14.3" customHeight="1"/>
    <row r="959" ht="14.3" customHeight="1"/>
    <row r="960" ht="14.3" customHeight="1"/>
    <row r="961" ht="14.3" customHeight="1"/>
    <row r="962" ht="14.3" customHeight="1"/>
    <row r="963" ht="14.3" customHeight="1"/>
    <row r="964" ht="14.3" customHeight="1"/>
    <row r="965" ht="14.3" customHeight="1"/>
    <row r="966" ht="14.3" customHeight="1"/>
    <row r="967" ht="14.3" customHeight="1"/>
    <row r="968" ht="14.3" customHeight="1"/>
    <row r="969" ht="14.3" customHeight="1"/>
    <row r="970" ht="14.3" customHeight="1"/>
    <row r="971" ht="14.3" customHeight="1"/>
    <row r="972" ht="14.3" customHeight="1"/>
    <row r="973" ht="14.3" customHeight="1"/>
    <row r="974" ht="14.3" customHeight="1"/>
    <row r="975" ht="14.3" customHeight="1"/>
    <row r="976" ht="14.3" customHeight="1"/>
    <row r="977" ht="14.3" customHeight="1"/>
    <row r="978" ht="14.3" customHeight="1"/>
    <row r="979" ht="14.3" customHeight="1"/>
    <row r="980" ht="14.3" customHeight="1"/>
    <row r="981" ht="14.3" customHeight="1"/>
    <row r="982" ht="14.3" customHeight="1"/>
    <row r="983" ht="14.3" customHeight="1"/>
    <row r="984" ht="14.3" customHeight="1"/>
    <row r="985" ht="14.3" customHeight="1"/>
    <row r="986" ht="14.3" customHeight="1"/>
    <row r="987" ht="14.3" customHeight="1"/>
    <row r="988" ht="14.3" customHeight="1"/>
    <row r="989" ht="14.3" customHeight="1"/>
    <row r="990" ht="14.3" customHeight="1"/>
    <row r="991" ht="14.3" customHeight="1"/>
    <row r="992" ht="14.3" customHeight="1"/>
    <row r="993" ht="14.3" customHeight="1"/>
    <row r="994" ht="14.3" customHeight="1"/>
    <row r="995" ht="14.3" customHeight="1"/>
    <row r="996" ht="14.3" customHeight="1"/>
    <row r="997" ht="14.3" customHeight="1"/>
    <row r="998" ht="14.3" customHeight="1"/>
    <row r="999" ht="14.3" customHeight="1"/>
    <row r="1000" ht="14.3" customHeight="1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M1000"/>
  <sheetViews>
    <sheetView workbookViewId="0"/>
  </sheetViews>
  <sheetFormatPr defaultColWidth="14.375" defaultRowHeight="14.95" customHeight="1"/>
  <cols>
    <col min="1" max="1" width="4.125" customWidth="1"/>
    <col min="2" max="2" width="15.375" customWidth="1"/>
    <col min="3" max="3" width="11" customWidth="1"/>
    <col min="4" max="4" width="1.375" customWidth="1"/>
    <col min="5" max="5" width="39.625" customWidth="1"/>
    <col min="6" max="6" width="4.375" customWidth="1"/>
    <col min="7" max="13" width="4.625" customWidth="1"/>
    <col min="14" max="14" width="5.125" customWidth="1"/>
    <col min="15" max="25" width="8.625" customWidth="1"/>
  </cols>
  <sheetData>
    <row r="1" spans="1:39" ht="14.3" customHeight="1">
      <c r="A1" s="5"/>
      <c r="B1" s="189" t="s">
        <v>29</v>
      </c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1"/>
      <c r="N1" s="5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39" ht="14.3" customHeight="1">
      <c r="A2" s="5"/>
      <c r="B2" s="189" t="s">
        <v>35</v>
      </c>
      <c r="C2" s="190"/>
      <c r="D2" s="190"/>
      <c r="E2" s="190"/>
      <c r="F2" s="190"/>
      <c r="G2" s="190"/>
      <c r="H2" s="190"/>
      <c r="I2" s="190"/>
      <c r="J2" s="190"/>
      <c r="K2" s="190"/>
      <c r="L2" s="190"/>
      <c r="M2" s="191"/>
      <c r="N2" s="5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39" ht="14.3" customHeight="1">
      <c r="A3" s="5"/>
      <c r="B3" s="189" t="s">
        <v>36</v>
      </c>
      <c r="C3" s="190"/>
      <c r="D3" s="190"/>
      <c r="E3" s="190"/>
      <c r="F3" s="190"/>
      <c r="G3" s="190"/>
      <c r="H3" s="190"/>
      <c r="I3" s="190"/>
      <c r="J3" s="190"/>
      <c r="K3" s="190"/>
      <c r="L3" s="190"/>
      <c r="M3" s="191"/>
      <c r="N3" s="5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39" ht="14.3" customHeight="1">
      <c r="A4" s="5"/>
      <c r="B4" s="192" t="s">
        <v>37</v>
      </c>
      <c r="C4" s="190"/>
      <c r="D4" s="190"/>
      <c r="E4" s="190"/>
      <c r="F4" s="190"/>
      <c r="G4" s="190"/>
      <c r="H4" s="190"/>
      <c r="I4" s="190"/>
      <c r="J4" s="190"/>
      <c r="K4" s="190"/>
      <c r="L4" s="190"/>
      <c r="M4" s="191"/>
      <c r="N4" s="5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39" ht="14.3" customHeight="1">
      <c r="A5" s="5"/>
      <c r="B5" s="193" t="s">
        <v>38</v>
      </c>
      <c r="C5" s="190"/>
      <c r="D5" s="190"/>
      <c r="E5" s="190"/>
      <c r="F5" s="190"/>
      <c r="G5" s="190"/>
      <c r="H5" s="190"/>
      <c r="I5" s="190"/>
      <c r="J5" s="190"/>
      <c r="K5" s="190"/>
      <c r="L5" s="190"/>
      <c r="M5" s="191"/>
      <c r="N5" s="5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39" ht="14.3" customHeight="1">
      <c r="A6" s="13"/>
      <c r="B6" s="194" t="s">
        <v>46</v>
      </c>
      <c r="C6" s="195"/>
      <c r="D6" s="195"/>
      <c r="E6" s="195"/>
      <c r="F6" s="195"/>
      <c r="G6" s="195"/>
      <c r="H6" s="195"/>
      <c r="I6" s="195"/>
      <c r="J6" s="195"/>
      <c r="K6" s="195"/>
      <c r="L6" s="195"/>
      <c r="M6" s="196"/>
      <c r="N6" s="13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39" ht="14.3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1:39" ht="19.55" customHeight="1">
      <c r="A8" s="197" t="s">
        <v>99</v>
      </c>
      <c r="B8" s="190"/>
      <c r="C8" s="190"/>
      <c r="D8" s="190"/>
      <c r="E8" s="190"/>
      <c r="F8" s="190"/>
      <c r="G8" s="190"/>
      <c r="H8" s="190"/>
      <c r="I8" s="190"/>
      <c r="J8" s="190"/>
      <c r="K8" s="190"/>
      <c r="L8" s="190"/>
      <c r="M8" s="190"/>
      <c r="N8" s="191"/>
      <c r="O8" s="6"/>
      <c r="P8" s="7"/>
      <c r="Q8" s="7"/>
      <c r="R8" s="7"/>
      <c r="S8" s="7"/>
      <c r="T8" s="7"/>
      <c r="U8" s="7"/>
      <c r="V8" s="7"/>
      <c r="W8" s="7"/>
      <c r="X8" s="7"/>
      <c r="Y8" s="7"/>
    </row>
    <row r="9" spans="1:39" ht="9" customHeight="1">
      <c r="A9" s="14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4"/>
      <c r="O9" s="6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39" ht="15.8" customHeight="1">
      <c r="A10" s="41"/>
      <c r="B10" s="41"/>
      <c r="C10" s="20"/>
      <c r="D10" s="20"/>
      <c r="E10" s="20"/>
      <c r="F10" s="20"/>
      <c r="G10" s="20"/>
      <c r="H10" s="20"/>
      <c r="I10" s="6"/>
      <c r="J10" s="6"/>
      <c r="K10" s="6"/>
      <c r="L10" s="6"/>
      <c r="M10" s="6"/>
      <c r="N10" s="6"/>
      <c r="O10" s="43"/>
      <c r="P10" s="44"/>
      <c r="Q10" s="44"/>
      <c r="R10" s="44"/>
      <c r="S10" s="45"/>
      <c r="T10" s="46"/>
      <c r="U10" s="46"/>
      <c r="V10" s="44"/>
      <c r="W10" s="44"/>
      <c r="X10" s="44"/>
      <c r="Y10" s="44"/>
      <c r="Z10" s="44"/>
      <c r="AA10" s="44"/>
      <c r="AB10" s="6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</row>
    <row r="11" spans="1:39" ht="19.55" customHeight="1">
      <c r="A11" s="16" t="s">
        <v>79</v>
      </c>
      <c r="B11" s="16"/>
      <c r="C11" s="4" t="s">
        <v>107</v>
      </c>
      <c r="D11" s="16"/>
      <c r="E11" s="22"/>
      <c r="F11" s="19"/>
      <c r="G11" s="17"/>
      <c r="H11" s="19" t="s">
        <v>108</v>
      </c>
      <c r="I11" s="17"/>
      <c r="J11" s="17"/>
      <c r="K11" s="17"/>
      <c r="L11" s="17"/>
      <c r="M11" s="20"/>
      <c r="N11" s="20"/>
      <c r="O11" s="6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39" ht="9" customHeight="1">
      <c r="A12" s="20"/>
      <c r="B12" s="24"/>
      <c r="C12" s="24"/>
      <c r="D12" s="24"/>
      <c r="E12" s="25"/>
      <c r="F12" s="55"/>
      <c r="G12" s="20"/>
      <c r="H12" s="26"/>
      <c r="I12" s="27"/>
      <c r="J12" s="27"/>
      <c r="K12" s="27"/>
      <c r="L12" s="27"/>
      <c r="M12" s="27"/>
      <c r="N12" s="27"/>
      <c r="O12" s="6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39" ht="15.8" customHeight="1">
      <c r="A13" s="176" t="s">
        <v>84</v>
      </c>
      <c r="B13" s="177"/>
      <c r="C13" s="178" t="s">
        <v>85</v>
      </c>
      <c r="D13" s="179"/>
      <c r="E13" s="180"/>
      <c r="F13" s="184" t="s">
        <v>86</v>
      </c>
      <c r="G13" s="176" t="s">
        <v>87</v>
      </c>
      <c r="H13" s="186"/>
      <c r="I13" s="186"/>
      <c r="J13" s="186"/>
      <c r="K13" s="186"/>
      <c r="L13" s="186"/>
      <c r="M13" s="177"/>
      <c r="N13" s="184" t="s">
        <v>88</v>
      </c>
      <c r="O13" s="6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39" ht="15.8" customHeight="1">
      <c r="A14" s="28" t="s">
        <v>90</v>
      </c>
      <c r="B14" s="28" t="s">
        <v>91</v>
      </c>
      <c r="C14" s="181"/>
      <c r="D14" s="182"/>
      <c r="E14" s="183"/>
      <c r="F14" s="185"/>
      <c r="G14" s="28"/>
      <c r="H14" s="28"/>
      <c r="I14" s="28"/>
      <c r="J14" s="28"/>
      <c r="K14" s="28"/>
      <c r="L14" s="28"/>
      <c r="M14" s="28"/>
      <c r="N14" s="185"/>
      <c r="O14" s="6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39" ht="18" customHeight="1">
      <c r="A15" s="1">
        <v>1</v>
      </c>
      <c r="B15" s="1" t="s">
        <v>117</v>
      </c>
      <c r="C15" s="209" t="s">
        <v>118</v>
      </c>
      <c r="D15" s="186"/>
      <c r="E15" s="177"/>
      <c r="F15" s="67" t="s">
        <v>1</v>
      </c>
      <c r="G15" s="36"/>
      <c r="H15" s="36"/>
      <c r="I15" s="36"/>
      <c r="J15" s="36"/>
      <c r="K15" s="36"/>
      <c r="L15" s="36"/>
      <c r="M15" s="36"/>
      <c r="N15" s="68"/>
      <c r="O15" s="6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39" ht="18" customHeight="1">
      <c r="A16" s="1">
        <f t="shared" ref="A16:A45" si="0">A15+1</f>
        <v>2</v>
      </c>
      <c r="B16" s="1" t="s">
        <v>123</v>
      </c>
      <c r="C16" s="209" t="s">
        <v>124</v>
      </c>
      <c r="D16" s="186"/>
      <c r="E16" s="177"/>
      <c r="F16" s="67" t="s">
        <v>1</v>
      </c>
      <c r="G16" s="36"/>
      <c r="H16" s="36"/>
      <c r="I16" s="36"/>
      <c r="J16" s="36"/>
      <c r="K16" s="36"/>
      <c r="L16" s="36"/>
      <c r="M16" s="36"/>
      <c r="N16" s="68"/>
      <c r="O16" s="6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1:25" ht="18" customHeight="1">
      <c r="A17" s="1">
        <f t="shared" si="0"/>
        <v>3</v>
      </c>
      <c r="B17" s="1" t="s">
        <v>128</v>
      </c>
      <c r="C17" s="209" t="s">
        <v>129</v>
      </c>
      <c r="D17" s="186"/>
      <c r="E17" s="177"/>
      <c r="F17" s="67" t="s">
        <v>1</v>
      </c>
      <c r="G17" s="36"/>
      <c r="H17" s="36"/>
      <c r="I17" s="36"/>
      <c r="J17" s="36"/>
      <c r="K17" s="36"/>
      <c r="L17" s="36"/>
      <c r="M17" s="36"/>
      <c r="N17" s="68"/>
      <c r="O17" s="6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spans="1:25" ht="18" customHeight="1">
      <c r="A18" s="1">
        <f t="shared" si="0"/>
        <v>4</v>
      </c>
      <c r="B18" s="1" t="s">
        <v>133</v>
      </c>
      <c r="C18" s="209" t="s">
        <v>134</v>
      </c>
      <c r="D18" s="186"/>
      <c r="E18" s="177"/>
      <c r="F18" s="67" t="s">
        <v>3</v>
      </c>
      <c r="G18" s="36"/>
      <c r="H18" s="36"/>
      <c r="I18" s="36"/>
      <c r="J18" s="36"/>
      <c r="K18" s="36"/>
      <c r="L18" s="36"/>
      <c r="M18" s="36"/>
      <c r="N18" s="68"/>
      <c r="O18" s="6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spans="1:25" ht="18" customHeight="1">
      <c r="A19" s="1">
        <f t="shared" si="0"/>
        <v>5</v>
      </c>
      <c r="B19" s="1" t="s">
        <v>138</v>
      </c>
      <c r="C19" s="209" t="s">
        <v>139</v>
      </c>
      <c r="D19" s="186"/>
      <c r="E19" s="177"/>
      <c r="F19" s="67" t="s">
        <v>3</v>
      </c>
      <c r="G19" s="36"/>
      <c r="H19" s="36"/>
      <c r="I19" s="36"/>
      <c r="J19" s="36"/>
      <c r="K19" s="36"/>
      <c r="L19" s="36"/>
      <c r="M19" s="36"/>
      <c r="N19" s="68"/>
      <c r="O19" s="6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spans="1:25" ht="18" customHeight="1">
      <c r="A20" s="1">
        <f t="shared" si="0"/>
        <v>6</v>
      </c>
      <c r="B20" s="1" t="s">
        <v>143</v>
      </c>
      <c r="C20" s="209" t="s">
        <v>144</v>
      </c>
      <c r="D20" s="186"/>
      <c r="E20" s="177"/>
      <c r="F20" s="67" t="s">
        <v>1</v>
      </c>
      <c r="G20" s="36"/>
      <c r="H20" s="36"/>
      <c r="I20" s="36"/>
      <c r="J20" s="36"/>
      <c r="K20" s="36"/>
      <c r="L20" s="36"/>
      <c r="M20" s="36"/>
      <c r="N20" s="68"/>
      <c r="O20" s="6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spans="1:25" ht="18" customHeight="1">
      <c r="A21" s="1">
        <f t="shared" si="0"/>
        <v>7</v>
      </c>
      <c r="B21" s="1" t="s">
        <v>146</v>
      </c>
      <c r="C21" s="209" t="s">
        <v>148</v>
      </c>
      <c r="D21" s="186"/>
      <c r="E21" s="177"/>
      <c r="F21" s="67" t="s">
        <v>1</v>
      </c>
      <c r="G21" s="36"/>
      <c r="H21" s="36"/>
      <c r="I21" s="36"/>
      <c r="J21" s="36"/>
      <c r="K21" s="36"/>
      <c r="L21" s="36"/>
      <c r="M21" s="36"/>
      <c r="N21" s="68"/>
      <c r="O21" s="6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spans="1:25" ht="18" customHeight="1">
      <c r="A22" s="1">
        <f t="shared" si="0"/>
        <v>8</v>
      </c>
      <c r="B22" s="1" t="s">
        <v>150</v>
      </c>
      <c r="C22" s="209" t="s">
        <v>151</v>
      </c>
      <c r="D22" s="186"/>
      <c r="E22" s="177"/>
      <c r="F22" s="67" t="s">
        <v>1</v>
      </c>
      <c r="G22" s="36"/>
      <c r="H22" s="36"/>
      <c r="I22" s="36"/>
      <c r="J22" s="36"/>
      <c r="K22" s="36"/>
      <c r="L22" s="36"/>
      <c r="M22" s="36"/>
      <c r="N22" s="68"/>
      <c r="O22" s="6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1:25" ht="18" customHeight="1">
      <c r="A23" s="1">
        <f t="shared" si="0"/>
        <v>9</v>
      </c>
      <c r="B23" s="1" t="s">
        <v>154</v>
      </c>
      <c r="C23" s="209" t="s">
        <v>155</v>
      </c>
      <c r="D23" s="186"/>
      <c r="E23" s="177"/>
      <c r="F23" s="67" t="s">
        <v>3</v>
      </c>
      <c r="G23" s="36"/>
      <c r="H23" s="36"/>
      <c r="I23" s="36"/>
      <c r="J23" s="36"/>
      <c r="K23" s="36"/>
      <c r="L23" s="36"/>
      <c r="M23" s="36"/>
      <c r="N23" s="68"/>
      <c r="O23" s="6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1:25" ht="18" customHeight="1">
      <c r="A24" s="1">
        <f t="shared" si="0"/>
        <v>10</v>
      </c>
      <c r="B24" s="1" t="s">
        <v>157</v>
      </c>
      <c r="C24" s="209" t="s">
        <v>158</v>
      </c>
      <c r="D24" s="186"/>
      <c r="E24" s="177"/>
      <c r="F24" s="67" t="s">
        <v>3</v>
      </c>
      <c r="G24" s="36"/>
      <c r="H24" s="36"/>
      <c r="I24" s="36"/>
      <c r="J24" s="36"/>
      <c r="K24" s="36"/>
      <c r="L24" s="36"/>
      <c r="M24" s="36"/>
      <c r="N24" s="68"/>
      <c r="O24" s="6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1:25" ht="18" customHeight="1">
      <c r="A25" s="1">
        <f t="shared" si="0"/>
        <v>11</v>
      </c>
      <c r="B25" s="1" t="s">
        <v>161</v>
      </c>
      <c r="C25" s="209" t="s">
        <v>162</v>
      </c>
      <c r="D25" s="186"/>
      <c r="E25" s="177"/>
      <c r="F25" s="67" t="s">
        <v>3</v>
      </c>
      <c r="G25" s="36"/>
      <c r="H25" s="36"/>
      <c r="I25" s="36"/>
      <c r="J25" s="36"/>
      <c r="K25" s="36"/>
      <c r="L25" s="36"/>
      <c r="M25" s="36"/>
      <c r="N25" s="68"/>
      <c r="O25" s="6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spans="1:25" ht="18" customHeight="1">
      <c r="A26" s="1">
        <f t="shared" si="0"/>
        <v>12</v>
      </c>
      <c r="B26" s="1" t="s">
        <v>166</v>
      </c>
      <c r="C26" s="209" t="s">
        <v>167</v>
      </c>
      <c r="D26" s="186"/>
      <c r="E26" s="177"/>
      <c r="F26" s="67" t="s">
        <v>1</v>
      </c>
      <c r="G26" s="36"/>
      <c r="H26" s="36"/>
      <c r="I26" s="36"/>
      <c r="J26" s="36"/>
      <c r="K26" s="36"/>
      <c r="L26" s="36"/>
      <c r="M26" s="36"/>
      <c r="N26" s="68"/>
      <c r="O26" s="6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spans="1:25" ht="18" customHeight="1">
      <c r="A27" s="1">
        <f t="shared" si="0"/>
        <v>13</v>
      </c>
      <c r="B27" s="1" t="s">
        <v>169</v>
      </c>
      <c r="C27" s="209" t="s">
        <v>170</v>
      </c>
      <c r="D27" s="186"/>
      <c r="E27" s="177"/>
      <c r="F27" s="67" t="s">
        <v>1</v>
      </c>
      <c r="G27" s="36"/>
      <c r="H27" s="36"/>
      <c r="I27" s="36"/>
      <c r="J27" s="36"/>
      <c r="K27" s="36"/>
      <c r="L27" s="36"/>
      <c r="M27" s="36"/>
      <c r="N27" s="68"/>
      <c r="O27" s="6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spans="1:25" ht="18" customHeight="1">
      <c r="A28" s="1">
        <f t="shared" si="0"/>
        <v>14</v>
      </c>
      <c r="B28" s="1" t="s">
        <v>173</v>
      </c>
      <c r="C28" s="209" t="s">
        <v>174</v>
      </c>
      <c r="D28" s="186"/>
      <c r="E28" s="177"/>
      <c r="F28" s="67" t="s">
        <v>1</v>
      </c>
      <c r="G28" s="36"/>
      <c r="H28" s="36"/>
      <c r="I28" s="36"/>
      <c r="J28" s="36"/>
      <c r="K28" s="36"/>
      <c r="L28" s="36"/>
      <c r="M28" s="36"/>
      <c r="N28" s="68"/>
      <c r="O28" s="6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spans="1:25" ht="18" customHeight="1">
      <c r="A29" s="1">
        <f t="shared" si="0"/>
        <v>15</v>
      </c>
      <c r="B29" s="1" t="s">
        <v>178</v>
      </c>
      <c r="C29" s="209" t="s">
        <v>179</v>
      </c>
      <c r="D29" s="186"/>
      <c r="E29" s="177"/>
      <c r="F29" s="67" t="s">
        <v>1</v>
      </c>
      <c r="G29" s="36"/>
      <c r="H29" s="36"/>
      <c r="I29" s="36"/>
      <c r="J29" s="36"/>
      <c r="K29" s="36"/>
      <c r="L29" s="36"/>
      <c r="M29" s="36"/>
      <c r="N29" s="68"/>
      <c r="O29" s="6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spans="1:25" ht="18" customHeight="1">
      <c r="A30" s="1">
        <f t="shared" si="0"/>
        <v>16</v>
      </c>
      <c r="B30" s="1" t="s">
        <v>181</v>
      </c>
      <c r="C30" s="209" t="s">
        <v>182</v>
      </c>
      <c r="D30" s="186"/>
      <c r="E30" s="177"/>
      <c r="F30" s="67" t="s">
        <v>1</v>
      </c>
      <c r="G30" s="36"/>
      <c r="H30" s="36"/>
      <c r="I30" s="36"/>
      <c r="J30" s="36"/>
      <c r="K30" s="36"/>
      <c r="L30" s="36"/>
      <c r="M30" s="36"/>
      <c r="N30" s="68"/>
      <c r="O30" s="6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spans="1:25" ht="18" customHeight="1">
      <c r="A31" s="1">
        <f t="shared" si="0"/>
        <v>17</v>
      </c>
      <c r="B31" s="1" t="s">
        <v>186</v>
      </c>
      <c r="C31" s="209" t="s">
        <v>187</v>
      </c>
      <c r="D31" s="186"/>
      <c r="E31" s="177"/>
      <c r="F31" s="67" t="s">
        <v>1</v>
      </c>
      <c r="G31" s="36"/>
      <c r="H31" s="36"/>
      <c r="I31" s="36"/>
      <c r="J31" s="36"/>
      <c r="K31" s="36"/>
      <c r="L31" s="36"/>
      <c r="M31" s="36"/>
      <c r="N31" s="68"/>
      <c r="O31" s="6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spans="1:25" ht="18" customHeight="1">
      <c r="A32" s="1">
        <f t="shared" si="0"/>
        <v>18</v>
      </c>
      <c r="B32" s="1" t="s">
        <v>190</v>
      </c>
      <c r="C32" s="209" t="s">
        <v>191</v>
      </c>
      <c r="D32" s="186"/>
      <c r="E32" s="177"/>
      <c r="F32" s="67" t="s">
        <v>1</v>
      </c>
      <c r="G32" s="36"/>
      <c r="H32" s="36"/>
      <c r="I32" s="36"/>
      <c r="J32" s="36"/>
      <c r="K32" s="36"/>
      <c r="L32" s="36"/>
      <c r="M32" s="36"/>
      <c r="N32" s="68"/>
      <c r="O32" s="6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1:25" ht="18" customHeight="1">
      <c r="A33" s="1">
        <f t="shared" si="0"/>
        <v>19</v>
      </c>
      <c r="B33" s="1" t="s">
        <v>192</v>
      </c>
      <c r="C33" s="209" t="s">
        <v>193</v>
      </c>
      <c r="D33" s="186"/>
      <c r="E33" s="177"/>
      <c r="F33" s="67" t="s">
        <v>1</v>
      </c>
      <c r="G33" s="36"/>
      <c r="H33" s="36"/>
      <c r="I33" s="36"/>
      <c r="J33" s="36"/>
      <c r="K33" s="36"/>
      <c r="L33" s="36"/>
      <c r="M33" s="36"/>
      <c r="N33" s="75"/>
      <c r="O33" s="6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spans="1:25" ht="18" customHeight="1">
      <c r="A34" s="1">
        <f t="shared" si="0"/>
        <v>20</v>
      </c>
      <c r="B34" s="1" t="s">
        <v>197</v>
      </c>
      <c r="C34" s="209" t="s">
        <v>198</v>
      </c>
      <c r="D34" s="186"/>
      <c r="E34" s="177"/>
      <c r="F34" s="67" t="s">
        <v>1</v>
      </c>
      <c r="G34" s="36"/>
      <c r="H34" s="36"/>
      <c r="I34" s="36"/>
      <c r="J34" s="36"/>
      <c r="K34" s="36"/>
      <c r="L34" s="36"/>
      <c r="M34" s="36"/>
      <c r="N34" s="68"/>
      <c r="O34" s="6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spans="1:25" ht="18" customHeight="1">
      <c r="A35" s="1">
        <f t="shared" si="0"/>
        <v>21</v>
      </c>
      <c r="B35" s="1" t="s">
        <v>202</v>
      </c>
      <c r="C35" s="209" t="s">
        <v>203</v>
      </c>
      <c r="D35" s="186"/>
      <c r="E35" s="177"/>
      <c r="F35" s="67" t="s">
        <v>1</v>
      </c>
      <c r="G35" s="36"/>
      <c r="H35" s="36"/>
      <c r="I35" s="36"/>
      <c r="J35" s="36"/>
      <c r="K35" s="36"/>
      <c r="L35" s="36"/>
      <c r="M35" s="36"/>
      <c r="N35" s="68"/>
      <c r="O35" s="6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spans="1:25" ht="18" customHeight="1">
      <c r="A36" s="1">
        <f t="shared" si="0"/>
        <v>22</v>
      </c>
      <c r="B36" s="1" t="s">
        <v>204</v>
      </c>
      <c r="C36" s="209" t="s">
        <v>206</v>
      </c>
      <c r="D36" s="186"/>
      <c r="E36" s="177"/>
      <c r="F36" s="67" t="s">
        <v>1</v>
      </c>
      <c r="G36" s="36"/>
      <c r="H36" s="36"/>
      <c r="I36" s="36"/>
      <c r="J36" s="36"/>
      <c r="K36" s="36"/>
      <c r="L36" s="36"/>
      <c r="M36" s="36"/>
      <c r="N36" s="68"/>
      <c r="O36" s="6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spans="1:25" ht="18" customHeight="1">
      <c r="A37" s="1">
        <f t="shared" si="0"/>
        <v>23</v>
      </c>
      <c r="B37" s="1" t="s">
        <v>209</v>
      </c>
      <c r="C37" s="209" t="s">
        <v>210</v>
      </c>
      <c r="D37" s="186"/>
      <c r="E37" s="177"/>
      <c r="F37" s="67" t="s">
        <v>3</v>
      </c>
      <c r="G37" s="36"/>
      <c r="H37" s="36"/>
      <c r="I37" s="36"/>
      <c r="J37" s="36"/>
      <c r="K37" s="36"/>
      <c r="L37" s="36"/>
      <c r="M37" s="36"/>
      <c r="N37" s="68"/>
      <c r="O37" s="6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spans="1:25" ht="18" customHeight="1">
      <c r="A38" s="1">
        <f t="shared" si="0"/>
        <v>24</v>
      </c>
      <c r="B38" s="1" t="s">
        <v>213</v>
      </c>
      <c r="C38" s="209" t="s">
        <v>214</v>
      </c>
      <c r="D38" s="186"/>
      <c r="E38" s="177"/>
      <c r="F38" s="67" t="s">
        <v>1</v>
      </c>
      <c r="G38" s="36"/>
      <c r="H38" s="36"/>
      <c r="I38" s="36"/>
      <c r="J38" s="36"/>
      <c r="K38" s="36"/>
      <c r="L38" s="36"/>
      <c r="M38" s="36"/>
      <c r="N38" s="68"/>
      <c r="O38" s="6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spans="1:25" ht="18" customHeight="1">
      <c r="A39" s="1">
        <f t="shared" si="0"/>
        <v>25</v>
      </c>
      <c r="B39" s="1" t="s">
        <v>217</v>
      </c>
      <c r="C39" s="209" t="s">
        <v>219</v>
      </c>
      <c r="D39" s="186"/>
      <c r="E39" s="177"/>
      <c r="F39" s="67" t="s">
        <v>1</v>
      </c>
      <c r="G39" s="36"/>
      <c r="H39" s="36"/>
      <c r="I39" s="36"/>
      <c r="J39" s="36"/>
      <c r="K39" s="36"/>
      <c r="L39" s="36"/>
      <c r="M39" s="36"/>
      <c r="N39" s="68"/>
      <c r="O39" s="6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spans="1:25" ht="18" customHeight="1">
      <c r="A40" s="1">
        <f t="shared" si="0"/>
        <v>26</v>
      </c>
      <c r="B40" s="1" t="s">
        <v>220</v>
      </c>
      <c r="C40" s="209" t="s">
        <v>221</v>
      </c>
      <c r="D40" s="186"/>
      <c r="E40" s="177"/>
      <c r="F40" s="67" t="s">
        <v>1</v>
      </c>
      <c r="G40" s="36"/>
      <c r="H40" s="36"/>
      <c r="I40" s="36"/>
      <c r="J40" s="36"/>
      <c r="K40" s="36"/>
      <c r="L40" s="36"/>
      <c r="M40" s="36"/>
      <c r="N40" s="68"/>
      <c r="O40" s="6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spans="1:25" ht="18" customHeight="1">
      <c r="A41" s="1">
        <f t="shared" si="0"/>
        <v>27</v>
      </c>
      <c r="B41" s="1" t="s">
        <v>225</v>
      </c>
      <c r="C41" s="209" t="s">
        <v>226</v>
      </c>
      <c r="D41" s="186"/>
      <c r="E41" s="177"/>
      <c r="F41" s="67" t="s">
        <v>1</v>
      </c>
      <c r="G41" s="36"/>
      <c r="H41" s="36"/>
      <c r="I41" s="36"/>
      <c r="J41" s="36"/>
      <c r="K41" s="36"/>
      <c r="L41" s="36"/>
      <c r="M41" s="36"/>
      <c r="N41" s="68"/>
      <c r="O41" s="6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1:25" ht="18" customHeight="1">
      <c r="A42" s="1">
        <f t="shared" si="0"/>
        <v>28</v>
      </c>
      <c r="B42" s="1" t="s">
        <v>228</v>
      </c>
      <c r="C42" s="209" t="s">
        <v>229</v>
      </c>
      <c r="D42" s="186"/>
      <c r="E42" s="177"/>
      <c r="F42" s="67" t="s">
        <v>1</v>
      </c>
      <c r="G42" s="36"/>
      <c r="H42" s="36"/>
      <c r="I42" s="36"/>
      <c r="J42" s="36"/>
      <c r="K42" s="36"/>
      <c r="L42" s="36"/>
      <c r="M42" s="36"/>
      <c r="N42" s="68"/>
      <c r="O42" s="6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1:25" ht="18" customHeight="1">
      <c r="A43" s="1">
        <f t="shared" si="0"/>
        <v>29</v>
      </c>
      <c r="B43" s="1" t="s">
        <v>232</v>
      </c>
      <c r="C43" s="209" t="s">
        <v>233</v>
      </c>
      <c r="D43" s="186"/>
      <c r="E43" s="177"/>
      <c r="F43" s="67" t="s">
        <v>3</v>
      </c>
      <c r="G43" s="36"/>
      <c r="H43" s="36"/>
      <c r="I43" s="36"/>
      <c r="J43" s="36"/>
      <c r="K43" s="36"/>
      <c r="L43" s="36"/>
      <c r="M43" s="36"/>
      <c r="N43" s="68"/>
      <c r="O43" s="6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spans="1:25" ht="18" customHeight="1">
      <c r="A44" s="1">
        <f t="shared" si="0"/>
        <v>30</v>
      </c>
      <c r="B44" s="1" t="s">
        <v>235</v>
      </c>
      <c r="C44" s="207" t="s">
        <v>236</v>
      </c>
      <c r="D44" s="186"/>
      <c r="E44" s="177"/>
      <c r="F44" s="1" t="s">
        <v>1</v>
      </c>
      <c r="G44" s="36"/>
      <c r="H44" s="36"/>
      <c r="I44" s="36"/>
      <c r="J44" s="36"/>
      <c r="K44" s="36"/>
      <c r="L44" s="36"/>
      <c r="M44" s="36"/>
      <c r="N44" s="68"/>
      <c r="O44" s="6"/>
      <c r="P44" s="7" t="s">
        <v>240</v>
      </c>
      <c r="Q44" s="7"/>
      <c r="R44" s="7"/>
      <c r="S44" s="7"/>
      <c r="T44" s="7"/>
      <c r="U44" s="7"/>
      <c r="V44" s="7"/>
      <c r="W44" s="7"/>
      <c r="X44" s="7"/>
      <c r="Y44" s="7"/>
    </row>
    <row r="45" spans="1:25" ht="15.8" customHeight="1">
      <c r="A45" s="1">
        <f t="shared" si="0"/>
        <v>31</v>
      </c>
      <c r="B45" s="1"/>
      <c r="C45" s="207"/>
      <c r="D45" s="186"/>
      <c r="E45" s="177"/>
      <c r="F45" s="1"/>
      <c r="G45" s="36"/>
      <c r="H45" s="36"/>
      <c r="I45" s="36"/>
      <c r="J45" s="36"/>
      <c r="K45" s="36"/>
      <c r="L45" s="36"/>
      <c r="M45" s="36"/>
      <c r="N45" s="68"/>
      <c r="O45" s="6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spans="1:25" ht="15.8" customHeight="1">
      <c r="A46" s="1" t="str">
        <f>IF(B46="","",#REF!+1)</f>
        <v/>
      </c>
      <c r="B46" s="1"/>
      <c r="C46" s="207"/>
      <c r="D46" s="186"/>
      <c r="E46" s="177"/>
      <c r="F46" s="1"/>
      <c r="G46" s="36"/>
      <c r="H46" s="36"/>
      <c r="I46" s="36"/>
      <c r="J46" s="36"/>
      <c r="K46" s="36"/>
      <c r="L46" s="36"/>
      <c r="M46" s="36"/>
      <c r="N46" s="68"/>
      <c r="O46" s="6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spans="1:25" ht="15.8" customHeight="1">
      <c r="A47" s="79"/>
      <c r="B47" s="79"/>
      <c r="C47" s="20"/>
      <c r="D47" s="20"/>
      <c r="E47" s="20"/>
      <c r="F47" s="80" t="s">
        <v>1</v>
      </c>
      <c r="G47" s="80">
        <f>COUNTIF(F15:F46,"L")</f>
        <v>23</v>
      </c>
      <c r="H47" s="20"/>
      <c r="I47" s="20"/>
      <c r="J47" s="20"/>
      <c r="K47" s="20"/>
      <c r="L47" s="20"/>
      <c r="M47" s="20"/>
      <c r="N47" s="20"/>
      <c r="O47" s="6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spans="1:25" ht="15.8" customHeight="1">
      <c r="A48" s="79"/>
      <c r="B48" s="79"/>
      <c r="C48" s="20"/>
      <c r="D48" s="20"/>
      <c r="E48" s="20"/>
      <c r="F48" s="30" t="s">
        <v>3</v>
      </c>
      <c r="G48" s="30">
        <f>COUNTIF(F15:F46,"P")</f>
        <v>7</v>
      </c>
      <c r="H48" s="20"/>
      <c r="I48" s="20"/>
      <c r="J48" s="20"/>
      <c r="K48" s="20"/>
      <c r="L48" s="20"/>
      <c r="M48" s="20"/>
      <c r="N48" s="20"/>
      <c r="O48" s="6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spans="1:25" ht="15.8" customHeight="1">
      <c r="A49" s="79"/>
      <c r="B49" s="79"/>
      <c r="C49" s="20"/>
      <c r="D49" s="20"/>
      <c r="E49" s="20"/>
      <c r="F49" s="81" t="s">
        <v>251</v>
      </c>
      <c r="G49" s="81">
        <f>SUM(G47:G48)</f>
        <v>30</v>
      </c>
      <c r="H49" s="20"/>
      <c r="I49" s="20"/>
      <c r="J49" s="20"/>
      <c r="K49" s="20"/>
      <c r="L49" s="20"/>
      <c r="M49" s="20"/>
      <c r="N49" s="20"/>
      <c r="O49" s="6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spans="1:25" ht="15.8" customHeight="1">
      <c r="A50" s="20"/>
      <c r="B50" s="6"/>
      <c r="C50" s="20"/>
      <c r="D50" s="20"/>
      <c r="E50" s="20"/>
      <c r="F50" s="6"/>
      <c r="G50" s="6"/>
      <c r="H50" s="6"/>
      <c r="I50" s="82" t="s">
        <v>254</v>
      </c>
      <c r="J50" s="6"/>
      <c r="K50" s="6"/>
      <c r="L50" s="6"/>
      <c r="M50" s="6"/>
      <c r="N50" s="6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spans="1:25" ht="15.8" customHeight="1">
      <c r="A51" s="20"/>
      <c r="B51" s="6"/>
      <c r="C51" s="20"/>
      <c r="D51" s="20"/>
      <c r="E51" s="20"/>
      <c r="F51" s="6"/>
      <c r="G51" s="6"/>
      <c r="H51" s="6"/>
      <c r="I51" s="6" t="s">
        <v>256</v>
      </c>
      <c r="J51" s="6"/>
      <c r="K51" s="6"/>
      <c r="L51" s="6"/>
      <c r="M51" s="6"/>
      <c r="N51" s="6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spans="1:25" ht="15.8" customHeight="1">
      <c r="A52" s="20"/>
      <c r="B52" s="6"/>
      <c r="C52" s="20"/>
      <c r="D52" s="20"/>
      <c r="E52" s="20"/>
      <c r="F52" s="20"/>
      <c r="G52" s="20"/>
      <c r="H52" s="20"/>
      <c r="I52" s="6"/>
      <c r="J52" s="6"/>
      <c r="K52" s="6"/>
      <c r="L52" s="6"/>
      <c r="M52" s="6"/>
      <c r="N52" s="6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spans="1:25" ht="15.8" customHeight="1">
      <c r="A53" s="20"/>
      <c r="B53" s="6"/>
      <c r="C53" s="20"/>
      <c r="D53" s="20"/>
      <c r="E53" s="20"/>
      <c r="F53" s="20"/>
      <c r="G53" s="20"/>
      <c r="H53" s="20"/>
      <c r="I53" s="6"/>
      <c r="J53" s="6"/>
      <c r="K53" s="6"/>
      <c r="L53" s="6"/>
      <c r="M53" s="6"/>
      <c r="N53" s="6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spans="1:25" ht="15.8" customHeight="1">
      <c r="A54" s="24"/>
      <c r="B54" s="6"/>
      <c r="C54" s="6"/>
      <c r="D54" s="6"/>
      <c r="E54" s="86"/>
      <c r="F54" s="6"/>
      <c r="G54" s="6"/>
      <c r="H54" s="20"/>
      <c r="I54" s="87"/>
      <c r="J54" s="87"/>
      <c r="K54" s="87"/>
      <c r="L54" s="87"/>
      <c r="M54" s="87"/>
      <c r="N54" s="8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spans="1:25" ht="15.8" customHeight="1">
      <c r="A55" s="41"/>
      <c r="B55" s="41"/>
      <c r="C55" s="20"/>
      <c r="D55" s="20"/>
      <c r="E55" s="20"/>
      <c r="F55" s="20"/>
      <c r="G55" s="20"/>
      <c r="H55" s="20" t="s">
        <v>266</v>
      </c>
      <c r="I55" s="6"/>
      <c r="J55" s="6"/>
      <c r="K55" s="6"/>
      <c r="L55" s="6"/>
      <c r="M55" s="6"/>
      <c r="N55" s="6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spans="1:25" ht="15.8" customHeight="1">
      <c r="A56" s="43"/>
      <c r="B56" s="44"/>
      <c r="C56" s="44"/>
      <c r="D56" s="44"/>
      <c r="E56" s="44"/>
      <c r="F56" s="45"/>
      <c r="G56" s="46"/>
      <c r="H56" s="46"/>
      <c r="I56" s="44"/>
      <c r="J56" s="44"/>
      <c r="K56" s="44"/>
      <c r="L56" s="44"/>
      <c r="M56" s="44"/>
      <c r="N56" s="44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spans="1:25" ht="15.8" customHeight="1">
      <c r="A57" s="16" t="s">
        <v>79</v>
      </c>
      <c r="B57" s="16"/>
      <c r="C57" s="4" t="s">
        <v>269</v>
      </c>
      <c r="D57" s="16"/>
      <c r="E57" s="22"/>
      <c r="F57" s="19"/>
      <c r="G57" s="17"/>
      <c r="H57" s="19" t="s">
        <v>108</v>
      </c>
      <c r="I57" s="17"/>
      <c r="J57" s="17"/>
      <c r="K57" s="17"/>
      <c r="L57" s="17"/>
      <c r="M57" s="20"/>
      <c r="N57" s="20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spans="1:25" ht="15.8" customHeight="1">
      <c r="A58" s="20"/>
      <c r="B58" s="24"/>
      <c r="C58" s="24"/>
      <c r="D58" s="24"/>
      <c r="E58" s="25"/>
      <c r="F58" s="55"/>
      <c r="G58" s="20"/>
      <c r="H58" s="26"/>
      <c r="I58" s="27"/>
      <c r="J58" s="27"/>
      <c r="K58" s="27"/>
      <c r="L58" s="27"/>
      <c r="M58" s="27"/>
      <c r="N58" s="2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spans="1:25" ht="15.8" customHeight="1">
      <c r="A59" s="176" t="s">
        <v>84</v>
      </c>
      <c r="B59" s="177"/>
      <c r="C59" s="178" t="s">
        <v>85</v>
      </c>
      <c r="D59" s="179"/>
      <c r="E59" s="180"/>
      <c r="F59" s="184" t="s">
        <v>86</v>
      </c>
      <c r="G59" s="176" t="s">
        <v>87</v>
      </c>
      <c r="H59" s="186"/>
      <c r="I59" s="186"/>
      <c r="J59" s="186"/>
      <c r="K59" s="186"/>
      <c r="L59" s="186"/>
      <c r="M59" s="177"/>
      <c r="N59" s="184" t="s">
        <v>88</v>
      </c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spans="1:25" ht="15.8" customHeight="1">
      <c r="A60" s="28" t="s">
        <v>90</v>
      </c>
      <c r="B60" s="28" t="s">
        <v>91</v>
      </c>
      <c r="C60" s="181"/>
      <c r="D60" s="182"/>
      <c r="E60" s="183"/>
      <c r="F60" s="185"/>
      <c r="G60" s="28"/>
      <c r="H60" s="28"/>
      <c r="I60" s="28"/>
      <c r="J60" s="28"/>
      <c r="K60" s="28"/>
      <c r="L60" s="28"/>
      <c r="M60" s="28"/>
      <c r="N60" s="185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spans="1:25" ht="15.8" customHeight="1">
      <c r="A61" s="1">
        <v>1</v>
      </c>
      <c r="B61" s="1" t="s">
        <v>276</v>
      </c>
      <c r="C61" s="92" t="s">
        <v>278</v>
      </c>
      <c r="D61" s="92"/>
      <c r="E61" s="92"/>
      <c r="F61" s="67" t="s">
        <v>1</v>
      </c>
      <c r="G61" s="36"/>
      <c r="H61" s="36"/>
      <c r="I61" s="36"/>
      <c r="J61" s="36"/>
      <c r="K61" s="36"/>
      <c r="L61" s="36"/>
      <c r="M61" s="36"/>
      <c r="N61" s="36"/>
      <c r="O61" s="7"/>
      <c r="P61" s="92"/>
      <c r="Q61" s="7"/>
      <c r="R61" s="7"/>
      <c r="S61" s="7"/>
      <c r="T61" s="7"/>
      <c r="U61" s="7"/>
      <c r="V61" s="7"/>
      <c r="W61" s="7"/>
      <c r="X61" s="7"/>
      <c r="Y61" s="7"/>
    </row>
    <row r="62" spans="1:25" ht="15.8" customHeight="1">
      <c r="A62" s="1">
        <f t="shared" ref="A62:A90" si="1">A61+1</f>
        <v>2</v>
      </c>
      <c r="B62" s="1" t="s">
        <v>282</v>
      </c>
      <c r="C62" s="92" t="s">
        <v>283</v>
      </c>
      <c r="D62" s="92"/>
      <c r="E62" s="92"/>
      <c r="F62" s="67" t="s">
        <v>1</v>
      </c>
      <c r="G62" s="36"/>
      <c r="H62" s="36"/>
      <c r="I62" s="36"/>
      <c r="J62" s="36"/>
      <c r="K62" s="36"/>
      <c r="L62" s="36"/>
      <c r="M62" s="36"/>
      <c r="N62" s="36"/>
      <c r="O62" s="95"/>
      <c r="P62" s="92"/>
      <c r="Q62" s="95"/>
      <c r="R62" s="96"/>
      <c r="S62" s="97" t="s">
        <v>286</v>
      </c>
      <c r="T62" s="7"/>
      <c r="U62" s="7"/>
      <c r="V62" s="7"/>
      <c r="W62" s="7"/>
      <c r="X62" s="7"/>
      <c r="Y62" s="7"/>
    </row>
    <row r="63" spans="1:25" ht="15.8" customHeight="1">
      <c r="A63" s="1">
        <f t="shared" si="1"/>
        <v>3</v>
      </c>
      <c r="B63" s="1" t="s">
        <v>287</v>
      </c>
      <c r="C63" s="92" t="s">
        <v>288</v>
      </c>
      <c r="D63" s="92"/>
      <c r="E63" s="92"/>
      <c r="F63" s="67" t="s">
        <v>1</v>
      </c>
      <c r="G63" s="36"/>
      <c r="H63" s="36"/>
      <c r="I63" s="36"/>
      <c r="J63" s="36"/>
      <c r="K63" s="36"/>
      <c r="L63" s="36"/>
      <c r="M63" s="36"/>
      <c r="N63" s="36"/>
      <c r="O63" s="7"/>
      <c r="P63" s="92"/>
      <c r="Q63" s="7"/>
      <c r="R63" s="7"/>
      <c r="S63" s="7"/>
      <c r="T63" s="7"/>
      <c r="U63" s="7"/>
      <c r="V63" s="7"/>
      <c r="W63" s="7"/>
      <c r="X63" s="7"/>
      <c r="Y63" s="7"/>
    </row>
    <row r="64" spans="1:25" ht="15.8" customHeight="1">
      <c r="A64" s="1">
        <f t="shared" si="1"/>
        <v>4</v>
      </c>
      <c r="B64" s="1" t="s">
        <v>291</v>
      </c>
      <c r="C64" s="92" t="s">
        <v>292</v>
      </c>
      <c r="D64" s="92"/>
      <c r="E64" s="92"/>
      <c r="F64" s="67" t="s">
        <v>1</v>
      </c>
      <c r="G64" s="36"/>
      <c r="H64" s="36"/>
      <c r="I64" s="36"/>
      <c r="J64" s="36"/>
      <c r="K64" s="36"/>
      <c r="L64" s="36"/>
      <c r="M64" s="36"/>
      <c r="N64" s="36"/>
      <c r="O64" s="7"/>
      <c r="P64" s="92"/>
      <c r="Q64" s="7"/>
      <c r="R64" s="7"/>
      <c r="S64" s="7"/>
      <c r="T64" s="7"/>
      <c r="U64" s="7"/>
      <c r="V64" s="7"/>
      <c r="W64" s="7"/>
      <c r="X64" s="7"/>
      <c r="Y64" s="7"/>
    </row>
    <row r="65" spans="1:25" ht="15.8" customHeight="1">
      <c r="A65" s="1">
        <f t="shared" si="1"/>
        <v>5</v>
      </c>
      <c r="B65" s="1" t="s">
        <v>295</v>
      </c>
      <c r="C65" s="92" t="s">
        <v>296</v>
      </c>
      <c r="D65" s="92"/>
      <c r="E65" s="92"/>
      <c r="F65" s="67" t="s">
        <v>3</v>
      </c>
      <c r="G65" s="36"/>
      <c r="H65" s="36"/>
      <c r="I65" s="36"/>
      <c r="J65" s="36"/>
      <c r="K65" s="36"/>
      <c r="L65" s="36"/>
      <c r="M65" s="36"/>
      <c r="N65" s="36"/>
      <c r="O65" s="7"/>
      <c r="P65" s="92"/>
      <c r="Q65" s="7"/>
      <c r="R65" s="7"/>
      <c r="S65" s="7"/>
      <c r="T65" s="7"/>
      <c r="U65" s="7"/>
      <c r="V65" s="7"/>
      <c r="W65" s="7"/>
      <c r="X65" s="7"/>
      <c r="Y65" s="7"/>
    </row>
    <row r="66" spans="1:25" ht="15.8" customHeight="1">
      <c r="A66" s="1">
        <f t="shared" si="1"/>
        <v>6</v>
      </c>
      <c r="B66" s="1" t="s">
        <v>299</v>
      </c>
      <c r="C66" s="92" t="s">
        <v>301</v>
      </c>
      <c r="D66" s="92"/>
      <c r="E66" s="92"/>
      <c r="F66" s="67" t="s">
        <v>1</v>
      </c>
      <c r="G66" s="36"/>
      <c r="H66" s="36"/>
      <c r="I66" s="36"/>
      <c r="J66" s="36"/>
      <c r="K66" s="36"/>
      <c r="L66" s="36"/>
      <c r="M66" s="36"/>
      <c r="N66" s="36"/>
      <c r="O66" s="7"/>
      <c r="P66" s="92"/>
      <c r="Q66" s="7"/>
      <c r="R66" s="7"/>
      <c r="S66" s="7"/>
      <c r="T66" s="7"/>
      <c r="U66" s="7"/>
      <c r="V66" s="7"/>
      <c r="W66" s="7"/>
      <c r="X66" s="7"/>
      <c r="Y66" s="7"/>
    </row>
    <row r="67" spans="1:25" ht="15.8" customHeight="1">
      <c r="A67" s="1">
        <f t="shared" si="1"/>
        <v>7</v>
      </c>
      <c r="B67" s="1" t="s">
        <v>304</v>
      </c>
      <c r="C67" s="92" t="s">
        <v>305</v>
      </c>
      <c r="D67" s="92"/>
      <c r="E67" s="92"/>
      <c r="F67" s="67" t="s">
        <v>1</v>
      </c>
      <c r="G67" s="36"/>
      <c r="H67" s="36"/>
      <c r="I67" s="36"/>
      <c r="J67" s="36"/>
      <c r="K67" s="36"/>
      <c r="L67" s="36"/>
      <c r="M67" s="36"/>
      <c r="N67" s="36"/>
      <c r="O67" s="7"/>
      <c r="P67" s="92"/>
      <c r="Q67" s="7"/>
      <c r="R67" s="7"/>
      <c r="S67" s="7"/>
      <c r="T67" s="7"/>
      <c r="U67" s="7"/>
      <c r="V67" s="7"/>
      <c r="W67" s="7"/>
      <c r="X67" s="7"/>
      <c r="Y67" s="7"/>
    </row>
    <row r="68" spans="1:25" ht="15.8" customHeight="1">
      <c r="A68" s="1">
        <f t="shared" si="1"/>
        <v>8</v>
      </c>
      <c r="B68" s="1" t="s">
        <v>309</v>
      </c>
      <c r="C68" s="92" t="s">
        <v>310</v>
      </c>
      <c r="D68" s="92"/>
      <c r="E68" s="92"/>
      <c r="F68" s="67" t="s">
        <v>1</v>
      </c>
      <c r="G68" s="36"/>
      <c r="H68" s="36"/>
      <c r="I68" s="36"/>
      <c r="J68" s="36"/>
      <c r="K68" s="36"/>
      <c r="L68" s="36"/>
      <c r="M68" s="36"/>
      <c r="N68" s="36"/>
      <c r="O68" s="7"/>
      <c r="P68" s="92"/>
      <c r="Q68" s="7"/>
      <c r="R68" s="7"/>
      <c r="S68" s="7"/>
      <c r="T68" s="7"/>
      <c r="U68" s="7"/>
      <c r="V68" s="7"/>
      <c r="W68" s="7"/>
      <c r="X68" s="7"/>
      <c r="Y68" s="7"/>
    </row>
    <row r="69" spans="1:25" ht="15.8" customHeight="1">
      <c r="A69" s="1">
        <f t="shared" si="1"/>
        <v>9</v>
      </c>
      <c r="B69" s="1" t="s">
        <v>312</v>
      </c>
      <c r="C69" s="92" t="s">
        <v>313</v>
      </c>
      <c r="D69" s="92"/>
      <c r="E69" s="92"/>
      <c r="F69" s="67" t="s">
        <v>3</v>
      </c>
      <c r="G69" s="36"/>
      <c r="H69" s="36"/>
      <c r="I69" s="36"/>
      <c r="J69" s="36"/>
      <c r="K69" s="36"/>
      <c r="L69" s="36"/>
      <c r="M69" s="36"/>
      <c r="N69" s="36"/>
      <c r="O69" s="7"/>
      <c r="P69" s="92"/>
      <c r="Q69" s="7"/>
      <c r="R69" s="7"/>
      <c r="S69" s="7"/>
      <c r="T69" s="7"/>
      <c r="U69" s="7"/>
      <c r="V69" s="7"/>
      <c r="W69" s="7"/>
      <c r="X69" s="7"/>
      <c r="Y69" s="7"/>
    </row>
    <row r="70" spans="1:25" ht="15.8" customHeight="1">
      <c r="A70" s="1">
        <f t="shared" si="1"/>
        <v>10</v>
      </c>
      <c r="B70" s="1" t="s">
        <v>315</v>
      </c>
      <c r="C70" s="92" t="s">
        <v>316</v>
      </c>
      <c r="D70" s="92"/>
      <c r="E70" s="92"/>
      <c r="F70" s="67" t="s">
        <v>3</v>
      </c>
      <c r="G70" s="36"/>
      <c r="H70" s="36"/>
      <c r="I70" s="36"/>
      <c r="J70" s="36"/>
      <c r="K70" s="36"/>
      <c r="L70" s="36"/>
      <c r="M70" s="36"/>
      <c r="N70" s="36"/>
      <c r="O70" s="7"/>
      <c r="P70" s="92"/>
      <c r="Q70" s="7"/>
      <c r="R70" s="7"/>
      <c r="S70" s="7"/>
      <c r="T70" s="7"/>
      <c r="U70" s="7"/>
      <c r="V70" s="7"/>
      <c r="W70" s="7"/>
      <c r="X70" s="7"/>
      <c r="Y70" s="7"/>
    </row>
    <row r="71" spans="1:25" ht="15.8" customHeight="1">
      <c r="A71" s="1">
        <f t="shared" si="1"/>
        <v>11</v>
      </c>
      <c r="B71" s="1" t="s">
        <v>319</v>
      </c>
      <c r="C71" s="92" t="s">
        <v>320</v>
      </c>
      <c r="D71" s="92"/>
      <c r="E71" s="92"/>
      <c r="F71" s="67" t="s">
        <v>1</v>
      </c>
      <c r="G71" s="36"/>
      <c r="H71" s="36"/>
      <c r="I71" s="36"/>
      <c r="J71" s="36"/>
      <c r="K71" s="36"/>
      <c r="L71" s="36"/>
      <c r="M71" s="36"/>
      <c r="N71" s="36"/>
      <c r="O71" s="7"/>
      <c r="P71" s="92"/>
      <c r="Q71" s="7"/>
      <c r="R71" s="7"/>
      <c r="S71" s="7"/>
      <c r="T71" s="7"/>
      <c r="U71" s="7"/>
      <c r="V71" s="7"/>
      <c r="W71" s="7"/>
      <c r="X71" s="7"/>
      <c r="Y71" s="7"/>
    </row>
    <row r="72" spans="1:25" ht="15.8" customHeight="1">
      <c r="A72" s="1">
        <f t="shared" si="1"/>
        <v>12</v>
      </c>
      <c r="B72" s="1" t="s">
        <v>322</v>
      </c>
      <c r="C72" s="92" t="s">
        <v>323</v>
      </c>
      <c r="D72" s="92"/>
      <c r="E72" s="92"/>
      <c r="F72" s="67" t="s">
        <v>1</v>
      </c>
      <c r="G72" s="36"/>
      <c r="H72" s="36"/>
      <c r="I72" s="36"/>
      <c r="J72" s="36"/>
      <c r="K72" s="36"/>
      <c r="L72" s="36"/>
      <c r="M72" s="36"/>
      <c r="N72" s="36"/>
      <c r="O72" s="7"/>
      <c r="P72" s="92"/>
      <c r="Q72" s="7"/>
      <c r="R72" s="7"/>
      <c r="S72" s="7"/>
      <c r="T72" s="7"/>
      <c r="U72" s="7"/>
      <c r="V72" s="7"/>
      <c r="W72" s="7"/>
      <c r="X72" s="7"/>
      <c r="Y72" s="7"/>
    </row>
    <row r="73" spans="1:25" ht="15.8" customHeight="1">
      <c r="A73" s="1">
        <f t="shared" si="1"/>
        <v>13</v>
      </c>
      <c r="B73" s="1" t="s">
        <v>325</v>
      </c>
      <c r="C73" s="92" t="s">
        <v>326</v>
      </c>
      <c r="D73" s="92"/>
      <c r="E73" s="92"/>
      <c r="F73" s="67" t="s">
        <v>3</v>
      </c>
      <c r="G73" s="36"/>
      <c r="H73" s="36"/>
      <c r="I73" s="36"/>
      <c r="J73" s="36"/>
      <c r="K73" s="36"/>
      <c r="L73" s="36"/>
      <c r="M73" s="36"/>
      <c r="N73" s="36"/>
      <c r="O73" s="7"/>
      <c r="P73" s="92"/>
      <c r="Q73" s="7"/>
      <c r="R73" s="7"/>
      <c r="S73" s="7"/>
      <c r="T73" s="7"/>
      <c r="U73" s="7"/>
      <c r="V73" s="7"/>
      <c r="W73" s="7"/>
      <c r="X73" s="7"/>
      <c r="Y73" s="7"/>
    </row>
    <row r="74" spans="1:25" ht="15.8" customHeight="1">
      <c r="A74" s="1">
        <f t="shared" si="1"/>
        <v>14</v>
      </c>
      <c r="B74" s="1" t="s">
        <v>328</v>
      </c>
      <c r="C74" s="92" t="s">
        <v>329</v>
      </c>
      <c r="D74" s="92"/>
      <c r="E74" s="92"/>
      <c r="F74" s="67" t="s">
        <v>1</v>
      </c>
      <c r="G74" s="36"/>
      <c r="H74" s="36"/>
      <c r="I74" s="36"/>
      <c r="J74" s="36"/>
      <c r="K74" s="36"/>
      <c r="L74" s="36"/>
      <c r="M74" s="36"/>
      <c r="N74" s="36"/>
      <c r="O74" s="7"/>
      <c r="P74" s="92"/>
      <c r="Q74" s="7"/>
      <c r="R74" s="7"/>
      <c r="S74" s="7"/>
      <c r="T74" s="7"/>
      <c r="U74" s="7"/>
      <c r="V74" s="7"/>
      <c r="W74" s="7"/>
      <c r="X74" s="7"/>
      <c r="Y74" s="7"/>
    </row>
    <row r="75" spans="1:25" ht="15.8" customHeight="1">
      <c r="A75" s="1">
        <f t="shared" si="1"/>
        <v>15</v>
      </c>
      <c r="B75" s="1" t="s">
        <v>332</v>
      </c>
      <c r="C75" s="92" t="s">
        <v>333</v>
      </c>
      <c r="D75" s="92"/>
      <c r="E75" s="92"/>
      <c r="F75" s="67" t="s">
        <v>1</v>
      </c>
      <c r="G75" s="36"/>
      <c r="H75" s="36"/>
      <c r="I75" s="36"/>
      <c r="J75" s="36"/>
      <c r="K75" s="36"/>
      <c r="L75" s="36"/>
      <c r="M75" s="36"/>
      <c r="N75" s="36"/>
      <c r="O75" s="7"/>
      <c r="P75" s="92"/>
      <c r="Q75" s="7"/>
      <c r="R75" s="7"/>
      <c r="S75" s="7"/>
      <c r="T75" s="7"/>
      <c r="U75" s="7"/>
      <c r="V75" s="7"/>
      <c r="W75" s="7"/>
      <c r="X75" s="7"/>
      <c r="Y75" s="7"/>
    </row>
    <row r="76" spans="1:25" ht="15.8" customHeight="1">
      <c r="A76" s="1">
        <f t="shared" si="1"/>
        <v>16</v>
      </c>
      <c r="B76" s="1" t="s">
        <v>334</v>
      </c>
      <c r="C76" s="92" t="s">
        <v>335</v>
      </c>
      <c r="D76" s="92"/>
      <c r="E76" s="92"/>
      <c r="F76" s="67" t="s">
        <v>1</v>
      </c>
      <c r="G76" s="36"/>
      <c r="H76" s="36"/>
      <c r="I76" s="36"/>
      <c r="J76" s="36"/>
      <c r="K76" s="36"/>
      <c r="L76" s="36"/>
      <c r="M76" s="36"/>
      <c r="N76" s="36"/>
      <c r="O76" s="7"/>
      <c r="P76" s="92"/>
      <c r="Q76" s="7"/>
      <c r="R76" s="7"/>
      <c r="S76" s="7"/>
      <c r="T76" s="7"/>
      <c r="U76" s="7"/>
      <c r="V76" s="7"/>
      <c r="W76" s="7"/>
      <c r="X76" s="7"/>
      <c r="Y76" s="7"/>
    </row>
    <row r="77" spans="1:25" ht="15.8" customHeight="1">
      <c r="A77" s="1">
        <f t="shared" si="1"/>
        <v>17</v>
      </c>
      <c r="B77" s="1" t="s">
        <v>337</v>
      </c>
      <c r="C77" s="92" t="s">
        <v>338</v>
      </c>
      <c r="D77" s="92"/>
      <c r="E77" s="92"/>
      <c r="F77" s="67" t="s">
        <v>1</v>
      </c>
      <c r="G77" s="36"/>
      <c r="H77" s="36"/>
      <c r="I77" s="36"/>
      <c r="J77" s="36"/>
      <c r="K77" s="36"/>
      <c r="L77" s="36"/>
      <c r="M77" s="36"/>
      <c r="N77" s="36"/>
      <c r="O77" s="7"/>
      <c r="P77" s="92"/>
      <c r="Q77" s="7"/>
      <c r="R77" s="7"/>
      <c r="S77" s="7"/>
      <c r="T77" s="7"/>
      <c r="U77" s="7"/>
      <c r="V77" s="7"/>
      <c r="W77" s="7"/>
      <c r="X77" s="7"/>
      <c r="Y77" s="7"/>
    </row>
    <row r="78" spans="1:25" ht="15.8" customHeight="1">
      <c r="A78" s="1">
        <f t="shared" si="1"/>
        <v>18</v>
      </c>
      <c r="B78" s="1" t="s">
        <v>340</v>
      </c>
      <c r="C78" s="92" t="s">
        <v>341</v>
      </c>
      <c r="D78" s="92"/>
      <c r="E78" s="92"/>
      <c r="F78" s="67" t="s">
        <v>1</v>
      </c>
      <c r="G78" s="36"/>
      <c r="H78" s="36"/>
      <c r="I78" s="36"/>
      <c r="J78" s="36"/>
      <c r="K78" s="36"/>
      <c r="L78" s="36"/>
      <c r="M78" s="36"/>
      <c r="N78" s="36"/>
      <c r="O78" s="7"/>
      <c r="P78" s="92"/>
      <c r="Q78" s="7"/>
      <c r="R78" s="7"/>
      <c r="S78" s="7"/>
      <c r="T78" s="7"/>
      <c r="U78" s="7"/>
      <c r="V78" s="7"/>
      <c r="W78" s="7"/>
      <c r="X78" s="7"/>
      <c r="Y78" s="7"/>
    </row>
    <row r="79" spans="1:25" ht="15.8" customHeight="1">
      <c r="A79" s="1">
        <f t="shared" si="1"/>
        <v>19</v>
      </c>
      <c r="B79" s="1" t="s">
        <v>343</v>
      </c>
      <c r="C79" s="92" t="s">
        <v>344</v>
      </c>
      <c r="D79" s="92"/>
      <c r="E79" s="92"/>
      <c r="F79" s="67" t="s">
        <v>1</v>
      </c>
      <c r="G79" s="36"/>
      <c r="H79" s="36"/>
      <c r="I79" s="36"/>
      <c r="J79" s="36"/>
      <c r="K79" s="36"/>
      <c r="L79" s="36"/>
      <c r="M79" s="36"/>
      <c r="N79" s="1"/>
      <c r="O79" s="7"/>
      <c r="P79" s="92"/>
      <c r="Q79" s="7"/>
      <c r="R79" s="7"/>
      <c r="S79" s="7"/>
      <c r="T79" s="7"/>
      <c r="U79" s="7"/>
      <c r="V79" s="7"/>
      <c r="W79" s="7"/>
      <c r="X79" s="7"/>
      <c r="Y79" s="7"/>
    </row>
    <row r="80" spans="1:25" ht="15.8" customHeight="1">
      <c r="A80" s="1">
        <f t="shared" si="1"/>
        <v>20</v>
      </c>
      <c r="B80" s="1" t="s">
        <v>346</v>
      </c>
      <c r="C80" s="92" t="s">
        <v>348</v>
      </c>
      <c r="D80" s="92"/>
      <c r="E80" s="92"/>
      <c r="F80" s="67" t="s">
        <v>3</v>
      </c>
      <c r="G80" s="36"/>
      <c r="H80" s="36"/>
      <c r="I80" s="36"/>
      <c r="J80" s="36"/>
      <c r="K80" s="36"/>
      <c r="L80" s="36"/>
      <c r="M80" s="36"/>
      <c r="N80" s="36"/>
      <c r="O80" s="7"/>
      <c r="P80" s="92"/>
      <c r="Q80" s="7"/>
      <c r="R80" s="7"/>
      <c r="S80" s="7"/>
      <c r="T80" s="7"/>
      <c r="U80" s="7"/>
      <c r="V80" s="7"/>
      <c r="W80" s="7"/>
      <c r="X80" s="7"/>
      <c r="Y80" s="7"/>
    </row>
    <row r="81" spans="1:39" ht="15.8" customHeight="1">
      <c r="A81" s="1">
        <f t="shared" si="1"/>
        <v>21</v>
      </c>
      <c r="B81" s="104" t="s">
        <v>350</v>
      </c>
      <c r="C81" s="92" t="s">
        <v>351</v>
      </c>
      <c r="D81" s="92"/>
      <c r="E81" s="92"/>
      <c r="F81" s="67" t="s">
        <v>1</v>
      </c>
      <c r="G81" s="36"/>
      <c r="H81" s="36"/>
      <c r="I81" s="36"/>
      <c r="J81" s="36"/>
      <c r="K81" s="36"/>
      <c r="L81" s="36"/>
      <c r="M81" s="36"/>
      <c r="N81" s="36"/>
      <c r="O81" s="7"/>
      <c r="P81" s="92"/>
      <c r="Q81" s="7"/>
      <c r="R81" s="7"/>
      <c r="S81" s="7"/>
      <c r="T81" s="7"/>
      <c r="U81" s="7"/>
      <c r="V81" s="7"/>
      <c r="W81" s="7"/>
      <c r="X81" s="7"/>
      <c r="Y81" s="7"/>
    </row>
    <row r="82" spans="1:39" ht="15.8" customHeight="1">
      <c r="A82" s="1">
        <f t="shared" si="1"/>
        <v>22</v>
      </c>
      <c r="B82" s="1" t="s">
        <v>353</v>
      </c>
      <c r="C82" s="92" t="s">
        <v>354</v>
      </c>
      <c r="D82" s="92"/>
      <c r="E82" s="92"/>
      <c r="F82" s="67" t="s">
        <v>1</v>
      </c>
      <c r="G82" s="36"/>
      <c r="H82" s="36"/>
      <c r="I82" s="36"/>
      <c r="J82" s="36"/>
      <c r="K82" s="36"/>
      <c r="L82" s="36"/>
      <c r="M82" s="36"/>
      <c r="N82" s="36"/>
      <c r="O82" s="7"/>
      <c r="P82" s="92"/>
      <c r="Q82" s="7"/>
      <c r="R82" s="7"/>
      <c r="S82" s="7"/>
      <c r="T82" s="7"/>
      <c r="U82" s="7"/>
      <c r="V82" s="7"/>
      <c r="W82" s="7"/>
      <c r="X82" s="7"/>
      <c r="Y82" s="7"/>
    </row>
    <row r="83" spans="1:39" ht="15.8" customHeight="1">
      <c r="A83" s="1">
        <f t="shared" si="1"/>
        <v>23</v>
      </c>
      <c r="B83" s="1" t="s">
        <v>356</v>
      </c>
      <c r="C83" s="92" t="s">
        <v>357</v>
      </c>
      <c r="D83" s="92"/>
      <c r="E83" s="92"/>
      <c r="F83" s="67" t="s">
        <v>1</v>
      </c>
      <c r="G83" s="36"/>
      <c r="H83" s="36"/>
      <c r="I83" s="36"/>
      <c r="J83" s="36"/>
      <c r="K83" s="36"/>
      <c r="L83" s="36"/>
      <c r="M83" s="36"/>
      <c r="N83" s="36"/>
      <c r="O83" s="7"/>
      <c r="P83" s="92"/>
      <c r="Q83" s="7"/>
      <c r="R83" s="7"/>
      <c r="S83" s="7"/>
      <c r="T83" s="7"/>
      <c r="U83" s="7"/>
      <c r="V83" s="7"/>
      <c r="W83" s="7"/>
      <c r="X83" s="7"/>
      <c r="Y83" s="7"/>
    </row>
    <row r="84" spans="1:39" ht="15.8" customHeight="1">
      <c r="A84" s="1">
        <f t="shared" si="1"/>
        <v>24</v>
      </c>
      <c r="B84" s="1" t="s">
        <v>359</v>
      </c>
      <c r="C84" s="92" t="s">
        <v>360</v>
      </c>
      <c r="D84" s="92"/>
      <c r="E84" s="92"/>
      <c r="F84" s="67" t="s">
        <v>3</v>
      </c>
      <c r="G84" s="36"/>
      <c r="H84" s="36"/>
      <c r="I84" s="36"/>
      <c r="J84" s="36"/>
      <c r="K84" s="36"/>
      <c r="L84" s="36"/>
      <c r="M84" s="36"/>
      <c r="N84" s="36"/>
      <c r="O84" s="7"/>
      <c r="P84" s="92"/>
      <c r="Q84" s="7"/>
      <c r="R84" s="7"/>
      <c r="S84" s="7"/>
      <c r="T84" s="7"/>
      <c r="U84" s="7"/>
      <c r="V84" s="7"/>
      <c r="W84" s="7"/>
      <c r="X84" s="7"/>
      <c r="Y84" s="7"/>
    </row>
    <row r="85" spans="1:39" ht="15.8" customHeight="1">
      <c r="A85" s="1">
        <f t="shared" si="1"/>
        <v>25</v>
      </c>
      <c r="B85" s="1" t="s">
        <v>362</v>
      </c>
      <c r="C85" s="92" t="s">
        <v>363</v>
      </c>
      <c r="D85" s="92"/>
      <c r="E85" s="92"/>
      <c r="F85" s="67" t="s">
        <v>1</v>
      </c>
      <c r="G85" s="36"/>
      <c r="H85" s="36"/>
      <c r="I85" s="36"/>
      <c r="J85" s="36"/>
      <c r="K85" s="36"/>
      <c r="L85" s="36"/>
      <c r="M85" s="36"/>
      <c r="N85" s="36"/>
      <c r="O85" s="7"/>
      <c r="P85" s="92"/>
      <c r="Q85" s="7"/>
      <c r="R85" s="7"/>
      <c r="S85" s="7"/>
      <c r="T85" s="7"/>
      <c r="U85" s="7"/>
      <c r="V85" s="7"/>
      <c r="W85" s="7"/>
      <c r="X85" s="7"/>
      <c r="Y85" s="7"/>
    </row>
    <row r="86" spans="1:39" ht="15.8" customHeight="1">
      <c r="A86" s="1">
        <f t="shared" si="1"/>
        <v>26</v>
      </c>
      <c r="B86" s="1" t="s">
        <v>365</v>
      </c>
      <c r="C86" s="92" t="s">
        <v>367</v>
      </c>
      <c r="D86" s="92"/>
      <c r="E86" s="92"/>
      <c r="F86" s="67" t="s">
        <v>3</v>
      </c>
      <c r="G86" s="36"/>
      <c r="H86" s="36"/>
      <c r="I86" s="36"/>
      <c r="J86" s="36"/>
      <c r="K86" s="36"/>
      <c r="L86" s="36"/>
      <c r="M86" s="36"/>
      <c r="N86" s="36"/>
      <c r="O86" s="7"/>
      <c r="P86" s="92"/>
      <c r="Q86" s="7"/>
      <c r="R86" s="7"/>
      <c r="S86" s="7"/>
      <c r="T86" s="7"/>
      <c r="U86" s="7"/>
      <c r="V86" s="7"/>
      <c r="W86" s="7"/>
      <c r="X86" s="7"/>
      <c r="Y86" s="7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</row>
    <row r="87" spans="1:39" ht="15.8" customHeight="1">
      <c r="A87" s="83">
        <f t="shared" si="1"/>
        <v>27</v>
      </c>
      <c r="B87" s="83" t="s">
        <v>232</v>
      </c>
      <c r="C87" s="92" t="s">
        <v>369</v>
      </c>
      <c r="D87" s="92"/>
      <c r="E87" s="92"/>
      <c r="F87" s="67" t="s">
        <v>1</v>
      </c>
      <c r="G87" s="85"/>
      <c r="H87" s="36"/>
      <c r="I87" s="36"/>
      <c r="J87" s="36"/>
      <c r="K87" s="36"/>
      <c r="L87" s="36"/>
      <c r="M87" s="36"/>
      <c r="N87" s="36"/>
      <c r="O87" s="7"/>
      <c r="P87" s="92"/>
      <c r="Q87" s="7"/>
      <c r="R87" s="7"/>
      <c r="S87" s="7"/>
      <c r="T87" s="7"/>
      <c r="U87" s="7"/>
      <c r="V87" s="7"/>
      <c r="W87" s="7"/>
      <c r="X87" s="7"/>
      <c r="Y87" s="7"/>
    </row>
    <row r="88" spans="1:39" ht="15.8" customHeight="1">
      <c r="A88" s="1">
        <f t="shared" si="1"/>
        <v>28</v>
      </c>
      <c r="B88" s="107"/>
      <c r="C88" s="208"/>
      <c r="D88" s="186"/>
      <c r="E88" s="177"/>
      <c r="F88" s="107"/>
      <c r="G88" s="36"/>
      <c r="H88" s="40"/>
      <c r="I88" s="36"/>
      <c r="J88" s="36"/>
      <c r="K88" s="36"/>
      <c r="L88" s="36"/>
      <c r="M88" s="36"/>
      <c r="N88" s="36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spans="1:39" ht="15.8" customHeight="1">
      <c r="A89" s="1">
        <f t="shared" si="1"/>
        <v>29</v>
      </c>
      <c r="B89" s="1"/>
      <c r="C89" s="207"/>
      <c r="D89" s="186"/>
      <c r="E89" s="177"/>
      <c r="F89" s="1"/>
      <c r="G89" s="36"/>
      <c r="H89" s="40"/>
      <c r="I89" s="36"/>
      <c r="J89" s="36"/>
      <c r="K89" s="36"/>
      <c r="L89" s="36"/>
      <c r="M89" s="36"/>
      <c r="N89" s="36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spans="1:39" ht="15.8" customHeight="1">
      <c r="A90" s="1">
        <f t="shared" si="1"/>
        <v>30</v>
      </c>
      <c r="B90" s="1"/>
      <c r="C90" s="207"/>
      <c r="D90" s="186"/>
      <c r="E90" s="177"/>
      <c r="F90" s="1"/>
      <c r="G90" s="36"/>
      <c r="H90" s="40"/>
      <c r="I90" s="36"/>
      <c r="J90" s="36"/>
      <c r="K90" s="36"/>
      <c r="L90" s="36"/>
      <c r="M90" s="36"/>
      <c r="N90" s="36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spans="1:39" ht="15.8" customHeight="1">
      <c r="A91" s="107"/>
      <c r="B91" s="1"/>
      <c r="C91" s="207"/>
      <c r="D91" s="186"/>
      <c r="E91" s="177"/>
      <c r="F91" s="1"/>
      <c r="G91" s="36"/>
      <c r="H91" s="40"/>
      <c r="I91" s="36"/>
      <c r="J91" s="36"/>
      <c r="K91" s="36"/>
      <c r="L91" s="36"/>
      <c r="M91" s="36"/>
      <c r="N91" s="36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spans="1:39" ht="15.8" customHeight="1">
      <c r="A92" s="79"/>
      <c r="B92" s="79"/>
      <c r="C92" s="20"/>
      <c r="D92" s="20"/>
      <c r="E92" s="20"/>
      <c r="F92" s="80" t="s">
        <v>1</v>
      </c>
      <c r="G92" s="80">
        <f>COUNTIF(F61:F91,"L")</f>
        <v>20</v>
      </c>
      <c r="H92" s="20"/>
      <c r="I92" s="20"/>
      <c r="J92" s="20"/>
      <c r="K92" s="20"/>
      <c r="L92" s="20"/>
      <c r="M92" s="20"/>
      <c r="N92" s="20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spans="1:39" ht="15.8" customHeight="1">
      <c r="A93" s="79"/>
      <c r="B93" s="79"/>
      <c r="C93" s="20"/>
      <c r="D93" s="20"/>
      <c r="E93" s="20"/>
      <c r="F93" s="30" t="s">
        <v>3</v>
      </c>
      <c r="G93" s="30">
        <f>COUNTIF(F61:F91,"P")</f>
        <v>7</v>
      </c>
      <c r="H93" s="20"/>
      <c r="I93" s="20"/>
      <c r="J93" s="20"/>
      <c r="K93" s="20"/>
      <c r="L93" s="20"/>
      <c r="M93" s="20"/>
      <c r="N93" s="20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spans="1:39" ht="15.8" customHeight="1">
      <c r="A94" s="79"/>
      <c r="B94" s="79"/>
      <c r="C94" s="20"/>
      <c r="D94" s="20"/>
      <c r="E94" s="20"/>
      <c r="F94" s="81" t="s">
        <v>251</v>
      </c>
      <c r="G94" s="81">
        <f>SUM(G92:G93)</f>
        <v>27</v>
      </c>
      <c r="H94" s="20"/>
      <c r="I94" s="20"/>
      <c r="J94" s="20"/>
      <c r="K94" s="20"/>
      <c r="L94" s="20"/>
      <c r="M94" s="20"/>
      <c r="N94" s="20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spans="1:39" ht="15.8" customHeight="1">
      <c r="A95" s="20"/>
      <c r="B95" s="6"/>
      <c r="C95" s="20"/>
      <c r="D95" s="20"/>
      <c r="E95" s="20"/>
      <c r="F95" s="6"/>
      <c r="G95" s="6"/>
      <c r="H95" s="6"/>
      <c r="I95" s="82" t="s">
        <v>254</v>
      </c>
      <c r="J95" s="6"/>
      <c r="K95" s="6"/>
      <c r="L95" s="6"/>
      <c r="M95" s="6"/>
      <c r="N95" s="6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spans="1:39" ht="15.8" customHeight="1">
      <c r="A96" s="20"/>
      <c r="B96" s="6"/>
      <c r="C96" s="20"/>
      <c r="D96" s="20"/>
      <c r="E96" s="20"/>
      <c r="F96" s="6"/>
      <c r="G96" s="6"/>
      <c r="H96" s="6"/>
      <c r="I96" s="6" t="s">
        <v>256</v>
      </c>
      <c r="J96" s="6"/>
      <c r="K96" s="6"/>
      <c r="L96" s="6"/>
      <c r="M96" s="6"/>
      <c r="N96" s="6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spans="1:25" ht="15.8" customHeight="1">
      <c r="A97" s="20"/>
      <c r="B97" s="6"/>
      <c r="C97" s="20"/>
      <c r="D97" s="20"/>
      <c r="E97" s="20"/>
      <c r="F97" s="20"/>
      <c r="G97" s="20"/>
      <c r="H97" s="20"/>
      <c r="I97" s="6"/>
      <c r="J97" s="6"/>
      <c r="K97" s="6"/>
      <c r="L97" s="6"/>
      <c r="M97" s="6"/>
      <c r="N97" s="6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spans="1:25" ht="15.8" customHeight="1">
      <c r="A98" s="20"/>
      <c r="B98" s="6"/>
      <c r="C98" s="20"/>
      <c r="D98" s="20"/>
      <c r="E98" s="20"/>
      <c r="F98" s="20"/>
      <c r="G98" s="20"/>
      <c r="H98" s="20"/>
      <c r="I98" s="6"/>
      <c r="J98" s="6"/>
      <c r="K98" s="6"/>
      <c r="L98" s="6"/>
      <c r="M98" s="6"/>
      <c r="N98" s="6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spans="1:25" ht="15.8" customHeight="1">
      <c r="A99" s="24"/>
      <c r="B99" s="6"/>
      <c r="C99" s="6"/>
      <c r="D99" s="6"/>
      <c r="E99" s="86"/>
      <c r="F99" s="6"/>
      <c r="G99" s="6"/>
      <c r="H99" s="20"/>
      <c r="I99" s="87"/>
      <c r="J99" s="87"/>
      <c r="K99" s="87"/>
      <c r="L99" s="87"/>
      <c r="M99" s="87"/>
      <c r="N99" s="8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spans="1:25" ht="15.8" customHeight="1">
      <c r="A100" s="41"/>
      <c r="B100" s="41"/>
      <c r="C100" s="20"/>
      <c r="D100" s="20"/>
      <c r="E100" s="20"/>
      <c r="F100" s="20"/>
      <c r="G100" s="20"/>
      <c r="H100" s="20" t="s">
        <v>266</v>
      </c>
      <c r="I100" s="6"/>
      <c r="J100" s="6"/>
      <c r="K100" s="6"/>
      <c r="L100" s="6"/>
      <c r="M100" s="6"/>
      <c r="N100" s="6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spans="1:25" ht="15.8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spans="1:25" ht="15.8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spans="1:25" ht="15.8" customHeight="1">
      <c r="A103" s="16" t="s">
        <v>79</v>
      </c>
      <c r="B103" s="16"/>
      <c r="C103" s="4" t="s">
        <v>392</v>
      </c>
      <c r="D103" s="16"/>
      <c r="E103" s="22"/>
      <c r="F103" s="19"/>
      <c r="G103" s="17"/>
      <c r="H103" s="19" t="s">
        <v>108</v>
      </c>
      <c r="I103" s="17"/>
      <c r="J103" s="17"/>
      <c r="K103" s="17"/>
      <c r="L103" s="17"/>
      <c r="M103" s="20"/>
      <c r="N103" s="20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spans="1:25" ht="15.8" customHeight="1">
      <c r="A104" s="20"/>
      <c r="B104" s="24"/>
      <c r="C104" s="24"/>
      <c r="D104" s="24"/>
      <c r="E104" s="25"/>
      <c r="F104" s="55"/>
      <c r="G104" s="20"/>
      <c r="H104" s="26"/>
      <c r="I104" s="27"/>
      <c r="J104" s="27"/>
      <c r="K104" s="27"/>
      <c r="L104" s="27"/>
      <c r="M104" s="27"/>
      <c r="N104" s="2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spans="1:25" ht="15.8" customHeight="1">
      <c r="A105" s="176" t="s">
        <v>84</v>
      </c>
      <c r="B105" s="177"/>
      <c r="C105" s="178" t="s">
        <v>85</v>
      </c>
      <c r="D105" s="179"/>
      <c r="E105" s="180"/>
      <c r="F105" s="184" t="s">
        <v>86</v>
      </c>
      <c r="G105" s="176" t="s">
        <v>87</v>
      </c>
      <c r="H105" s="186"/>
      <c r="I105" s="186"/>
      <c r="J105" s="186"/>
      <c r="K105" s="186"/>
      <c r="L105" s="186"/>
      <c r="M105" s="177"/>
      <c r="N105" s="184" t="s">
        <v>88</v>
      </c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spans="1:25" ht="15.8" customHeight="1">
      <c r="A106" s="28" t="s">
        <v>90</v>
      </c>
      <c r="B106" s="28" t="s">
        <v>91</v>
      </c>
      <c r="C106" s="181"/>
      <c r="D106" s="182"/>
      <c r="E106" s="183"/>
      <c r="F106" s="185"/>
      <c r="G106" s="28"/>
      <c r="H106" s="28"/>
      <c r="I106" s="28"/>
      <c r="J106" s="28"/>
      <c r="K106" s="28"/>
      <c r="L106" s="28"/>
      <c r="M106" s="28"/>
      <c r="N106" s="185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spans="1:25" ht="15.8" customHeight="1">
      <c r="A107" s="1">
        <v>1</v>
      </c>
      <c r="B107" s="110" t="s">
        <v>399</v>
      </c>
      <c r="C107" s="209" t="s">
        <v>400</v>
      </c>
      <c r="D107" s="186"/>
      <c r="E107" s="177"/>
      <c r="F107" s="67" t="s">
        <v>3</v>
      </c>
      <c r="G107" s="36"/>
      <c r="H107" s="36"/>
      <c r="I107" s="36"/>
      <c r="J107" s="36"/>
      <c r="K107" s="36"/>
      <c r="L107" s="36"/>
      <c r="M107" s="36"/>
      <c r="N107" s="36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spans="1:25" ht="15.8" customHeight="1">
      <c r="A108" s="1">
        <f t="shared" ref="A108:A140" si="2">A107+1</f>
        <v>2</v>
      </c>
      <c r="B108" s="110" t="s">
        <v>404</v>
      </c>
      <c r="C108" s="209" t="s">
        <v>405</v>
      </c>
      <c r="D108" s="186"/>
      <c r="E108" s="177"/>
      <c r="F108" s="67" t="s">
        <v>1</v>
      </c>
      <c r="G108" s="36"/>
      <c r="H108" s="36"/>
      <c r="I108" s="36"/>
      <c r="J108" s="36"/>
      <c r="K108" s="36"/>
      <c r="L108" s="36"/>
      <c r="M108" s="36"/>
      <c r="N108" s="36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spans="1:25" ht="15.8" customHeight="1">
      <c r="A109" s="1">
        <f t="shared" si="2"/>
        <v>3</v>
      </c>
      <c r="B109" s="111" t="s">
        <v>408</v>
      </c>
      <c r="C109" s="209" t="s">
        <v>409</v>
      </c>
      <c r="D109" s="186"/>
      <c r="E109" s="177"/>
      <c r="F109" s="67" t="s">
        <v>3</v>
      </c>
      <c r="G109" s="36"/>
      <c r="H109" s="36"/>
      <c r="I109" s="36"/>
      <c r="J109" s="36"/>
      <c r="K109" s="36"/>
      <c r="L109" s="36"/>
      <c r="M109" s="36"/>
      <c r="N109" s="36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spans="1:25" ht="15.8" customHeight="1">
      <c r="A110" s="1">
        <f t="shared" si="2"/>
        <v>4</v>
      </c>
      <c r="B110" s="110" t="s">
        <v>412</v>
      </c>
      <c r="C110" s="209" t="s">
        <v>413</v>
      </c>
      <c r="D110" s="186"/>
      <c r="E110" s="177"/>
      <c r="F110" s="67" t="s">
        <v>1</v>
      </c>
      <c r="G110" s="36"/>
      <c r="H110" s="36"/>
      <c r="I110" s="36"/>
      <c r="J110" s="36"/>
      <c r="K110" s="36"/>
      <c r="L110" s="36"/>
      <c r="M110" s="36"/>
      <c r="N110" s="36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spans="1:25" ht="15.8" customHeight="1">
      <c r="A111" s="1">
        <f t="shared" si="2"/>
        <v>5</v>
      </c>
      <c r="B111" s="110" t="s">
        <v>415</v>
      </c>
      <c r="C111" s="209" t="s">
        <v>416</v>
      </c>
      <c r="D111" s="186"/>
      <c r="E111" s="177"/>
      <c r="F111" s="67" t="s">
        <v>3</v>
      </c>
      <c r="G111" s="36"/>
      <c r="H111" s="36"/>
      <c r="I111" s="36"/>
      <c r="J111" s="36"/>
      <c r="K111" s="36"/>
      <c r="L111" s="36"/>
      <c r="M111" s="36"/>
      <c r="N111" s="36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spans="1:25" ht="15.8" customHeight="1">
      <c r="A112" s="1">
        <f t="shared" si="2"/>
        <v>6</v>
      </c>
      <c r="B112" s="110" t="s">
        <v>419</v>
      </c>
      <c r="C112" s="209" t="s">
        <v>420</v>
      </c>
      <c r="D112" s="186"/>
      <c r="E112" s="177"/>
      <c r="F112" s="67" t="s">
        <v>3</v>
      </c>
      <c r="G112" s="36"/>
      <c r="H112" s="36"/>
      <c r="I112" s="36"/>
      <c r="J112" s="36"/>
      <c r="K112" s="36"/>
      <c r="L112" s="36"/>
      <c r="M112" s="36"/>
      <c r="N112" s="36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spans="1:25" ht="15.8" customHeight="1">
      <c r="A113" s="1">
        <f t="shared" si="2"/>
        <v>7</v>
      </c>
      <c r="B113" s="110" t="s">
        <v>422</v>
      </c>
      <c r="C113" s="209" t="s">
        <v>423</v>
      </c>
      <c r="D113" s="186"/>
      <c r="E113" s="177"/>
      <c r="F113" s="67" t="s">
        <v>3</v>
      </c>
      <c r="G113" s="36"/>
      <c r="H113" s="36"/>
      <c r="I113" s="36"/>
      <c r="J113" s="36"/>
      <c r="K113" s="36"/>
      <c r="L113" s="36"/>
      <c r="M113" s="36"/>
      <c r="N113" s="36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spans="1:25" ht="15.8" customHeight="1">
      <c r="A114" s="1">
        <f t="shared" si="2"/>
        <v>8</v>
      </c>
      <c r="B114" s="110" t="s">
        <v>427</v>
      </c>
      <c r="C114" s="209" t="s">
        <v>428</v>
      </c>
      <c r="D114" s="186"/>
      <c r="E114" s="177"/>
      <c r="F114" s="67" t="s">
        <v>3</v>
      </c>
      <c r="G114" s="36"/>
      <c r="H114" s="36"/>
      <c r="I114" s="36"/>
      <c r="J114" s="36"/>
      <c r="K114" s="36"/>
      <c r="L114" s="36"/>
      <c r="M114" s="36"/>
      <c r="N114" s="36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spans="1:25" ht="15.8" customHeight="1">
      <c r="A115" s="1">
        <f t="shared" si="2"/>
        <v>9</v>
      </c>
      <c r="B115" s="110" t="s">
        <v>432</v>
      </c>
      <c r="C115" s="209" t="s">
        <v>433</v>
      </c>
      <c r="D115" s="186"/>
      <c r="E115" s="177"/>
      <c r="F115" s="67" t="s">
        <v>1</v>
      </c>
      <c r="G115" s="36"/>
      <c r="H115" s="36"/>
      <c r="I115" s="36"/>
      <c r="J115" s="36"/>
      <c r="K115" s="36"/>
      <c r="L115" s="36"/>
      <c r="M115" s="36"/>
      <c r="N115" s="36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25" ht="15.8" customHeight="1">
      <c r="A116" s="1">
        <f t="shared" si="2"/>
        <v>10</v>
      </c>
      <c r="B116" s="110" t="s">
        <v>435</v>
      </c>
      <c r="C116" s="209" t="s">
        <v>436</v>
      </c>
      <c r="D116" s="186"/>
      <c r="E116" s="177"/>
      <c r="F116" s="67" t="s">
        <v>1</v>
      </c>
      <c r="G116" s="36"/>
      <c r="H116" s="36"/>
      <c r="I116" s="36"/>
      <c r="J116" s="36"/>
      <c r="K116" s="36"/>
      <c r="L116" s="36"/>
      <c r="M116" s="36"/>
      <c r="N116" s="36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25" ht="15.8" customHeight="1">
      <c r="A117" s="1">
        <f t="shared" si="2"/>
        <v>11</v>
      </c>
      <c r="B117" s="38" t="s">
        <v>439</v>
      </c>
      <c r="C117" s="209" t="s">
        <v>440</v>
      </c>
      <c r="D117" s="186"/>
      <c r="E117" s="177"/>
      <c r="F117" s="67" t="s">
        <v>3</v>
      </c>
      <c r="G117" s="36"/>
      <c r="H117" s="36"/>
      <c r="I117" s="36"/>
      <c r="J117" s="36"/>
      <c r="K117" s="36"/>
      <c r="L117" s="36"/>
      <c r="M117" s="36"/>
      <c r="N117" s="36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spans="1:25" ht="15.8" customHeight="1">
      <c r="A118" s="1">
        <f t="shared" si="2"/>
        <v>12</v>
      </c>
      <c r="B118" s="110" t="s">
        <v>443</v>
      </c>
      <c r="C118" s="209" t="s">
        <v>444</v>
      </c>
      <c r="D118" s="186"/>
      <c r="E118" s="177"/>
      <c r="F118" s="67" t="s">
        <v>1</v>
      </c>
      <c r="G118" s="36"/>
      <c r="H118" s="36"/>
      <c r="I118" s="36"/>
      <c r="J118" s="36"/>
      <c r="K118" s="36"/>
      <c r="L118" s="36"/>
      <c r="M118" s="36"/>
      <c r="N118" s="36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spans="1:25" ht="15.8" customHeight="1">
      <c r="A119" s="1">
        <f t="shared" si="2"/>
        <v>13</v>
      </c>
      <c r="B119" s="110" t="s">
        <v>446</v>
      </c>
      <c r="C119" s="209" t="s">
        <v>447</v>
      </c>
      <c r="D119" s="186"/>
      <c r="E119" s="177"/>
      <c r="F119" s="67" t="s">
        <v>1</v>
      </c>
      <c r="G119" s="36"/>
      <c r="H119" s="36"/>
      <c r="I119" s="36"/>
      <c r="J119" s="36"/>
      <c r="K119" s="36"/>
      <c r="L119" s="36"/>
      <c r="M119" s="36"/>
      <c r="N119" s="36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spans="1:25" ht="15.8" customHeight="1">
      <c r="A120" s="1">
        <f t="shared" si="2"/>
        <v>14</v>
      </c>
      <c r="B120" s="110" t="s">
        <v>450</v>
      </c>
      <c r="C120" s="209" t="s">
        <v>451</v>
      </c>
      <c r="D120" s="186"/>
      <c r="E120" s="177"/>
      <c r="F120" s="67" t="s">
        <v>3</v>
      </c>
      <c r="G120" s="36"/>
      <c r="H120" s="36"/>
      <c r="I120" s="36"/>
      <c r="J120" s="36"/>
      <c r="K120" s="36"/>
      <c r="L120" s="36"/>
      <c r="M120" s="36"/>
      <c r="N120" s="36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spans="1:25" ht="15.8" customHeight="1">
      <c r="A121" s="1">
        <f t="shared" si="2"/>
        <v>15</v>
      </c>
      <c r="B121" s="110" t="s">
        <v>454</v>
      </c>
      <c r="C121" s="209" t="s">
        <v>455</v>
      </c>
      <c r="D121" s="186"/>
      <c r="E121" s="177"/>
      <c r="F121" s="67" t="s">
        <v>1</v>
      </c>
      <c r="G121" s="36"/>
      <c r="H121" s="36"/>
      <c r="I121" s="36"/>
      <c r="J121" s="36"/>
      <c r="K121" s="36"/>
      <c r="L121" s="36"/>
      <c r="M121" s="36"/>
      <c r="N121" s="36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spans="1:25" ht="15.8" customHeight="1">
      <c r="A122" s="1">
        <f t="shared" si="2"/>
        <v>16</v>
      </c>
      <c r="B122" s="110" t="s">
        <v>457</v>
      </c>
      <c r="C122" s="209" t="s">
        <v>458</v>
      </c>
      <c r="D122" s="186"/>
      <c r="E122" s="177"/>
      <c r="F122" s="67" t="s">
        <v>1</v>
      </c>
      <c r="G122" s="36"/>
      <c r="H122" s="36"/>
      <c r="I122" s="36"/>
      <c r="J122" s="36"/>
      <c r="K122" s="36"/>
      <c r="L122" s="36"/>
      <c r="M122" s="36"/>
      <c r="N122" s="36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spans="1:25" ht="15.8" customHeight="1">
      <c r="A123" s="1">
        <f t="shared" si="2"/>
        <v>17</v>
      </c>
      <c r="B123" s="110" t="s">
        <v>461</v>
      </c>
      <c r="C123" s="209" t="s">
        <v>463</v>
      </c>
      <c r="D123" s="186"/>
      <c r="E123" s="177"/>
      <c r="F123" s="67" t="s">
        <v>1</v>
      </c>
      <c r="G123" s="36"/>
      <c r="H123" s="36"/>
      <c r="I123" s="36"/>
      <c r="J123" s="36"/>
      <c r="K123" s="36"/>
      <c r="L123" s="36"/>
      <c r="M123" s="36"/>
      <c r="N123" s="36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spans="1:25" ht="15.8" customHeight="1">
      <c r="A124" s="1">
        <f t="shared" si="2"/>
        <v>18</v>
      </c>
      <c r="B124" s="110" t="s">
        <v>465</v>
      </c>
      <c r="C124" s="209" t="s">
        <v>466</v>
      </c>
      <c r="D124" s="186"/>
      <c r="E124" s="177"/>
      <c r="F124" s="67" t="s">
        <v>1</v>
      </c>
      <c r="G124" s="36"/>
      <c r="H124" s="36"/>
      <c r="I124" s="36"/>
      <c r="J124" s="36"/>
      <c r="K124" s="36"/>
      <c r="L124" s="36"/>
      <c r="M124" s="36"/>
      <c r="N124" s="36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spans="1:25" ht="15.8" customHeight="1">
      <c r="A125" s="1">
        <f t="shared" si="2"/>
        <v>19</v>
      </c>
      <c r="B125" s="110" t="s">
        <v>469</v>
      </c>
      <c r="C125" s="209" t="s">
        <v>470</v>
      </c>
      <c r="D125" s="186"/>
      <c r="E125" s="177"/>
      <c r="F125" s="67" t="s">
        <v>1</v>
      </c>
      <c r="G125" s="36"/>
      <c r="H125" s="36"/>
      <c r="I125" s="36"/>
      <c r="J125" s="36"/>
      <c r="K125" s="36"/>
      <c r="L125" s="36"/>
      <c r="M125" s="36"/>
      <c r="N125" s="1"/>
      <c r="O125" s="7"/>
      <c r="P125" s="7" t="s">
        <v>472</v>
      </c>
      <c r="Q125" s="7"/>
      <c r="R125" s="7"/>
      <c r="S125" s="7"/>
      <c r="T125" s="7"/>
      <c r="U125" s="7"/>
      <c r="V125" s="7"/>
      <c r="W125" s="7"/>
      <c r="X125" s="7"/>
      <c r="Y125" s="7"/>
    </row>
    <row r="126" spans="1:25" ht="15.8" customHeight="1">
      <c r="A126" s="1">
        <f t="shared" si="2"/>
        <v>20</v>
      </c>
      <c r="B126" s="110" t="s">
        <v>473</v>
      </c>
      <c r="C126" s="209" t="s">
        <v>474</v>
      </c>
      <c r="D126" s="186"/>
      <c r="E126" s="177"/>
      <c r="F126" s="67" t="s">
        <v>1</v>
      </c>
      <c r="G126" s="36"/>
      <c r="H126" s="36"/>
      <c r="I126" s="36"/>
      <c r="J126" s="36"/>
      <c r="K126" s="36"/>
      <c r="L126" s="36"/>
      <c r="M126" s="36"/>
      <c r="N126" s="36"/>
      <c r="O126" s="7"/>
      <c r="P126" s="7" t="s">
        <v>427</v>
      </c>
      <c r="Q126" s="7"/>
      <c r="R126" s="7"/>
      <c r="S126" s="7"/>
      <c r="T126" s="7"/>
      <c r="U126" s="7"/>
      <c r="V126" s="7"/>
      <c r="W126" s="7"/>
      <c r="X126" s="7"/>
      <c r="Y126" s="7"/>
    </row>
    <row r="127" spans="1:25" ht="15.8" customHeight="1">
      <c r="A127" s="1">
        <f t="shared" si="2"/>
        <v>21</v>
      </c>
      <c r="B127" s="110" t="s">
        <v>478</v>
      </c>
      <c r="C127" s="209" t="s">
        <v>479</v>
      </c>
      <c r="D127" s="186"/>
      <c r="E127" s="177"/>
      <c r="F127" s="67" t="s">
        <v>3</v>
      </c>
      <c r="G127" s="36"/>
      <c r="H127" s="36"/>
      <c r="I127" s="36"/>
      <c r="J127" s="36"/>
      <c r="K127" s="36"/>
      <c r="L127" s="36"/>
      <c r="M127" s="36"/>
      <c r="N127" s="36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spans="1:25" ht="15.8" customHeight="1">
      <c r="A128" s="1">
        <f t="shared" si="2"/>
        <v>22</v>
      </c>
      <c r="B128" s="110" t="s">
        <v>480</v>
      </c>
      <c r="C128" s="209" t="s">
        <v>482</v>
      </c>
      <c r="D128" s="186"/>
      <c r="E128" s="177"/>
      <c r="F128" s="67" t="s">
        <v>3</v>
      </c>
      <c r="G128" s="36"/>
      <c r="H128" s="36"/>
      <c r="I128" s="36"/>
      <c r="J128" s="36"/>
      <c r="K128" s="36"/>
      <c r="L128" s="36"/>
      <c r="M128" s="36"/>
      <c r="N128" s="36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spans="1:25" ht="15.8" customHeight="1">
      <c r="A129" s="1">
        <f t="shared" si="2"/>
        <v>23</v>
      </c>
      <c r="B129" s="110" t="s">
        <v>485</v>
      </c>
      <c r="C129" s="209" t="s">
        <v>486</v>
      </c>
      <c r="D129" s="186"/>
      <c r="E129" s="177"/>
      <c r="F129" s="67" t="s">
        <v>3</v>
      </c>
      <c r="G129" s="36"/>
      <c r="H129" s="36"/>
      <c r="I129" s="36"/>
      <c r="J129" s="36"/>
      <c r="K129" s="36"/>
      <c r="L129" s="36"/>
      <c r="M129" s="36"/>
      <c r="N129" s="36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spans="1:25" ht="15.8" customHeight="1">
      <c r="A130" s="1">
        <f t="shared" si="2"/>
        <v>24</v>
      </c>
      <c r="B130" s="110" t="s">
        <v>490</v>
      </c>
      <c r="C130" s="209" t="s">
        <v>491</v>
      </c>
      <c r="D130" s="186"/>
      <c r="E130" s="177"/>
      <c r="F130" s="67" t="s">
        <v>1</v>
      </c>
      <c r="G130" s="36"/>
      <c r="H130" s="36"/>
      <c r="I130" s="36"/>
      <c r="J130" s="36"/>
      <c r="K130" s="36"/>
      <c r="L130" s="36"/>
      <c r="M130" s="36"/>
      <c r="N130" s="36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spans="1:25" ht="15.8" customHeight="1">
      <c r="A131" s="1">
        <f t="shared" si="2"/>
        <v>25</v>
      </c>
      <c r="B131" s="110" t="s">
        <v>493</v>
      </c>
      <c r="C131" s="209" t="s">
        <v>66</v>
      </c>
      <c r="D131" s="186"/>
      <c r="E131" s="177"/>
      <c r="F131" s="67" t="s">
        <v>3</v>
      </c>
      <c r="G131" s="36"/>
      <c r="H131" s="36"/>
      <c r="I131" s="36"/>
      <c r="J131" s="36"/>
      <c r="K131" s="36"/>
      <c r="L131" s="36"/>
      <c r="M131" s="36"/>
      <c r="N131" s="36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spans="1:25" ht="15.8" customHeight="1">
      <c r="A132" s="1">
        <f t="shared" si="2"/>
        <v>26</v>
      </c>
      <c r="B132" s="111" t="s">
        <v>496</v>
      </c>
      <c r="C132" s="209" t="s">
        <v>497</v>
      </c>
      <c r="D132" s="186"/>
      <c r="E132" s="177"/>
      <c r="F132" s="67" t="s">
        <v>1</v>
      </c>
      <c r="G132" s="36"/>
      <c r="H132" s="36"/>
      <c r="I132" s="36"/>
      <c r="J132" s="36"/>
      <c r="K132" s="36"/>
      <c r="L132" s="36"/>
      <c r="M132" s="36"/>
      <c r="N132" s="36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spans="1:25" ht="15.8" customHeight="1">
      <c r="A133" s="1">
        <f t="shared" si="2"/>
        <v>27</v>
      </c>
      <c r="B133" s="110" t="s">
        <v>500</v>
      </c>
      <c r="C133" s="209" t="s">
        <v>501</v>
      </c>
      <c r="D133" s="186"/>
      <c r="E133" s="177"/>
      <c r="F133" s="67" t="s">
        <v>1</v>
      </c>
      <c r="G133" s="36"/>
      <c r="H133" s="36"/>
      <c r="I133" s="36"/>
      <c r="J133" s="36"/>
      <c r="K133" s="36"/>
      <c r="L133" s="36"/>
      <c r="M133" s="36"/>
      <c r="N133" s="36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spans="1:25" ht="15.8" customHeight="1">
      <c r="A134" s="1">
        <f t="shared" si="2"/>
        <v>28</v>
      </c>
      <c r="B134" s="110" t="s">
        <v>502</v>
      </c>
      <c r="C134" s="209" t="s">
        <v>503</v>
      </c>
      <c r="D134" s="186"/>
      <c r="E134" s="177"/>
      <c r="F134" s="67" t="s">
        <v>1</v>
      </c>
      <c r="G134" s="36"/>
      <c r="H134" s="36"/>
      <c r="I134" s="36"/>
      <c r="J134" s="36"/>
      <c r="K134" s="36"/>
      <c r="L134" s="36"/>
      <c r="M134" s="36"/>
      <c r="N134" s="36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spans="1:25" ht="15.8" customHeight="1">
      <c r="A135" s="1">
        <f t="shared" si="2"/>
        <v>29</v>
      </c>
      <c r="B135" s="110" t="s">
        <v>506</v>
      </c>
      <c r="C135" s="209" t="s">
        <v>507</v>
      </c>
      <c r="D135" s="186"/>
      <c r="E135" s="177"/>
      <c r="F135" s="67" t="s">
        <v>1</v>
      </c>
      <c r="G135" s="36"/>
      <c r="H135" s="36"/>
      <c r="I135" s="36"/>
      <c r="J135" s="36"/>
      <c r="K135" s="36"/>
      <c r="L135" s="36"/>
      <c r="M135" s="36"/>
      <c r="N135" s="36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spans="1:25" ht="15.8" customHeight="1">
      <c r="A136" s="1">
        <f t="shared" si="2"/>
        <v>30</v>
      </c>
      <c r="B136" s="110" t="s">
        <v>510</v>
      </c>
      <c r="C136" s="209" t="s">
        <v>511</v>
      </c>
      <c r="D136" s="186"/>
      <c r="E136" s="177"/>
      <c r="F136" s="67" t="s">
        <v>3</v>
      </c>
      <c r="G136" s="36"/>
      <c r="H136" s="36"/>
      <c r="I136" s="36"/>
      <c r="J136" s="36"/>
      <c r="K136" s="36"/>
      <c r="L136" s="36"/>
      <c r="M136" s="36"/>
      <c r="N136" s="36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spans="1:25" ht="15.8" customHeight="1">
      <c r="A137" s="1">
        <f t="shared" si="2"/>
        <v>31</v>
      </c>
      <c r="B137" s="110" t="s">
        <v>512</v>
      </c>
      <c r="C137" s="209" t="s">
        <v>513</v>
      </c>
      <c r="D137" s="186"/>
      <c r="E137" s="177"/>
      <c r="F137" s="67" t="s">
        <v>3</v>
      </c>
      <c r="G137" s="36"/>
      <c r="H137" s="36"/>
      <c r="I137" s="36"/>
      <c r="J137" s="36"/>
      <c r="K137" s="36"/>
      <c r="L137" s="36"/>
      <c r="M137" s="36"/>
      <c r="N137" s="36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spans="1:25" ht="15.8" customHeight="1">
      <c r="A138" s="1">
        <f t="shared" si="2"/>
        <v>32</v>
      </c>
      <c r="B138" s="110" t="s">
        <v>516</v>
      </c>
      <c r="C138" s="209" t="s">
        <v>517</v>
      </c>
      <c r="D138" s="186"/>
      <c r="E138" s="177"/>
      <c r="F138" s="67" t="s">
        <v>3</v>
      </c>
      <c r="G138" s="36"/>
      <c r="H138" s="36"/>
      <c r="I138" s="36"/>
      <c r="J138" s="36"/>
      <c r="K138" s="36"/>
      <c r="L138" s="36"/>
      <c r="M138" s="36"/>
      <c r="N138" s="36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spans="1:25" ht="15.8" customHeight="1">
      <c r="A139" s="1">
        <f t="shared" si="2"/>
        <v>33</v>
      </c>
      <c r="B139" s="1"/>
      <c r="C139" s="207"/>
      <c r="D139" s="186"/>
      <c r="E139" s="177"/>
      <c r="F139" s="1"/>
      <c r="G139" s="36"/>
      <c r="H139" s="36"/>
      <c r="I139" s="36"/>
      <c r="J139" s="36"/>
      <c r="K139" s="36"/>
      <c r="L139" s="36"/>
      <c r="M139" s="36"/>
      <c r="N139" s="36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spans="1:25" ht="15.8" customHeight="1">
      <c r="A140" s="1">
        <f t="shared" si="2"/>
        <v>34</v>
      </c>
      <c r="B140" s="1"/>
      <c r="C140" s="207"/>
      <c r="D140" s="186"/>
      <c r="E140" s="177"/>
      <c r="F140" s="1"/>
      <c r="G140" s="36"/>
      <c r="H140" s="36"/>
      <c r="I140" s="36"/>
      <c r="J140" s="36"/>
      <c r="K140" s="36"/>
      <c r="L140" s="36"/>
      <c r="M140" s="36"/>
      <c r="N140" s="36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spans="1:25" ht="15.8" customHeight="1">
      <c r="A141" s="79"/>
      <c r="B141" s="79"/>
      <c r="C141" s="20"/>
      <c r="D141" s="20"/>
      <c r="E141" s="20"/>
      <c r="F141" s="80" t="s">
        <v>1</v>
      </c>
      <c r="G141" s="80">
        <f>COUNTIF(F106:F140,"L")</f>
        <v>17</v>
      </c>
      <c r="H141" s="20"/>
      <c r="I141" s="20"/>
      <c r="J141" s="20"/>
      <c r="K141" s="20"/>
      <c r="L141" s="20"/>
      <c r="M141" s="20"/>
      <c r="N141" s="20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spans="1:25" ht="15.8" customHeight="1">
      <c r="A142" s="79"/>
      <c r="B142" s="79"/>
      <c r="C142" s="20"/>
      <c r="D142" s="20"/>
      <c r="E142" s="20"/>
      <c r="F142" s="30" t="s">
        <v>3</v>
      </c>
      <c r="G142" s="30">
        <f>COUNTIF(F106:F140,"P")</f>
        <v>15</v>
      </c>
      <c r="H142" s="20"/>
      <c r="I142" s="20"/>
      <c r="J142" s="20"/>
      <c r="K142" s="20"/>
      <c r="L142" s="20"/>
      <c r="M142" s="20"/>
      <c r="N142" s="20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spans="1:25" ht="15.8" customHeight="1">
      <c r="A143" s="79"/>
      <c r="B143" s="79"/>
      <c r="C143" s="20"/>
      <c r="D143" s="20"/>
      <c r="E143" s="20"/>
      <c r="F143" s="81" t="s">
        <v>251</v>
      </c>
      <c r="G143" s="81">
        <f>SUM(G141:G142)</f>
        <v>32</v>
      </c>
      <c r="H143" s="20"/>
      <c r="I143" s="20"/>
      <c r="J143" s="20"/>
      <c r="K143" s="20"/>
      <c r="L143" s="20"/>
      <c r="M143" s="20"/>
      <c r="N143" s="20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spans="1:25" ht="15.8" customHeight="1">
      <c r="A144" s="20"/>
      <c r="B144" s="6"/>
      <c r="C144" s="20"/>
      <c r="D144" s="20"/>
      <c r="E144" s="20"/>
      <c r="F144" s="6"/>
      <c r="G144" s="6"/>
      <c r="H144" s="6"/>
      <c r="I144" s="82" t="s">
        <v>254</v>
      </c>
      <c r="J144" s="6"/>
      <c r="K144" s="6"/>
      <c r="L144" s="6"/>
      <c r="M144" s="6"/>
      <c r="N144" s="6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spans="1:25" ht="15.8" customHeight="1">
      <c r="A145" s="20"/>
      <c r="B145" s="6"/>
      <c r="C145" s="20"/>
      <c r="D145" s="20"/>
      <c r="E145" s="20"/>
      <c r="F145" s="6"/>
      <c r="G145" s="6"/>
      <c r="H145" s="6"/>
      <c r="I145" s="6" t="s">
        <v>256</v>
      </c>
      <c r="J145" s="6"/>
      <c r="K145" s="6"/>
      <c r="L145" s="6"/>
      <c r="M145" s="6"/>
      <c r="N145" s="6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spans="1:25" ht="15.8" customHeight="1">
      <c r="A146" s="20"/>
      <c r="B146" s="6"/>
      <c r="C146" s="20"/>
      <c r="D146" s="20"/>
      <c r="E146" s="20"/>
      <c r="F146" s="20"/>
      <c r="G146" s="20"/>
      <c r="H146" s="20"/>
      <c r="I146" s="6"/>
      <c r="J146" s="6"/>
      <c r="K146" s="6"/>
      <c r="L146" s="6"/>
      <c r="M146" s="6"/>
      <c r="N146" s="6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spans="1:25" ht="15.8" customHeight="1">
      <c r="A147" s="20"/>
      <c r="B147" s="6"/>
      <c r="C147" s="20"/>
      <c r="D147" s="20"/>
      <c r="E147" s="20"/>
      <c r="F147" s="20"/>
      <c r="G147" s="20"/>
      <c r="H147" s="20"/>
      <c r="I147" s="6"/>
      <c r="J147" s="6"/>
      <c r="K147" s="6"/>
      <c r="L147" s="6"/>
      <c r="M147" s="6"/>
      <c r="N147" s="6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spans="1:25" ht="15.8" customHeight="1">
      <c r="A148" s="24"/>
      <c r="B148" s="6"/>
      <c r="C148" s="6"/>
      <c r="D148" s="6"/>
      <c r="E148" s="86"/>
      <c r="F148" s="6"/>
      <c r="G148" s="6"/>
      <c r="H148" s="20"/>
      <c r="I148" s="87"/>
      <c r="J148" s="87"/>
      <c r="K148" s="87"/>
      <c r="L148" s="87"/>
      <c r="M148" s="87"/>
      <c r="N148" s="8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spans="1:25" ht="15.8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spans="1:25" ht="15.8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spans="1:25" ht="15.8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 spans="1:25" ht="15.8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 spans="1:25" ht="15.8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 spans="1:25" ht="15.8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spans="1:25" ht="15.8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spans="1:25" ht="15.8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spans="1:25" ht="15.8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spans="1:25" ht="15.8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spans="1:25" ht="15.8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spans="1:25" ht="15.8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spans="1:25" ht="15.8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spans="1:25" ht="15.8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 spans="1:25" ht="15.8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spans="1:25" ht="15.8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spans="1:25" ht="15.8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spans="1:25" ht="15.8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spans="1:25" ht="15.8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spans="1:25" ht="15.8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spans="1:25" ht="15.8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spans="1:25" ht="15.8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spans="1:25" ht="15.8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spans="1:25" ht="15.8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spans="1:25" ht="15.8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spans="1:25" ht="15.8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spans="1:25" ht="15.8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spans="1:25" ht="15.8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spans="1:25" ht="15.8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spans="1:25" ht="15.8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spans="1:25" ht="15.8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spans="1:25" ht="15.8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spans="1:25" ht="15.8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spans="1:25" ht="15.8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spans="1:25" ht="15.8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spans="1:25" ht="15.8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spans="1:25" ht="15.8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spans="1:25" ht="15.8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spans="1:25" ht="15.8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spans="1:25" ht="15.8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spans="1:25" ht="15.8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spans="1:25" ht="15.8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spans="1:25" ht="15.8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spans="1:25" ht="15.8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spans="1:25" ht="15.8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spans="1:25" ht="15.8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spans="1:25" ht="15.8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spans="1:25" ht="15.8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spans="1:25" ht="15.8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spans="1:25" ht="15.8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spans="1:25" ht="15.8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spans="1:25" ht="15.8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spans="1:25" ht="15.8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spans="1:25" ht="15.8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spans="1:25" ht="15.8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spans="1:25" ht="15.8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spans="1:25" ht="15.8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spans="1:25" ht="15.8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spans="1:25" ht="15.8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spans="1:25" ht="15.8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spans="1:25" ht="15.8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spans="1:25" ht="15.8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spans="1:25" ht="15.8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spans="1:25" ht="15.8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spans="1:25" ht="15.8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spans="1:25" ht="15.8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spans="1:25" ht="15.8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spans="1:25" ht="15.8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spans="1:25" ht="15.8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spans="1:25" ht="15.8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spans="1:25" ht="15.8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 spans="1:25" ht="15.8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 spans="1:25" ht="15.8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 spans="1:25" ht="15.8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 spans="1:25" ht="15.8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 spans="1:25" ht="15.8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 spans="1:25" ht="15.8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 spans="1:25" ht="15.8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 spans="1:25" ht="15.8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 spans="1:25" ht="15.8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 spans="1:25" ht="15.8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 spans="1:25" ht="15.8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 spans="1:25" ht="15.8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 spans="1:25" ht="15.8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 spans="1:25" ht="15.8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 spans="1:25" ht="15.8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 spans="1:25" ht="15.8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 spans="1:25" ht="15.8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 spans="1:25" ht="15.8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 spans="1:25" ht="15.8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 spans="1:25" ht="15.8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 spans="1:25" ht="15.8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 spans="1:25" ht="15.8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 spans="1:25" ht="15.8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 spans="1:25" ht="15.8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 spans="1:25" ht="15.8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 spans="1:25" ht="15.8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 spans="1:25" ht="15.8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 spans="1:25" ht="15.8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 spans="1:25" ht="15.8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 spans="1:25" ht="15.8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 spans="1:25" ht="15.8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 spans="1:25" ht="15.8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 spans="1:25" ht="15.8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 spans="1:25" ht="15.8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 spans="1:25" ht="15.8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 spans="1:25" ht="15.8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 spans="1:25" ht="15.8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 spans="1:25" ht="15.8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 spans="1:25" ht="15.8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 spans="1:25" ht="15.8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 spans="1:25" ht="15.8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 spans="1:25" ht="15.8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 spans="1:25" ht="15.8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 spans="1:25" ht="15.8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 spans="1:25" ht="15.8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 spans="1:25" ht="15.8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 spans="1:25" ht="15.8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 spans="1:25" ht="15.8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 spans="1:25" ht="15.8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 spans="1:25" ht="15.8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 spans="1:25" ht="15.8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 spans="1:25" ht="15.8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 spans="1:25" ht="15.8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 spans="1:25" ht="15.8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 spans="1:25" ht="15.8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 spans="1:25" ht="15.8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 spans="1:25" ht="15.8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 spans="1:25" ht="15.8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 spans="1:25" ht="15.8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 spans="1:25" ht="15.8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 spans="1:25" ht="15.8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 spans="1:25" ht="15.8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 spans="1:25" ht="15.8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 spans="1:25" ht="15.8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 spans="1:25" ht="15.8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 spans="1:25" ht="15.8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 spans="1:25" ht="15.8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 spans="1:25" ht="15.8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 spans="1:25" ht="15.8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 spans="1:25" ht="15.8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 spans="1:25" ht="15.8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 spans="1:25" ht="15.8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 spans="1:25" ht="15.8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 spans="1:25" ht="15.8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 spans="1:25" ht="15.8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 spans="1:25" ht="15.8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 spans="1:25" ht="15.8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 spans="1:25" ht="15.8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 spans="1:25" ht="15.8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 spans="1:25" ht="15.8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 spans="1:25" ht="15.8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 spans="1:25" ht="15.8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 spans="1:25" ht="15.8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 spans="1:25" ht="15.8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 spans="1:25" ht="15.8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 spans="1:25" ht="15.8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 spans="1:25" ht="15.8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 spans="1:25" ht="15.8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 spans="1:25" ht="15.8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 spans="1:25" ht="15.8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 spans="1:25" ht="15.8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 spans="1:25" ht="15.8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 spans="1:25" ht="15.8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 spans="1:25" ht="15.8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 spans="1:25" ht="15.8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 spans="1:25" ht="15.8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 spans="1:25" ht="15.8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 spans="1:25" ht="15.8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 spans="1:25" ht="15.8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 spans="1:25" ht="15.8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 spans="1:25" ht="15.8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 spans="1:25" ht="15.8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 spans="1:25" ht="15.8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 spans="1:25" ht="15.8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 spans="1:25" ht="15.8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 spans="1:25" ht="15.8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 spans="1:25" ht="15.8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 spans="1:25" ht="15.8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 spans="1:25" ht="15.8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 spans="1:25" ht="15.8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 spans="1:25" ht="15.8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 spans="1:25" ht="15.8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 spans="1:25" ht="15.8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 spans="1:25" ht="15.8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 spans="1:25" ht="15.8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 spans="1:25" ht="15.8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 spans="1:25" ht="15.8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 spans="1:25" ht="15.8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 spans="1:25" ht="15.8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 spans="1:25" ht="15.8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 spans="1:25" ht="15.8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 spans="1:25" ht="15.8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 spans="1:25" ht="15.8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 spans="1:25" ht="15.8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 spans="1:25" ht="15.8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 spans="1:25" ht="15.8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 spans="1:25" ht="14.3" customHeight="1"/>
    <row r="347" spans="1:25" ht="14.3" customHeight="1"/>
    <row r="348" spans="1:25" ht="14.3" customHeight="1"/>
    <row r="349" spans="1:25" ht="14.3" customHeight="1"/>
    <row r="350" spans="1:25" ht="14.3" customHeight="1"/>
    <row r="351" spans="1:25" ht="14.3" customHeight="1"/>
    <row r="352" spans="1:25" ht="14.3" customHeight="1"/>
    <row r="353" ht="14.3" customHeight="1"/>
    <row r="354" ht="14.3" customHeight="1"/>
    <row r="355" ht="14.3" customHeight="1"/>
    <row r="356" ht="14.3" customHeight="1"/>
    <row r="357" ht="14.3" customHeight="1"/>
    <row r="358" ht="14.3" customHeight="1"/>
    <row r="359" ht="14.3" customHeight="1"/>
    <row r="360" ht="14.3" customHeight="1"/>
    <row r="361" ht="14.3" customHeight="1"/>
    <row r="362" ht="14.3" customHeight="1"/>
    <row r="363" ht="14.3" customHeight="1"/>
    <row r="364" ht="14.3" customHeight="1"/>
    <row r="365" ht="14.3" customHeight="1"/>
    <row r="366" ht="14.3" customHeight="1"/>
    <row r="367" ht="14.3" customHeight="1"/>
    <row r="368" ht="14.3" customHeight="1"/>
    <row r="369" ht="14.3" customHeight="1"/>
    <row r="370" ht="14.3" customHeight="1"/>
    <row r="371" ht="14.3" customHeight="1"/>
    <row r="372" ht="14.3" customHeight="1"/>
    <row r="373" ht="14.3" customHeight="1"/>
    <row r="374" ht="14.3" customHeight="1"/>
    <row r="375" ht="14.3" customHeight="1"/>
    <row r="376" ht="14.3" customHeight="1"/>
    <row r="377" ht="14.3" customHeight="1"/>
    <row r="378" ht="14.3" customHeight="1"/>
    <row r="379" ht="14.3" customHeight="1"/>
    <row r="380" ht="14.3" customHeight="1"/>
    <row r="381" ht="14.3" customHeight="1"/>
    <row r="382" ht="14.3" customHeight="1"/>
    <row r="383" ht="14.3" customHeight="1"/>
    <row r="384" ht="14.3" customHeight="1"/>
    <row r="385" ht="14.3" customHeight="1"/>
    <row r="386" ht="14.3" customHeight="1"/>
    <row r="387" ht="14.3" customHeight="1"/>
    <row r="388" ht="14.3" customHeight="1"/>
    <row r="389" ht="14.3" customHeight="1"/>
    <row r="390" ht="14.3" customHeight="1"/>
    <row r="391" ht="14.3" customHeight="1"/>
    <row r="392" ht="14.3" customHeight="1"/>
    <row r="393" ht="14.3" customHeight="1"/>
    <row r="394" ht="14.3" customHeight="1"/>
    <row r="395" ht="14.3" customHeight="1"/>
    <row r="396" ht="14.3" customHeight="1"/>
    <row r="397" ht="14.3" customHeight="1"/>
    <row r="398" ht="14.3" customHeight="1"/>
    <row r="399" ht="14.3" customHeight="1"/>
    <row r="400" ht="14.3" customHeight="1"/>
    <row r="401" ht="14.3" customHeight="1"/>
    <row r="402" ht="14.3" customHeight="1"/>
    <row r="403" ht="14.3" customHeight="1"/>
    <row r="404" ht="14.3" customHeight="1"/>
    <row r="405" ht="14.3" customHeight="1"/>
    <row r="406" ht="14.3" customHeight="1"/>
    <row r="407" ht="14.3" customHeight="1"/>
    <row r="408" ht="14.3" customHeight="1"/>
    <row r="409" ht="14.3" customHeight="1"/>
    <row r="410" ht="14.3" customHeight="1"/>
    <row r="411" ht="14.3" customHeight="1"/>
    <row r="412" ht="14.3" customHeight="1"/>
    <row r="413" ht="14.3" customHeight="1"/>
    <row r="414" ht="14.3" customHeight="1"/>
    <row r="415" ht="14.3" customHeight="1"/>
    <row r="416" ht="14.3" customHeight="1"/>
    <row r="417" ht="14.3" customHeight="1"/>
    <row r="418" ht="14.3" customHeight="1"/>
    <row r="419" ht="14.3" customHeight="1"/>
    <row r="420" ht="14.3" customHeight="1"/>
    <row r="421" ht="14.3" customHeight="1"/>
    <row r="422" ht="14.3" customHeight="1"/>
    <row r="423" ht="14.3" customHeight="1"/>
    <row r="424" ht="14.3" customHeight="1"/>
    <row r="425" ht="14.3" customHeight="1"/>
    <row r="426" ht="14.3" customHeight="1"/>
    <row r="427" ht="14.3" customHeight="1"/>
    <row r="428" ht="14.3" customHeight="1"/>
    <row r="429" ht="14.3" customHeight="1"/>
    <row r="430" ht="14.3" customHeight="1"/>
    <row r="431" ht="14.3" customHeight="1"/>
    <row r="432" ht="14.3" customHeight="1"/>
    <row r="433" ht="14.3" customHeight="1"/>
    <row r="434" ht="14.3" customHeight="1"/>
    <row r="435" ht="14.3" customHeight="1"/>
    <row r="436" ht="14.3" customHeight="1"/>
    <row r="437" ht="14.3" customHeight="1"/>
    <row r="438" ht="14.3" customHeight="1"/>
    <row r="439" ht="14.3" customHeight="1"/>
    <row r="440" ht="14.3" customHeight="1"/>
    <row r="441" ht="14.3" customHeight="1"/>
    <row r="442" ht="14.3" customHeight="1"/>
    <row r="443" ht="14.3" customHeight="1"/>
    <row r="444" ht="14.3" customHeight="1"/>
    <row r="445" ht="14.3" customHeight="1"/>
    <row r="446" ht="14.3" customHeight="1"/>
    <row r="447" ht="14.3" customHeight="1"/>
    <row r="448" ht="14.3" customHeight="1"/>
    <row r="449" ht="14.3" customHeight="1"/>
    <row r="450" ht="14.3" customHeight="1"/>
    <row r="451" ht="14.3" customHeight="1"/>
    <row r="452" ht="14.3" customHeight="1"/>
    <row r="453" ht="14.3" customHeight="1"/>
    <row r="454" ht="14.3" customHeight="1"/>
    <row r="455" ht="14.3" customHeight="1"/>
    <row r="456" ht="14.3" customHeight="1"/>
    <row r="457" ht="14.3" customHeight="1"/>
    <row r="458" ht="14.3" customHeight="1"/>
    <row r="459" ht="14.3" customHeight="1"/>
    <row r="460" ht="14.3" customHeight="1"/>
    <row r="461" ht="14.3" customHeight="1"/>
    <row r="462" ht="14.3" customHeight="1"/>
    <row r="463" ht="14.3" customHeight="1"/>
    <row r="464" ht="14.3" customHeight="1"/>
    <row r="465" ht="14.3" customHeight="1"/>
    <row r="466" ht="14.3" customHeight="1"/>
    <row r="467" ht="14.3" customHeight="1"/>
    <row r="468" ht="14.3" customHeight="1"/>
    <row r="469" ht="14.3" customHeight="1"/>
    <row r="470" ht="14.3" customHeight="1"/>
    <row r="471" ht="14.3" customHeight="1"/>
    <row r="472" ht="14.3" customHeight="1"/>
    <row r="473" ht="14.3" customHeight="1"/>
    <row r="474" ht="14.3" customHeight="1"/>
    <row r="475" ht="14.3" customHeight="1"/>
    <row r="476" ht="14.3" customHeight="1"/>
    <row r="477" ht="14.3" customHeight="1"/>
    <row r="478" ht="14.3" customHeight="1"/>
    <row r="479" ht="14.3" customHeight="1"/>
    <row r="480" ht="14.3" customHeight="1"/>
    <row r="481" ht="14.3" customHeight="1"/>
    <row r="482" ht="14.3" customHeight="1"/>
    <row r="483" ht="14.3" customHeight="1"/>
    <row r="484" ht="14.3" customHeight="1"/>
    <row r="485" ht="14.3" customHeight="1"/>
    <row r="486" ht="14.3" customHeight="1"/>
    <row r="487" ht="14.3" customHeight="1"/>
    <row r="488" ht="14.3" customHeight="1"/>
    <row r="489" ht="14.3" customHeight="1"/>
    <row r="490" ht="14.3" customHeight="1"/>
    <row r="491" ht="14.3" customHeight="1"/>
    <row r="492" ht="14.3" customHeight="1"/>
    <row r="493" ht="14.3" customHeight="1"/>
    <row r="494" ht="14.3" customHeight="1"/>
    <row r="495" ht="14.3" customHeight="1"/>
    <row r="496" ht="14.3" customHeight="1"/>
    <row r="497" ht="14.3" customHeight="1"/>
    <row r="498" ht="14.3" customHeight="1"/>
    <row r="499" ht="14.3" customHeight="1"/>
    <row r="500" ht="14.3" customHeight="1"/>
    <row r="501" ht="14.3" customHeight="1"/>
    <row r="502" ht="14.3" customHeight="1"/>
    <row r="503" ht="14.3" customHeight="1"/>
    <row r="504" ht="14.3" customHeight="1"/>
    <row r="505" ht="14.3" customHeight="1"/>
    <row r="506" ht="14.3" customHeight="1"/>
    <row r="507" ht="14.3" customHeight="1"/>
    <row r="508" ht="14.3" customHeight="1"/>
    <row r="509" ht="14.3" customHeight="1"/>
    <row r="510" ht="14.3" customHeight="1"/>
    <row r="511" ht="14.3" customHeight="1"/>
    <row r="512" ht="14.3" customHeight="1"/>
    <row r="513" ht="14.3" customHeight="1"/>
    <row r="514" ht="14.3" customHeight="1"/>
    <row r="515" ht="14.3" customHeight="1"/>
    <row r="516" ht="14.3" customHeight="1"/>
    <row r="517" ht="14.3" customHeight="1"/>
    <row r="518" ht="14.3" customHeight="1"/>
    <row r="519" ht="14.3" customHeight="1"/>
    <row r="520" ht="14.3" customHeight="1"/>
    <row r="521" ht="14.3" customHeight="1"/>
    <row r="522" ht="14.3" customHeight="1"/>
    <row r="523" ht="14.3" customHeight="1"/>
    <row r="524" ht="14.3" customHeight="1"/>
    <row r="525" ht="14.3" customHeight="1"/>
    <row r="526" ht="14.3" customHeight="1"/>
    <row r="527" ht="14.3" customHeight="1"/>
    <row r="528" ht="14.3" customHeight="1"/>
    <row r="529" ht="14.3" customHeight="1"/>
    <row r="530" ht="14.3" customHeight="1"/>
    <row r="531" ht="14.3" customHeight="1"/>
    <row r="532" ht="14.3" customHeight="1"/>
    <row r="533" ht="14.3" customHeight="1"/>
    <row r="534" ht="14.3" customHeight="1"/>
    <row r="535" ht="14.3" customHeight="1"/>
    <row r="536" ht="14.3" customHeight="1"/>
    <row r="537" ht="14.3" customHeight="1"/>
    <row r="538" ht="14.3" customHeight="1"/>
    <row r="539" ht="14.3" customHeight="1"/>
    <row r="540" ht="14.3" customHeight="1"/>
    <row r="541" ht="14.3" customHeight="1"/>
    <row r="542" ht="14.3" customHeight="1"/>
    <row r="543" ht="14.3" customHeight="1"/>
    <row r="544" ht="14.3" customHeight="1"/>
    <row r="545" ht="14.3" customHeight="1"/>
    <row r="546" ht="14.3" customHeight="1"/>
    <row r="547" ht="14.3" customHeight="1"/>
    <row r="548" ht="14.3" customHeight="1"/>
    <row r="549" ht="14.3" customHeight="1"/>
    <row r="550" ht="14.3" customHeight="1"/>
    <row r="551" ht="14.3" customHeight="1"/>
    <row r="552" ht="14.3" customHeight="1"/>
    <row r="553" ht="14.3" customHeight="1"/>
    <row r="554" ht="14.3" customHeight="1"/>
    <row r="555" ht="14.3" customHeight="1"/>
    <row r="556" ht="14.3" customHeight="1"/>
    <row r="557" ht="14.3" customHeight="1"/>
    <row r="558" ht="14.3" customHeight="1"/>
    <row r="559" ht="14.3" customHeight="1"/>
    <row r="560" ht="14.3" customHeight="1"/>
    <row r="561" ht="14.3" customHeight="1"/>
    <row r="562" ht="14.3" customHeight="1"/>
    <row r="563" ht="14.3" customHeight="1"/>
    <row r="564" ht="14.3" customHeight="1"/>
    <row r="565" ht="14.3" customHeight="1"/>
    <row r="566" ht="14.3" customHeight="1"/>
    <row r="567" ht="14.3" customHeight="1"/>
    <row r="568" ht="14.3" customHeight="1"/>
    <row r="569" ht="14.3" customHeight="1"/>
    <row r="570" ht="14.3" customHeight="1"/>
    <row r="571" ht="14.3" customHeight="1"/>
    <row r="572" ht="14.3" customHeight="1"/>
    <row r="573" ht="14.3" customHeight="1"/>
    <row r="574" ht="14.3" customHeight="1"/>
    <row r="575" ht="14.3" customHeight="1"/>
    <row r="576" ht="14.3" customHeight="1"/>
    <row r="577" ht="14.3" customHeight="1"/>
    <row r="578" ht="14.3" customHeight="1"/>
    <row r="579" ht="14.3" customHeight="1"/>
    <row r="580" ht="14.3" customHeight="1"/>
    <row r="581" ht="14.3" customHeight="1"/>
    <row r="582" ht="14.3" customHeight="1"/>
    <row r="583" ht="14.3" customHeight="1"/>
    <row r="584" ht="14.3" customHeight="1"/>
    <row r="585" ht="14.3" customHeight="1"/>
    <row r="586" ht="14.3" customHeight="1"/>
    <row r="587" ht="14.3" customHeight="1"/>
    <row r="588" ht="14.3" customHeight="1"/>
    <row r="589" ht="14.3" customHeight="1"/>
    <row r="590" ht="14.3" customHeight="1"/>
    <row r="591" ht="14.3" customHeight="1"/>
    <row r="592" ht="14.3" customHeight="1"/>
    <row r="593" ht="14.3" customHeight="1"/>
    <row r="594" ht="14.3" customHeight="1"/>
    <row r="595" ht="14.3" customHeight="1"/>
    <row r="596" ht="14.3" customHeight="1"/>
    <row r="597" ht="14.3" customHeight="1"/>
    <row r="598" ht="14.3" customHeight="1"/>
    <row r="599" ht="14.3" customHeight="1"/>
    <row r="600" ht="14.3" customHeight="1"/>
    <row r="601" ht="14.3" customHeight="1"/>
    <row r="602" ht="14.3" customHeight="1"/>
    <row r="603" ht="14.3" customHeight="1"/>
    <row r="604" ht="14.3" customHeight="1"/>
    <row r="605" ht="14.3" customHeight="1"/>
    <row r="606" ht="14.3" customHeight="1"/>
    <row r="607" ht="14.3" customHeight="1"/>
    <row r="608" ht="14.3" customHeight="1"/>
    <row r="609" ht="14.3" customHeight="1"/>
    <row r="610" ht="14.3" customHeight="1"/>
    <row r="611" ht="14.3" customHeight="1"/>
    <row r="612" ht="14.3" customHeight="1"/>
    <row r="613" ht="14.3" customHeight="1"/>
    <row r="614" ht="14.3" customHeight="1"/>
    <row r="615" ht="14.3" customHeight="1"/>
    <row r="616" ht="14.3" customHeight="1"/>
    <row r="617" ht="14.3" customHeight="1"/>
    <row r="618" ht="14.3" customHeight="1"/>
    <row r="619" ht="14.3" customHeight="1"/>
    <row r="620" ht="14.3" customHeight="1"/>
    <row r="621" ht="14.3" customHeight="1"/>
    <row r="622" ht="14.3" customHeight="1"/>
    <row r="623" ht="14.3" customHeight="1"/>
    <row r="624" ht="14.3" customHeight="1"/>
    <row r="625" ht="14.3" customHeight="1"/>
    <row r="626" ht="14.3" customHeight="1"/>
    <row r="627" ht="14.3" customHeight="1"/>
    <row r="628" ht="14.3" customHeight="1"/>
    <row r="629" ht="14.3" customHeight="1"/>
    <row r="630" ht="14.3" customHeight="1"/>
    <row r="631" ht="14.3" customHeight="1"/>
    <row r="632" ht="14.3" customHeight="1"/>
    <row r="633" ht="14.3" customHeight="1"/>
    <row r="634" ht="14.3" customHeight="1"/>
    <row r="635" ht="14.3" customHeight="1"/>
    <row r="636" ht="14.3" customHeight="1"/>
    <row r="637" ht="14.3" customHeight="1"/>
    <row r="638" ht="14.3" customHeight="1"/>
    <row r="639" ht="14.3" customHeight="1"/>
    <row r="640" ht="14.3" customHeight="1"/>
    <row r="641" ht="14.3" customHeight="1"/>
    <row r="642" ht="14.3" customHeight="1"/>
    <row r="643" ht="14.3" customHeight="1"/>
    <row r="644" ht="14.3" customHeight="1"/>
    <row r="645" ht="14.3" customHeight="1"/>
    <row r="646" ht="14.3" customHeight="1"/>
    <row r="647" ht="14.3" customHeight="1"/>
    <row r="648" ht="14.3" customHeight="1"/>
    <row r="649" ht="14.3" customHeight="1"/>
    <row r="650" ht="14.3" customHeight="1"/>
    <row r="651" ht="14.3" customHeight="1"/>
    <row r="652" ht="14.3" customHeight="1"/>
    <row r="653" ht="14.3" customHeight="1"/>
    <row r="654" ht="14.3" customHeight="1"/>
    <row r="655" ht="14.3" customHeight="1"/>
    <row r="656" ht="14.3" customHeight="1"/>
    <row r="657" ht="14.3" customHeight="1"/>
    <row r="658" ht="14.3" customHeight="1"/>
    <row r="659" ht="14.3" customHeight="1"/>
    <row r="660" ht="14.3" customHeight="1"/>
    <row r="661" ht="14.3" customHeight="1"/>
    <row r="662" ht="14.3" customHeight="1"/>
    <row r="663" ht="14.3" customHeight="1"/>
    <row r="664" ht="14.3" customHeight="1"/>
    <row r="665" ht="14.3" customHeight="1"/>
    <row r="666" ht="14.3" customHeight="1"/>
    <row r="667" ht="14.3" customHeight="1"/>
    <row r="668" ht="14.3" customHeight="1"/>
    <row r="669" ht="14.3" customHeight="1"/>
    <row r="670" ht="14.3" customHeight="1"/>
    <row r="671" ht="14.3" customHeight="1"/>
    <row r="672" ht="14.3" customHeight="1"/>
    <row r="673" ht="14.3" customHeight="1"/>
    <row r="674" ht="14.3" customHeight="1"/>
    <row r="675" ht="14.3" customHeight="1"/>
    <row r="676" ht="14.3" customHeight="1"/>
    <row r="677" ht="14.3" customHeight="1"/>
    <row r="678" ht="14.3" customHeight="1"/>
    <row r="679" ht="14.3" customHeight="1"/>
    <row r="680" ht="14.3" customHeight="1"/>
    <row r="681" ht="14.3" customHeight="1"/>
    <row r="682" ht="14.3" customHeight="1"/>
    <row r="683" ht="14.3" customHeight="1"/>
    <row r="684" ht="14.3" customHeight="1"/>
    <row r="685" ht="14.3" customHeight="1"/>
    <row r="686" ht="14.3" customHeight="1"/>
    <row r="687" ht="14.3" customHeight="1"/>
    <row r="688" ht="14.3" customHeight="1"/>
    <row r="689" ht="14.3" customHeight="1"/>
    <row r="690" ht="14.3" customHeight="1"/>
    <row r="691" ht="14.3" customHeight="1"/>
    <row r="692" ht="14.3" customHeight="1"/>
    <row r="693" ht="14.3" customHeight="1"/>
    <row r="694" ht="14.3" customHeight="1"/>
    <row r="695" ht="14.3" customHeight="1"/>
    <row r="696" ht="14.3" customHeight="1"/>
    <row r="697" ht="14.3" customHeight="1"/>
    <row r="698" ht="14.3" customHeight="1"/>
    <row r="699" ht="14.3" customHeight="1"/>
    <row r="700" ht="14.3" customHeight="1"/>
    <row r="701" ht="14.3" customHeight="1"/>
    <row r="702" ht="14.3" customHeight="1"/>
    <row r="703" ht="14.3" customHeight="1"/>
    <row r="704" ht="14.3" customHeight="1"/>
    <row r="705" ht="14.3" customHeight="1"/>
    <row r="706" ht="14.3" customHeight="1"/>
    <row r="707" ht="14.3" customHeight="1"/>
    <row r="708" ht="14.3" customHeight="1"/>
    <row r="709" ht="14.3" customHeight="1"/>
    <row r="710" ht="14.3" customHeight="1"/>
    <row r="711" ht="14.3" customHeight="1"/>
    <row r="712" ht="14.3" customHeight="1"/>
    <row r="713" ht="14.3" customHeight="1"/>
    <row r="714" ht="14.3" customHeight="1"/>
    <row r="715" ht="14.3" customHeight="1"/>
    <row r="716" ht="14.3" customHeight="1"/>
    <row r="717" ht="14.3" customHeight="1"/>
    <row r="718" ht="14.3" customHeight="1"/>
    <row r="719" ht="14.3" customHeight="1"/>
    <row r="720" ht="14.3" customHeight="1"/>
    <row r="721" ht="14.3" customHeight="1"/>
    <row r="722" ht="14.3" customHeight="1"/>
    <row r="723" ht="14.3" customHeight="1"/>
    <row r="724" ht="14.3" customHeight="1"/>
    <row r="725" ht="14.3" customHeight="1"/>
    <row r="726" ht="14.3" customHeight="1"/>
    <row r="727" ht="14.3" customHeight="1"/>
    <row r="728" ht="14.3" customHeight="1"/>
    <row r="729" ht="14.3" customHeight="1"/>
    <row r="730" ht="14.3" customHeight="1"/>
    <row r="731" ht="14.3" customHeight="1"/>
    <row r="732" ht="14.3" customHeight="1"/>
    <row r="733" ht="14.3" customHeight="1"/>
    <row r="734" ht="14.3" customHeight="1"/>
    <row r="735" ht="14.3" customHeight="1"/>
    <row r="736" ht="14.3" customHeight="1"/>
    <row r="737" ht="14.3" customHeight="1"/>
    <row r="738" ht="14.3" customHeight="1"/>
    <row r="739" ht="14.3" customHeight="1"/>
    <row r="740" ht="14.3" customHeight="1"/>
    <row r="741" ht="14.3" customHeight="1"/>
    <row r="742" ht="14.3" customHeight="1"/>
    <row r="743" ht="14.3" customHeight="1"/>
    <row r="744" ht="14.3" customHeight="1"/>
    <row r="745" ht="14.3" customHeight="1"/>
    <row r="746" ht="14.3" customHeight="1"/>
    <row r="747" ht="14.3" customHeight="1"/>
    <row r="748" ht="14.3" customHeight="1"/>
    <row r="749" ht="14.3" customHeight="1"/>
    <row r="750" ht="14.3" customHeight="1"/>
    <row r="751" ht="14.3" customHeight="1"/>
    <row r="752" ht="14.3" customHeight="1"/>
    <row r="753" ht="14.3" customHeight="1"/>
    <row r="754" ht="14.3" customHeight="1"/>
    <row r="755" ht="14.3" customHeight="1"/>
    <row r="756" ht="14.3" customHeight="1"/>
    <row r="757" ht="14.3" customHeight="1"/>
    <row r="758" ht="14.3" customHeight="1"/>
    <row r="759" ht="14.3" customHeight="1"/>
    <row r="760" ht="14.3" customHeight="1"/>
    <row r="761" ht="14.3" customHeight="1"/>
    <row r="762" ht="14.3" customHeight="1"/>
    <row r="763" ht="14.3" customHeight="1"/>
    <row r="764" ht="14.3" customHeight="1"/>
    <row r="765" ht="14.3" customHeight="1"/>
    <row r="766" ht="14.3" customHeight="1"/>
    <row r="767" ht="14.3" customHeight="1"/>
    <row r="768" ht="14.3" customHeight="1"/>
    <row r="769" ht="14.3" customHeight="1"/>
    <row r="770" ht="14.3" customHeight="1"/>
    <row r="771" ht="14.3" customHeight="1"/>
    <row r="772" ht="14.3" customHeight="1"/>
    <row r="773" ht="14.3" customHeight="1"/>
    <row r="774" ht="14.3" customHeight="1"/>
    <row r="775" ht="14.3" customHeight="1"/>
    <row r="776" ht="14.3" customHeight="1"/>
    <row r="777" ht="14.3" customHeight="1"/>
    <row r="778" ht="14.3" customHeight="1"/>
    <row r="779" ht="14.3" customHeight="1"/>
    <row r="780" ht="14.3" customHeight="1"/>
    <row r="781" ht="14.3" customHeight="1"/>
    <row r="782" ht="14.3" customHeight="1"/>
    <row r="783" ht="14.3" customHeight="1"/>
    <row r="784" ht="14.3" customHeight="1"/>
    <row r="785" ht="14.3" customHeight="1"/>
    <row r="786" ht="14.3" customHeight="1"/>
    <row r="787" ht="14.3" customHeight="1"/>
    <row r="788" ht="14.3" customHeight="1"/>
    <row r="789" ht="14.3" customHeight="1"/>
    <row r="790" ht="14.3" customHeight="1"/>
    <row r="791" ht="14.3" customHeight="1"/>
    <row r="792" ht="14.3" customHeight="1"/>
    <row r="793" ht="14.3" customHeight="1"/>
    <row r="794" ht="14.3" customHeight="1"/>
    <row r="795" ht="14.3" customHeight="1"/>
    <row r="796" ht="14.3" customHeight="1"/>
    <row r="797" ht="14.3" customHeight="1"/>
    <row r="798" ht="14.3" customHeight="1"/>
    <row r="799" ht="14.3" customHeight="1"/>
    <row r="800" ht="14.3" customHeight="1"/>
    <row r="801" ht="14.3" customHeight="1"/>
    <row r="802" ht="14.3" customHeight="1"/>
    <row r="803" ht="14.3" customHeight="1"/>
    <row r="804" ht="14.3" customHeight="1"/>
    <row r="805" ht="14.3" customHeight="1"/>
    <row r="806" ht="14.3" customHeight="1"/>
    <row r="807" ht="14.3" customHeight="1"/>
    <row r="808" ht="14.3" customHeight="1"/>
    <row r="809" ht="14.3" customHeight="1"/>
    <row r="810" ht="14.3" customHeight="1"/>
    <row r="811" ht="14.3" customHeight="1"/>
    <row r="812" ht="14.3" customHeight="1"/>
    <row r="813" ht="14.3" customHeight="1"/>
    <row r="814" ht="14.3" customHeight="1"/>
    <row r="815" ht="14.3" customHeight="1"/>
    <row r="816" ht="14.3" customHeight="1"/>
    <row r="817" ht="14.3" customHeight="1"/>
    <row r="818" ht="14.3" customHeight="1"/>
    <row r="819" ht="14.3" customHeight="1"/>
    <row r="820" ht="14.3" customHeight="1"/>
    <row r="821" ht="14.3" customHeight="1"/>
    <row r="822" ht="14.3" customHeight="1"/>
    <row r="823" ht="14.3" customHeight="1"/>
    <row r="824" ht="14.3" customHeight="1"/>
    <row r="825" ht="14.3" customHeight="1"/>
    <row r="826" ht="14.3" customHeight="1"/>
    <row r="827" ht="14.3" customHeight="1"/>
    <row r="828" ht="14.3" customHeight="1"/>
    <row r="829" ht="14.3" customHeight="1"/>
    <row r="830" ht="14.3" customHeight="1"/>
    <row r="831" ht="14.3" customHeight="1"/>
    <row r="832" ht="14.3" customHeight="1"/>
    <row r="833" ht="14.3" customHeight="1"/>
    <row r="834" ht="14.3" customHeight="1"/>
    <row r="835" ht="14.3" customHeight="1"/>
    <row r="836" ht="14.3" customHeight="1"/>
    <row r="837" ht="14.3" customHeight="1"/>
    <row r="838" ht="14.3" customHeight="1"/>
    <row r="839" ht="14.3" customHeight="1"/>
    <row r="840" ht="14.3" customHeight="1"/>
    <row r="841" ht="14.3" customHeight="1"/>
    <row r="842" ht="14.3" customHeight="1"/>
    <row r="843" ht="14.3" customHeight="1"/>
    <row r="844" ht="14.3" customHeight="1"/>
    <row r="845" ht="14.3" customHeight="1"/>
    <row r="846" ht="14.3" customHeight="1"/>
    <row r="847" ht="14.3" customHeight="1"/>
    <row r="848" ht="14.3" customHeight="1"/>
    <row r="849" ht="14.3" customHeight="1"/>
    <row r="850" ht="14.3" customHeight="1"/>
    <row r="851" ht="14.3" customHeight="1"/>
    <row r="852" ht="14.3" customHeight="1"/>
    <row r="853" ht="14.3" customHeight="1"/>
    <row r="854" ht="14.3" customHeight="1"/>
    <row r="855" ht="14.3" customHeight="1"/>
    <row r="856" ht="14.3" customHeight="1"/>
    <row r="857" ht="14.3" customHeight="1"/>
    <row r="858" ht="14.3" customHeight="1"/>
    <row r="859" ht="14.3" customHeight="1"/>
    <row r="860" ht="14.3" customHeight="1"/>
    <row r="861" ht="14.3" customHeight="1"/>
    <row r="862" ht="14.3" customHeight="1"/>
    <row r="863" ht="14.3" customHeight="1"/>
    <row r="864" ht="14.3" customHeight="1"/>
    <row r="865" ht="14.3" customHeight="1"/>
    <row r="866" ht="14.3" customHeight="1"/>
    <row r="867" ht="14.3" customHeight="1"/>
    <row r="868" ht="14.3" customHeight="1"/>
    <row r="869" ht="14.3" customHeight="1"/>
    <row r="870" ht="14.3" customHeight="1"/>
    <row r="871" ht="14.3" customHeight="1"/>
    <row r="872" ht="14.3" customHeight="1"/>
    <row r="873" ht="14.3" customHeight="1"/>
    <row r="874" ht="14.3" customHeight="1"/>
    <row r="875" ht="14.3" customHeight="1"/>
    <row r="876" ht="14.3" customHeight="1"/>
    <row r="877" ht="14.3" customHeight="1"/>
    <row r="878" ht="14.3" customHeight="1"/>
    <row r="879" ht="14.3" customHeight="1"/>
    <row r="880" ht="14.3" customHeight="1"/>
    <row r="881" ht="14.3" customHeight="1"/>
    <row r="882" ht="14.3" customHeight="1"/>
    <row r="883" ht="14.3" customHeight="1"/>
    <row r="884" ht="14.3" customHeight="1"/>
    <row r="885" ht="14.3" customHeight="1"/>
    <row r="886" ht="14.3" customHeight="1"/>
    <row r="887" ht="14.3" customHeight="1"/>
    <row r="888" ht="14.3" customHeight="1"/>
    <row r="889" ht="14.3" customHeight="1"/>
    <row r="890" ht="14.3" customHeight="1"/>
    <row r="891" ht="14.3" customHeight="1"/>
    <row r="892" ht="14.3" customHeight="1"/>
    <row r="893" ht="14.3" customHeight="1"/>
    <row r="894" ht="14.3" customHeight="1"/>
    <row r="895" ht="14.3" customHeight="1"/>
    <row r="896" ht="14.3" customHeight="1"/>
    <row r="897" ht="14.3" customHeight="1"/>
    <row r="898" ht="14.3" customHeight="1"/>
    <row r="899" ht="14.3" customHeight="1"/>
    <row r="900" ht="14.3" customHeight="1"/>
    <row r="901" ht="14.3" customHeight="1"/>
    <row r="902" ht="14.3" customHeight="1"/>
    <row r="903" ht="14.3" customHeight="1"/>
    <row r="904" ht="14.3" customHeight="1"/>
    <row r="905" ht="14.3" customHeight="1"/>
    <row r="906" ht="14.3" customHeight="1"/>
    <row r="907" ht="14.3" customHeight="1"/>
    <row r="908" ht="14.3" customHeight="1"/>
    <row r="909" ht="14.3" customHeight="1"/>
    <row r="910" ht="14.3" customHeight="1"/>
    <row r="911" ht="14.3" customHeight="1"/>
    <row r="912" ht="14.3" customHeight="1"/>
    <row r="913" ht="14.3" customHeight="1"/>
    <row r="914" ht="14.3" customHeight="1"/>
    <row r="915" ht="14.3" customHeight="1"/>
    <row r="916" ht="14.3" customHeight="1"/>
    <row r="917" ht="14.3" customHeight="1"/>
    <row r="918" ht="14.3" customHeight="1"/>
    <row r="919" ht="14.3" customHeight="1"/>
    <row r="920" ht="14.3" customHeight="1"/>
    <row r="921" ht="14.3" customHeight="1"/>
    <row r="922" ht="14.3" customHeight="1"/>
    <row r="923" ht="14.3" customHeight="1"/>
    <row r="924" ht="14.3" customHeight="1"/>
    <row r="925" ht="14.3" customHeight="1"/>
    <row r="926" ht="14.3" customHeight="1"/>
    <row r="927" ht="14.3" customHeight="1"/>
    <row r="928" ht="14.3" customHeight="1"/>
    <row r="929" ht="14.3" customHeight="1"/>
    <row r="930" ht="14.3" customHeight="1"/>
    <row r="931" ht="14.3" customHeight="1"/>
    <row r="932" ht="14.3" customHeight="1"/>
    <row r="933" ht="14.3" customHeight="1"/>
    <row r="934" ht="14.3" customHeight="1"/>
    <row r="935" ht="14.3" customHeight="1"/>
    <row r="936" ht="14.3" customHeight="1"/>
    <row r="937" ht="14.3" customHeight="1"/>
    <row r="938" ht="14.3" customHeight="1"/>
    <row r="939" ht="14.3" customHeight="1"/>
    <row r="940" ht="14.3" customHeight="1"/>
    <row r="941" ht="14.3" customHeight="1"/>
    <row r="942" ht="14.3" customHeight="1"/>
    <row r="943" ht="14.3" customHeight="1"/>
    <row r="944" ht="14.3" customHeight="1"/>
    <row r="945" ht="14.3" customHeight="1"/>
    <row r="946" ht="14.3" customHeight="1"/>
    <row r="947" ht="14.3" customHeight="1"/>
    <row r="948" ht="14.3" customHeight="1"/>
    <row r="949" ht="14.3" customHeight="1"/>
    <row r="950" ht="14.3" customHeight="1"/>
    <row r="951" ht="14.3" customHeight="1"/>
    <row r="952" ht="14.3" customHeight="1"/>
    <row r="953" ht="14.3" customHeight="1"/>
    <row r="954" ht="14.3" customHeight="1"/>
    <row r="955" ht="14.3" customHeight="1"/>
    <row r="956" ht="14.3" customHeight="1"/>
    <row r="957" ht="14.3" customHeight="1"/>
    <row r="958" ht="14.3" customHeight="1"/>
    <row r="959" ht="14.3" customHeight="1"/>
    <row r="960" ht="14.3" customHeight="1"/>
    <row r="961" ht="14.3" customHeight="1"/>
    <row r="962" ht="14.3" customHeight="1"/>
    <row r="963" ht="14.3" customHeight="1"/>
    <row r="964" ht="14.3" customHeight="1"/>
    <row r="965" ht="14.3" customHeight="1"/>
    <row r="966" ht="14.3" customHeight="1"/>
    <row r="967" ht="14.3" customHeight="1"/>
    <row r="968" ht="14.3" customHeight="1"/>
    <row r="969" ht="14.3" customHeight="1"/>
    <row r="970" ht="14.3" customHeight="1"/>
    <row r="971" ht="14.3" customHeight="1"/>
    <row r="972" ht="14.3" customHeight="1"/>
    <row r="973" ht="14.3" customHeight="1"/>
    <row r="974" ht="14.3" customHeight="1"/>
    <row r="975" ht="14.3" customHeight="1"/>
    <row r="976" ht="14.3" customHeight="1"/>
    <row r="977" ht="14.3" customHeight="1"/>
    <row r="978" ht="14.3" customHeight="1"/>
    <row r="979" ht="14.3" customHeight="1"/>
    <row r="980" ht="14.3" customHeight="1"/>
    <row r="981" ht="14.3" customHeight="1"/>
    <row r="982" ht="14.3" customHeight="1"/>
    <row r="983" ht="14.3" customHeight="1"/>
    <row r="984" ht="14.3" customHeight="1"/>
    <row r="985" ht="14.3" customHeight="1"/>
    <row r="986" ht="14.3" customHeight="1"/>
    <row r="987" ht="14.3" customHeight="1"/>
    <row r="988" ht="14.3" customHeight="1"/>
    <row r="989" ht="14.3" customHeight="1"/>
    <row r="990" ht="14.3" customHeight="1"/>
    <row r="991" ht="14.3" customHeight="1"/>
    <row r="992" ht="14.3" customHeight="1"/>
    <row r="993" ht="14.3" customHeight="1"/>
    <row r="994" ht="14.3" customHeight="1"/>
    <row r="995" ht="14.3" customHeight="1"/>
    <row r="996" ht="14.3" customHeight="1"/>
    <row r="997" ht="14.3" customHeight="1"/>
    <row r="998" ht="14.3" customHeight="1"/>
    <row r="999" ht="14.3" customHeight="1"/>
    <row r="1000" ht="14.3" customHeight="1"/>
  </sheetData>
  <mergeCells count="92">
    <mergeCell ref="A59:B59"/>
    <mergeCell ref="C59:E60"/>
    <mergeCell ref="F59:F60"/>
    <mergeCell ref="G59:M59"/>
    <mergeCell ref="N59:N60"/>
    <mergeCell ref="C35:E35"/>
    <mergeCell ref="C36:E36"/>
    <mergeCell ref="C37:E37"/>
    <mergeCell ref="C45:E45"/>
    <mergeCell ref="C46:E46"/>
    <mergeCell ref="C38:E38"/>
    <mergeCell ref="C39:E39"/>
    <mergeCell ref="C40:E40"/>
    <mergeCell ref="C41:E41"/>
    <mergeCell ref="C42:E42"/>
    <mergeCell ref="C43:E43"/>
    <mergeCell ref="C44:E44"/>
    <mergeCell ref="C30:E30"/>
    <mergeCell ref="C31:E31"/>
    <mergeCell ref="C32:E32"/>
    <mergeCell ref="C33:E33"/>
    <mergeCell ref="C34:E34"/>
    <mergeCell ref="C25:E25"/>
    <mergeCell ref="C26:E26"/>
    <mergeCell ref="C27:E27"/>
    <mergeCell ref="C28:E28"/>
    <mergeCell ref="C29:E29"/>
    <mergeCell ref="C20:E20"/>
    <mergeCell ref="C21:E21"/>
    <mergeCell ref="C22:E22"/>
    <mergeCell ref="C23:E23"/>
    <mergeCell ref="C24:E24"/>
    <mergeCell ref="C15:E15"/>
    <mergeCell ref="C16:E16"/>
    <mergeCell ref="C17:E17"/>
    <mergeCell ref="C18:E18"/>
    <mergeCell ref="C19:E19"/>
    <mergeCell ref="B6:M6"/>
    <mergeCell ref="A8:N8"/>
    <mergeCell ref="A13:B13"/>
    <mergeCell ref="C13:E14"/>
    <mergeCell ref="F13:F14"/>
    <mergeCell ref="G13:M13"/>
    <mergeCell ref="N13:N14"/>
    <mergeCell ref="B1:M1"/>
    <mergeCell ref="B2:M2"/>
    <mergeCell ref="B3:M3"/>
    <mergeCell ref="B4:M4"/>
    <mergeCell ref="B5:M5"/>
    <mergeCell ref="C136:E136"/>
    <mergeCell ref="C137:E137"/>
    <mergeCell ref="C138:E138"/>
    <mergeCell ref="C139:E139"/>
    <mergeCell ref="C140:E140"/>
    <mergeCell ref="C124:E124"/>
    <mergeCell ref="C125:E125"/>
    <mergeCell ref="C126:E126"/>
    <mergeCell ref="C127:E127"/>
    <mergeCell ref="C135:E135"/>
    <mergeCell ref="C128:E128"/>
    <mergeCell ref="C129:E129"/>
    <mergeCell ref="C130:E130"/>
    <mergeCell ref="C131:E131"/>
    <mergeCell ref="C132:E132"/>
    <mergeCell ref="C133:E133"/>
    <mergeCell ref="C134:E134"/>
    <mergeCell ref="C119:E119"/>
    <mergeCell ref="C120:E120"/>
    <mergeCell ref="C121:E121"/>
    <mergeCell ref="C122:E122"/>
    <mergeCell ref="C123:E123"/>
    <mergeCell ref="C114:E114"/>
    <mergeCell ref="C115:E115"/>
    <mergeCell ref="C116:E116"/>
    <mergeCell ref="C117:E117"/>
    <mergeCell ref="C118:E118"/>
    <mergeCell ref="C109:E109"/>
    <mergeCell ref="C110:E110"/>
    <mergeCell ref="C111:E111"/>
    <mergeCell ref="C112:E112"/>
    <mergeCell ref="C113:E113"/>
    <mergeCell ref="A105:B105"/>
    <mergeCell ref="C105:E106"/>
    <mergeCell ref="F105:F106"/>
    <mergeCell ref="C107:E107"/>
    <mergeCell ref="C108:E108"/>
    <mergeCell ref="G105:M105"/>
    <mergeCell ref="N105:N106"/>
    <mergeCell ref="C88:E88"/>
    <mergeCell ref="C89:E89"/>
    <mergeCell ref="C90:E90"/>
    <mergeCell ref="C91:E91"/>
  </mergeCells>
  <printOptions horizontalCentered="1"/>
  <pageMargins left="0.45" right="0.45" top="0.25" bottom="0.2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KELAS X</vt:lpstr>
      <vt:lpstr>KELAS XI</vt:lpstr>
      <vt:lpstr>KELAS XII</vt:lpstr>
      <vt:lpstr>Sheet1</vt:lpstr>
      <vt:lpstr>Sheet7</vt:lpstr>
      <vt:lpstr>SMATER</vt:lpstr>
      <vt:lpstr>'KELAS XII'!Print_Area</vt:lpstr>
      <vt:lpstr>'KELAS XI'!Print_Titles</vt:lpstr>
      <vt:lpstr>'KELAS XII'!Print_Titles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DOKUMENTASI SMAN 15</cp:lastModifiedBy>
  <cp:lastPrinted>2026-07-27T00:22:24Z</cp:lastPrinted>
  <dcterms:modified xsi:type="dcterms:W3CDTF">2026-07-27T00:24:29Z</dcterms:modified>
</cp:coreProperties>
</file>