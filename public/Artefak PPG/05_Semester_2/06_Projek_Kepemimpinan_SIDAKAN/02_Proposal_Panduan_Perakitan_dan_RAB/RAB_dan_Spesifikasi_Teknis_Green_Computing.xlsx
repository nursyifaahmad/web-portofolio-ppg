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 &amp; Spesifikasi Proj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7">
    <font>
      <name val="Calibri"/>
      <family val="2"/>
      <color theme="1"/>
      <sz val="11"/>
      <scheme val="minor"/>
    </font>
    <font>
      <name val="Segoe UI"/>
      <b val="1"/>
      <color rgb="001B4D3E"/>
      <sz val="16"/>
    </font>
    <font>
      <name val="Segoe UI"/>
      <i val="1"/>
      <color rgb="004A7C59"/>
      <sz val="11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color rgb="00334155"/>
      <sz val="10"/>
    </font>
    <font>
      <name val="Segoe UI"/>
      <b val="1"/>
      <color rgb="001B4D3E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5E4C"/>
        <bgColor rgb="002C5E4C"/>
      </patternFill>
    </fill>
    <fill>
      <patternFill patternType="solid">
        <fgColor rgb="00F2F7F4"/>
        <bgColor rgb="00F2F7F4"/>
      </patternFill>
    </fill>
    <fill>
      <patternFill patternType="solid">
        <fgColor rgb="00E2EFE9"/>
        <bgColor rgb="00E2EFE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B4D3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0" fontId="6" fillId="5" borderId="2" pivotButton="0" quotePrefix="0" xfId="0"/>
    <xf numFmtId="164" fontId="6" fillId="5" borderId="2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12" customWidth="1" min="4" max="4"/>
    <col width="12" customWidth="1" min="5" max="5"/>
    <col width="18" customWidth="1" min="6" max="6"/>
    <col width="22" customWidth="1" min="7" max="7"/>
  </cols>
  <sheetData>
    <row r="1">
      <c r="A1" s="1" t="inlineStr">
        <is>
          <t>RENCANA ANGGARAN BIAYA (RAB) &amp; SPESIFIKASI TEKNIS</t>
        </is>
      </c>
    </row>
    <row r="2">
      <c r="A2" s="2" t="inlineStr">
        <is>
          <t>Projek Kepemimpinan Informatika: Green Byte Initiative (SDG 12 &amp; 13)</t>
        </is>
      </c>
    </row>
    <row r="4">
      <c r="A4" s="3" t="inlineStr">
        <is>
          <t>I. RENCANA ANGGARAN BIAYA (RAB)</t>
        </is>
      </c>
    </row>
    <row r="5">
      <c r="A5" s="4" t="inlineStr">
        <is>
          <t>No</t>
        </is>
      </c>
      <c r="B5" s="4" t="inlineStr">
        <is>
          <t>Kategori</t>
        </is>
      </c>
      <c r="C5" s="4" t="inlineStr">
        <is>
          <t>Uraian / Deskripsi Komponen</t>
        </is>
      </c>
      <c r="D5" s="4" t="inlineStr">
        <is>
          <t>Volume</t>
        </is>
      </c>
      <c r="E5" s="4" t="inlineStr">
        <is>
          <t>Satuan</t>
        </is>
      </c>
      <c r="F5" s="4" t="inlineStr">
        <is>
          <t>Harga Satuan (Rp)</t>
        </is>
      </c>
      <c r="G5" s="4" t="inlineStr">
        <is>
          <t>Total Biaya (Rp)</t>
        </is>
      </c>
    </row>
    <row r="6">
      <c r="A6" s="5" t="n">
        <v>1</v>
      </c>
      <c r="B6" s="6" t="inlineStr">
        <is>
          <t>A. Persiapan &amp; Perizinan</t>
        </is>
      </c>
      <c r="C6" s="6" t="inlineStr">
        <is>
          <t>Survei awal lokasi &amp; koordinasi mitra sekolah</t>
        </is>
      </c>
      <c r="D6" s="5" t="n">
        <v>1</v>
      </c>
      <c r="E6" s="5" t="inlineStr">
        <is>
          <t>Paket</t>
        </is>
      </c>
      <c r="F6" s="7" t="n">
        <v>150000</v>
      </c>
      <c r="G6" s="7">
        <f>D6*F6</f>
        <v/>
      </c>
    </row>
    <row r="7">
      <c r="A7" s="8" t="n">
        <v>2</v>
      </c>
      <c r="B7" s="9" t="inlineStr">
        <is>
          <t>A. Persiapan &amp; Perizinan</t>
        </is>
      </c>
      <c r="C7" s="9" t="inlineStr">
        <is>
          <t>Pencetakan MoU, surat perizinan, &amp; dokumen administrasi</t>
        </is>
      </c>
      <c r="D7" s="8" t="n">
        <v>1</v>
      </c>
      <c r="E7" s="8" t="inlineStr">
        <is>
          <t>Paket</t>
        </is>
      </c>
      <c r="F7" s="10" t="n">
        <v>100000</v>
      </c>
      <c r="G7" s="10">
        <f>D7*F7</f>
        <v/>
      </c>
    </row>
    <row r="8">
      <c r="A8" s="5" t="n">
        <v>3</v>
      </c>
      <c r="B8" s="6" t="inlineStr">
        <is>
          <t>B. Perlengkapan Fisik E-Waste</t>
        </is>
      </c>
      <c r="C8" s="6" t="inlineStr">
        <is>
          <t>Tong/Box Penampungan E-Waste Heavy Duty (Custom 50-80L)</t>
        </is>
      </c>
      <c r="D8" s="5" t="n">
        <v>2</v>
      </c>
      <c r="E8" s="5" t="inlineStr">
        <is>
          <t>Unit</t>
        </is>
      </c>
      <c r="F8" s="7" t="n">
        <v>350000</v>
      </c>
      <c r="G8" s="7">
        <f>D8*F8</f>
        <v/>
      </c>
    </row>
    <row r="9">
      <c r="A9" s="8" t="n">
        <v>4</v>
      </c>
      <c r="B9" s="9" t="inlineStr">
        <is>
          <t>B. Perlengkapan Fisik E-Waste</t>
        </is>
      </c>
      <c r="C9" s="9" t="inlineStr">
        <is>
          <t>Branding &amp; Stiker Vinyl E-Waste Box (Tahan air &amp; outdoor)</t>
        </is>
      </c>
      <c r="D9" s="8" t="n">
        <v>2</v>
      </c>
      <c r="E9" s="8" t="inlineStr">
        <is>
          <t>Set</t>
        </is>
      </c>
      <c r="F9" s="10" t="n">
        <v>75000</v>
      </c>
      <c r="G9" s="10">
        <f>D9*F9</f>
        <v/>
      </c>
    </row>
    <row r="10">
      <c r="A10" s="5" t="n">
        <v>5</v>
      </c>
      <c r="B10" s="6" t="inlineStr">
        <is>
          <t>B. Perlengkapan Fisik E-Waste</t>
        </is>
      </c>
      <c r="C10" s="6" t="inlineStr">
        <is>
          <t>Alat Pelindung Diri (APD Logistik: Sarung tangan karet/ESD, masker ESD)</t>
        </is>
      </c>
      <c r="D10" s="5" t="n">
        <v>1</v>
      </c>
      <c r="E10" s="5" t="inlineStr">
        <is>
          <t>Paket</t>
        </is>
      </c>
      <c r="F10" s="7" t="n">
        <v>150000</v>
      </c>
      <c r="G10" s="7">
        <f>D10*F10</f>
        <v/>
      </c>
    </row>
    <row r="11">
      <c r="A11" s="8" t="n">
        <v>6</v>
      </c>
      <c r="B11" s="9" t="inlineStr">
        <is>
          <t>B. Perlengkapan Fisik E-Waste</t>
        </is>
      </c>
      <c r="C11" s="9" t="inlineStr">
        <is>
          <t>Timbangan Digital Gantung/Lantai Heavy Duty (Kapasitas 50-100 kg)</t>
        </is>
      </c>
      <c r="D11" s="8" t="n">
        <v>1</v>
      </c>
      <c r="E11" s="8" t="inlineStr">
        <is>
          <t>Unit</t>
        </is>
      </c>
      <c r="F11" s="10" t="n">
        <v>200000</v>
      </c>
      <c r="G11" s="10">
        <f>D11*F11</f>
        <v/>
      </c>
    </row>
    <row r="12">
      <c r="A12" s="5" t="n">
        <v>7</v>
      </c>
      <c r="B12" s="6" t="inlineStr">
        <is>
          <t>C. Edukasi &amp; Campaign Kit</t>
        </is>
      </c>
      <c r="C12" s="6" t="inlineStr">
        <is>
          <t>Cetak Banner / Spanduk Posko Pengumpulan (3x1 meter)</t>
        </is>
      </c>
      <c r="D12" s="5" t="n">
        <v>2</v>
      </c>
      <c r="E12" s="5" t="inlineStr">
        <is>
          <t>Pcs</t>
        </is>
      </c>
      <c r="F12" s="7" t="n">
        <v>85000</v>
      </c>
      <c r="G12" s="7">
        <f>D12*F12</f>
        <v/>
      </c>
    </row>
    <row r="13">
      <c r="A13" s="8" t="n">
        <v>8</v>
      </c>
      <c r="B13" s="9" t="inlineStr">
        <is>
          <t>C. Edukasi &amp; Campaign Kit</t>
        </is>
      </c>
      <c r="C13" s="9" t="inlineStr">
        <is>
          <t>Poster Edukasi A3+ Laminasi (Infografis E-Waste &amp; Green IT)</t>
        </is>
      </c>
      <c r="D13" s="8" t="n">
        <v>10</v>
      </c>
      <c r="E13" s="8" t="inlineStr">
        <is>
          <t>Lembar</t>
        </is>
      </c>
      <c r="F13" s="10" t="n">
        <v>12000</v>
      </c>
      <c r="G13" s="10">
        <f>D13*F13</f>
        <v/>
      </c>
    </row>
    <row r="14">
      <c r="A14" s="5" t="n">
        <v>9</v>
      </c>
      <c r="B14" s="6" t="inlineStr">
        <is>
          <t>C. Edukasi &amp; Campaign Kit</t>
        </is>
      </c>
      <c r="C14" s="6" t="inlineStr">
        <is>
          <t>Cetak Modul/Panduan Ringkas Green IT untuk Siswa &amp; Sekolah</t>
        </is>
      </c>
      <c r="D14" s="5" t="n">
        <v>30</v>
      </c>
      <c r="E14" s="5" t="inlineStr">
        <is>
          <t>Eksemplar</t>
        </is>
      </c>
      <c r="F14" s="7" t="n">
        <v>15000</v>
      </c>
      <c r="G14" s="7">
        <f>D14*F14</f>
        <v/>
      </c>
    </row>
    <row r="15">
      <c r="A15" s="8" t="n">
        <v>10</v>
      </c>
      <c r="B15" s="9" t="inlineStr">
        <is>
          <t>C. Edukasi &amp; Campaign Kit</t>
        </is>
      </c>
      <c r="C15" s="9" t="inlineStr">
        <is>
          <t>Snack &amp; Konsumsi Workshop Edukasi (Siswa &amp; Guru Mitra)</t>
        </is>
      </c>
      <c r="D15" s="8" t="n">
        <v>35</v>
      </c>
      <c r="E15" s="8" t="inlineStr">
        <is>
          <t>Porsi</t>
        </is>
      </c>
      <c r="F15" s="10" t="n">
        <v>20000</v>
      </c>
      <c r="G15" s="10">
        <f>D15*F15</f>
        <v/>
      </c>
    </row>
    <row r="16">
      <c r="A16" s="5" t="n">
        <v>11</v>
      </c>
      <c r="B16" s="6" t="inlineStr">
        <is>
          <t>D. Infrastruktur Digital &amp; Web</t>
        </is>
      </c>
      <c r="C16" s="6" t="inlineStr">
        <is>
          <t>Sewa Cloud Server / VPS Hosting Dashboard (1 Tahun)</t>
        </is>
      </c>
      <c r="D16" s="5" t="n">
        <v>1</v>
      </c>
      <c r="E16" s="5" t="inlineStr">
        <is>
          <t>Tahun</t>
        </is>
      </c>
      <c r="F16" s="7" t="n">
        <v>360000</v>
      </c>
      <c r="G16" s="7">
        <f>D16*F16</f>
        <v/>
      </c>
    </row>
    <row r="17">
      <c r="A17" s="8" t="n">
        <v>12</v>
      </c>
      <c r="B17" s="9" t="inlineStr">
        <is>
          <t>D. Infrastruktur Digital &amp; Web</t>
        </is>
      </c>
      <c r="C17" s="9" t="inlineStr">
        <is>
          <t>Domain Web .com / .org / .my.id (1 Tahun)</t>
        </is>
      </c>
      <c r="D17" s="8" t="n">
        <v>1</v>
      </c>
      <c r="E17" s="8" t="inlineStr">
        <is>
          <t>Tahun</t>
        </is>
      </c>
      <c r="F17" s="10" t="n">
        <v>150000</v>
      </c>
      <c r="G17" s="10">
        <f>D17*F17</f>
        <v/>
      </c>
    </row>
    <row r="18">
      <c r="A18" s="5" t="n">
        <v>13</v>
      </c>
      <c r="B18" s="6" t="inlineStr">
        <is>
          <t>E. Logistik &amp; Transportasi</t>
        </is>
      </c>
      <c r="C18" s="6" t="inlineStr">
        <is>
          <t>Biaya Angkut &amp; Transportasi Logistik Penyaluran E-Waste ke Recycler</t>
        </is>
      </c>
      <c r="D18" s="5" t="n">
        <v>1</v>
      </c>
      <c r="E18" s="5" t="inlineStr">
        <is>
          <t>Paket</t>
        </is>
      </c>
      <c r="F18" s="7" t="n">
        <v>350000</v>
      </c>
      <c r="G18" s="7">
        <f>D18*F18</f>
        <v/>
      </c>
    </row>
    <row r="19">
      <c r="A19" s="8" t="n">
        <v>14</v>
      </c>
      <c r="B19" s="9" t="inlineStr">
        <is>
          <t>F. Operational &amp; Contingency</t>
        </is>
      </c>
      <c r="C19" s="9" t="inlineStr">
        <is>
          <t>Dana Darurat / Biaya Tak Terduga (Contingency 5%)</t>
        </is>
      </c>
      <c r="D19" s="8" t="n">
        <v>1</v>
      </c>
      <c r="E19" s="8" t="inlineStr">
        <is>
          <t>Paket</t>
        </is>
      </c>
      <c r="F19" s="10" t="n">
        <v>150000</v>
      </c>
      <c r="G19" s="10">
        <f>D19*F19</f>
        <v/>
      </c>
    </row>
    <row r="20">
      <c r="A20" s="11" t="inlineStr">
        <is>
          <t>TOTAL ANGGARAN BIAYA (RAB)</t>
        </is>
      </c>
      <c r="B20" s="12" t="n"/>
      <c r="C20" s="12" t="n"/>
      <c r="D20" s="12" t="n"/>
      <c r="E20" s="12" t="n"/>
      <c r="F20" s="12" t="n"/>
      <c r="G20" s="13">
        <f>SUM(G6:G19)</f>
        <v/>
      </c>
    </row>
    <row r="23">
      <c r="A23" s="3" t="inlineStr">
        <is>
          <t>II. SPESIFIKASI KEBUTUHAN FISIK &amp; TEKNIS (INFRASTRUKTUR)</t>
        </is>
      </c>
    </row>
    <row r="24" ht="24" customHeight="1">
      <c r="A24" s="4" t="inlineStr">
        <is>
          <t>No</t>
        </is>
      </c>
      <c r="B24" s="4" t="inlineStr">
        <is>
          <t>Kategori</t>
        </is>
      </c>
      <c r="C24" s="4" t="inlineStr">
        <is>
          <t>Komponen</t>
        </is>
      </c>
      <c r="D24" s="4" t="inlineStr">
        <is>
          <t>Spesifikasi Minimal / Deskripsi Teknis</t>
        </is>
      </c>
      <c r="E24" s="14" t="n"/>
      <c r="F24" s="14" t="n"/>
      <c r="G24" s="4" t="inlineStr">
        <is>
          <t>Fungsi Utama Dalam Projek</t>
        </is>
      </c>
    </row>
    <row r="25">
      <c r="A25" s="5" t="n">
        <v>1</v>
      </c>
      <c r="B25" s="6" t="inlineStr">
        <is>
          <t>A. Fasilitas Fisik</t>
        </is>
      </c>
      <c r="C25" s="6" t="inlineStr">
        <is>
          <t>E-Waste Drop-Off Box</t>
        </is>
      </c>
      <c r="D25" s="6" t="inlineStr">
        <is>
          <t>Bahan plastik HDPE / kontainer kokoh (50-80L), dilapisi stiker vinyl instruksi pemilahan (Baterai, Kabel, Komponen Kecil).</t>
        </is>
      </c>
      <c r="E25" s="15" t="n"/>
      <c r="F25" s="15" t="n"/>
      <c r="G25" s="6" t="inlineStr">
        <is>
          <t>Tempat pengumpulan fisik e-waste terisolasi &amp; aman di sekolah.</t>
        </is>
      </c>
    </row>
    <row r="26">
      <c r="A26" s="8" t="n">
        <v>2</v>
      </c>
      <c r="B26" s="9" t="inlineStr">
        <is>
          <t>A. Fasilitas Fisik</t>
        </is>
      </c>
      <c r="C26" s="9" t="inlineStr">
        <is>
          <t>Timbangan Digital &amp; APD</t>
        </is>
      </c>
      <c r="D26" s="9" t="inlineStr">
        <is>
          <t>Timbangan gantung/lantai kapasitas max 100 kg (presisi 50g), Sarung tangan safety ESD &amp; Masker.</t>
        </is>
      </c>
      <c r="E26" s="16" t="n"/>
      <c r="F26" s="16" t="n"/>
      <c r="G26" s="9" t="inlineStr">
        <is>
          <t>Menimbang berat e-waste secara akurat &amp; menjamin keamanan tim logistik.</t>
        </is>
      </c>
    </row>
    <row r="27">
      <c r="A27" s="5" t="n">
        <v>3</v>
      </c>
      <c r="B27" s="6" t="inlineStr">
        <is>
          <t>B. Software &amp; Web</t>
        </is>
      </c>
      <c r="C27" s="6" t="inlineStr">
        <is>
          <t>Dashboard Inventarisasi</t>
        </is>
      </c>
      <c r="D27" s="6" t="inlineStr">
        <is>
          <t>Aplikasi Web Responsive (Stack: HTML/CSS/JS, Python Flask/Node.js, PostgreSQL/MySQL/SQLite).</t>
        </is>
      </c>
      <c r="E27" s="15" t="n"/>
      <c r="F27" s="15" t="n"/>
      <c r="G27" s="6" t="inlineStr">
        <is>
          <t>Pencatatan data timbulan e-waste, jenis, kategori hazard, &amp; grafik visualisasi statistik.</t>
        </is>
      </c>
    </row>
    <row r="28">
      <c r="A28" s="8" t="n">
        <v>4</v>
      </c>
      <c r="B28" s="9" t="inlineStr">
        <is>
          <t>B. Software &amp; Web</t>
        </is>
      </c>
      <c r="C28" s="9" t="inlineStr">
        <is>
          <t>Hosting &amp; Server</t>
        </is>
      </c>
      <c r="D28" s="9" t="inlineStr">
        <is>
          <t>Shared Hosting / Cloud VPS minimal 1 vCPU, 1 GB RAM, Storage 20 GB SSD, Bandwidth Unlimited.</t>
        </is>
      </c>
      <c r="E28" s="16" t="n"/>
      <c r="F28" s="16" t="n"/>
      <c r="G28" s="9" t="inlineStr">
        <is>
          <t>Menjalankan aplikasi web dashboard agar dapat diakses publik/sekolah 24/7.</t>
        </is>
      </c>
    </row>
    <row r="29">
      <c r="A29" s="5" t="n">
        <v>5</v>
      </c>
      <c r="B29" s="6" t="inlineStr">
        <is>
          <t>C. Edukasi &amp; Media</t>
        </is>
      </c>
      <c r="C29" s="6" t="inlineStr">
        <is>
          <t>E-Module &amp; Campaign Kit</t>
        </is>
      </c>
      <c r="D29" s="6" t="inlineStr">
        <is>
          <t>Modul Digital PDF &amp; Cetak A5, Flyer/Poster Infografis digital untuk Instagram/WhatsApp sekolah.</t>
        </is>
      </c>
      <c r="E29" s="15" t="n"/>
      <c r="F29" s="15" t="n"/>
      <c r="G29" s="6" t="inlineStr">
        <is>
          <t>Bahan ajar materi Green IT, Jejak Karbon Digital, &amp; prosedur pemilahan e-waste.</t>
        </is>
      </c>
    </row>
    <row r="30">
      <c r="A30" s="8" t="n">
        <v>6</v>
      </c>
      <c r="B30" s="9" t="inlineStr">
        <is>
          <t>D. Pengolahan Akhir</t>
        </is>
      </c>
      <c r="C30" s="9" t="inlineStr">
        <is>
          <t>Kemitraan Recycler</t>
        </is>
      </c>
      <c r="D30" s="9" t="inlineStr">
        <is>
          <t>Mitra Pengolah Resmi (misal: E-waste Pas分类/Komunitas Daur Ulang terlisensi KLHK/Pemda).</t>
        </is>
      </c>
      <c r="E30" s="16" t="n"/>
      <c r="F30" s="16" t="n"/>
      <c r="G30" s="9" t="inlineStr">
        <is>
          <t>Menjamin e-waste tidak berakhir di TPA, melainkan didaur ulang sesuai standar lingkungan.</t>
        </is>
      </c>
    </row>
  </sheetData>
  <mergeCells count="10">
    <mergeCell ref="D28:F28"/>
    <mergeCell ref="D29:F29"/>
    <mergeCell ref="D27:F27"/>
    <mergeCell ref="D30:F30"/>
    <mergeCell ref="A4:G4"/>
    <mergeCell ref="D26:F26"/>
    <mergeCell ref="A23:G23"/>
    <mergeCell ref="A20:F20"/>
    <mergeCell ref="D25:F25"/>
    <mergeCell ref="D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2026-07-28T00:50:02Z</dcterms:created>
  <dcterms:modified xmlns:dcterms="http://purl.org/dc/terms/" xmlns:xsi="http://www.w3.org/2001/XMLSchema-instance" xsi:type="dcterms:W3CDTF">2026-07-28T00:50:02Z</dcterms:modified>
</cp:coreProperties>
</file>