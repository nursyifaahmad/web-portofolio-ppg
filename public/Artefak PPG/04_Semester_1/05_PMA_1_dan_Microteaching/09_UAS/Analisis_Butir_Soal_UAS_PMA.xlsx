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Jawaban &amp; Skor" sheetId="1" state="visible" r:id="rId1"/>
    <sheet xmlns:r="http://schemas.openxmlformats.org/officeDocument/2006/relationships" name="Analisis Butir Soal" sheetId="2" state="visible" r:id="rId2"/>
    <sheet xmlns:r="http://schemas.openxmlformats.org/officeDocument/2006/relationships" name="Reliabilitas &amp; 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B365D"/>
        <bgColor rgb="001B365D"/>
      </patternFill>
    </fill>
    <fill>
      <patternFill patternType="solid">
        <fgColor rgb="00E6F0FA"/>
        <bgColor rgb="00E6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3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2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3" borderId="0" pivotButton="0" quotePrefix="0" xfId="0"/>
    <xf numFmtId="2" fontId="0" fillId="0" borderId="1" pivotButton="0" quotePrefix="0" xfId="0"/>
    <xf numFmtId="2" fontId="0" fillId="0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13" customWidth="1" min="2" max="2"/>
    <col width="63" customWidth="1" min="3" max="3"/>
    <col width="63" customWidth="1" min="4" max="4"/>
    <col width="63" customWidth="1" min="5" max="5"/>
    <col width="63" customWidth="1" min="6" max="6"/>
    <col width="63" customWidth="1" min="7" max="7"/>
    <col width="63" customWidth="1" min="8" max="8"/>
    <col width="63" customWidth="1" min="9" max="9"/>
    <col width="63" customWidth="1" min="10" max="10"/>
    <col width="63" customWidth="1" min="11" max="11"/>
    <col width="63" customWidth="1" min="12" max="12"/>
    <col width="63" customWidth="1" min="13" max="13"/>
    <col width="63" customWidth="1" min="14" max="14"/>
    <col width="63" customWidth="1" min="15" max="15"/>
    <col width="63" customWidth="1" min="16" max="16"/>
    <col width="63" customWidth="1" min="17" max="17"/>
    <col width="63" customWidth="1" min="18" max="18"/>
    <col width="63" customWidth="1" min="19" max="19"/>
    <col width="63" customWidth="1" min="20" max="20"/>
    <col width="63" customWidth="1" min="21" max="21"/>
    <col width="63" customWidth="1" min="22" max="22"/>
    <col width="323" customWidth="1" min="23" max="23"/>
    <col width="56" customWidth="1" min="24" max="24"/>
  </cols>
  <sheetData>
    <row r="1">
      <c r="A1" s="1" t="inlineStr">
        <is>
          <t>ANALISIS HASIL EVALUASI PESERTA DIDIK</t>
        </is>
      </c>
    </row>
    <row r="2">
      <c r="A2" s="2" t="inlineStr">
        <is>
          <t>Mata Pelajaran: PMA | Jumlah Peserta: 20 Siswa | Jumlah Soal: 20 Butir</t>
        </is>
      </c>
    </row>
    <row r="3"/>
    <row r="4">
      <c r="A4" s="3" t="inlineStr">
        <is>
          <t>KUNCI JAWABAN</t>
        </is>
      </c>
      <c r="C4" s="4" t="inlineStr">
        <is>
          <t>A</t>
        </is>
      </c>
      <c r="D4" s="4" t="inlineStr">
        <is>
          <t>B</t>
        </is>
      </c>
      <c r="E4" s="4" t="inlineStr">
        <is>
          <t>B</t>
        </is>
      </c>
      <c r="F4" s="4" t="inlineStr">
        <is>
          <t>A</t>
        </is>
      </c>
      <c r="G4" s="4" t="inlineStr">
        <is>
          <t>C</t>
        </is>
      </c>
      <c r="H4" s="4" t="inlineStr">
        <is>
          <t>C</t>
        </is>
      </c>
      <c r="I4" s="4" t="inlineStr">
        <is>
          <t>A</t>
        </is>
      </c>
      <c r="J4" s="4" t="inlineStr">
        <is>
          <t>C</t>
        </is>
      </c>
      <c r="K4" s="4" t="inlineStr">
        <is>
          <t>D</t>
        </is>
      </c>
      <c r="L4" s="4" t="inlineStr">
        <is>
          <t>E</t>
        </is>
      </c>
      <c r="M4" s="4" t="inlineStr">
        <is>
          <t>E</t>
        </is>
      </c>
      <c r="N4" s="4" t="inlineStr">
        <is>
          <t>D</t>
        </is>
      </c>
      <c r="O4" s="4" t="inlineStr">
        <is>
          <t>D</t>
        </is>
      </c>
      <c r="P4" s="4" t="inlineStr">
        <is>
          <t>C</t>
        </is>
      </c>
      <c r="Q4" s="4" t="inlineStr">
        <is>
          <t>C</t>
        </is>
      </c>
      <c r="R4" s="4" t="inlineStr">
        <is>
          <t>B</t>
        </is>
      </c>
      <c r="S4" s="4" t="inlineStr">
        <is>
          <t>B</t>
        </is>
      </c>
      <c r="T4" s="4" t="inlineStr">
        <is>
          <t>A</t>
        </is>
      </c>
      <c r="U4" s="4" t="inlineStr">
        <is>
          <t>A</t>
        </is>
      </c>
      <c r="V4" s="4" t="inlineStr">
        <is>
          <t>E</t>
        </is>
      </c>
      <c r="W4" t="inlineStr"/>
    </row>
    <row r="5">
      <c r="A5" s="5" t="inlineStr">
        <is>
          <t>NO</t>
        </is>
      </c>
      <c r="B5" s="5" t="inlineStr">
        <is>
          <t>NAMA SISWA</t>
        </is>
      </c>
      <c r="C5" s="5" t="inlineStr">
        <is>
          <t>S1</t>
        </is>
      </c>
      <c r="D5" s="5" t="inlineStr">
        <is>
          <t>S2</t>
        </is>
      </c>
      <c r="E5" s="5" t="inlineStr">
        <is>
          <t>S3</t>
        </is>
      </c>
      <c r="F5" s="5" t="inlineStr">
        <is>
          <t>S4</t>
        </is>
      </c>
      <c r="G5" s="5" t="inlineStr">
        <is>
          <t>S5</t>
        </is>
      </c>
      <c r="H5" s="5" t="inlineStr">
        <is>
          <t>S6</t>
        </is>
      </c>
      <c r="I5" s="5" t="inlineStr">
        <is>
          <t>S7</t>
        </is>
      </c>
      <c r="J5" s="5" t="inlineStr">
        <is>
          <t>S8</t>
        </is>
      </c>
      <c r="K5" s="5" t="inlineStr">
        <is>
          <t>S9</t>
        </is>
      </c>
      <c r="L5" s="5" t="inlineStr">
        <is>
          <t>S10</t>
        </is>
      </c>
      <c r="M5" s="5" t="inlineStr">
        <is>
          <t>S11</t>
        </is>
      </c>
      <c r="N5" s="5" t="inlineStr">
        <is>
          <t>S12</t>
        </is>
      </c>
      <c r="O5" s="5" t="inlineStr">
        <is>
          <t>S13</t>
        </is>
      </c>
      <c r="P5" s="5" t="inlineStr">
        <is>
          <t>S14</t>
        </is>
      </c>
      <c r="Q5" s="5" t="inlineStr">
        <is>
          <t>S15</t>
        </is>
      </c>
      <c r="R5" s="5" t="inlineStr">
        <is>
          <t>S16</t>
        </is>
      </c>
      <c r="S5" s="5" t="inlineStr">
        <is>
          <t>S17</t>
        </is>
      </c>
      <c r="T5" s="5" t="inlineStr">
        <is>
          <t>S18</t>
        </is>
      </c>
      <c r="U5" s="5" t="inlineStr">
        <is>
          <t>S19</t>
        </is>
      </c>
      <c r="V5" s="5" t="inlineStr">
        <is>
          <t>S20</t>
        </is>
      </c>
      <c r="W5" s="5" t="inlineStr">
        <is>
          <t>SKOR TOTAL</t>
        </is>
      </c>
    </row>
    <row r="6">
      <c r="A6" s="6" t="n">
        <v>1</v>
      </c>
      <c r="B6" s="7" t="inlineStr">
        <is>
          <t>Siswa 1</t>
        </is>
      </c>
      <c r="C6" s="6" t="inlineStr">
        <is>
          <t>B</t>
        </is>
      </c>
      <c r="D6" s="6" t="inlineStr">
        <is>
          <t>B</t>
        </is>
      </c>
      <c r="E6" s="6" t="inlineStr">
        <is>
          <t>A</t>
        </is>
      </c>
      <c r="F6" s="6" t="inlineStr">
        <is>
          <t>B</t>
        </is>
      </c>
      <c r="G6" s="6" t="inlineStr">
        <is>
          <t>A</t>
        </is>
      </c>
      <c r="H6" s="6" t="inlineStr">
        <is>
          <t>C</t>
        </is>
      </c>
      <c r="I6" s="6" t="inlineStr">
        <is>
          <t>C</t>
        </is>
      </c>
      <c r="J6" s="6" t="inlineStr">
        <is>
          <t>C</t>
        </is>
      </c>
      <c r="K6" s="6" t="inlineStr">
        <is>
          <t>B</t>
        </is>
      </c>
      <c r="L6" s="6" t="inlineStr">
        <is>
          <t>A</t>
        </is>
      </c>
      <c r="M6" s="6" t="inlineStr">
        <is>
          <t>E</t>
        </is>
      </c>
      <c r="N6" s="6" t="inlineStr">
        <is>
          <t>D</t>
        </is>
      </c>
      <c r="O6" s="6" t="inlineStr">
        <is>
          <t>D</t>
        </is>
      </c>
      <c r="P6" s="6" t="inlineStr">
        <is>
          <t>C</t>
        </is>
      </c>
      <c r="Q6" s="6" t="inlineStr">
        <is>
          <t>C</t>
        </is>
      </c>
      <c r="R6" s="6" t="inlineStr">
        <is>
          <t>B</t>
        </is>
      </c>
      <c r="S6" s="6" t="inlineStr">
        <is>
          <t>B</t>
        </is>
      </c>
      <c r="T6" s="6" t="inlineStr">
        <is>
          <t>C</t>
        </is>
      </c>
      <c r="U6" s="6" t="inlineStr">
        <is>
          <t>B</t>
        </is>
      </c>
      <c r="V6" s="6" t="inlineStr">
        <is>
          <t>B</t>
        </is>
      </c>
      <c r="W6" s="8">
        <f>IF(C6=C$4,1,0)+IF(D6=D$4,1,0)+IF(E6=E$4,1,0)+IF(F6=F$4,1,0)+IF(G6=G$4,1,0)+IF(H6=H$4,1,0)+IF(I6=I$4,1,0)+IF(J6=J$4,1,0)+IF(K6=K$4,1,0)+IF(L6=L$4,1,0)+IF(M6=M$4,1,0)+IF(N6=N$4,1,0)+IF(O6=O$4,1,0)+IF(P6=P$4,1,0)+IF(Q6=Q$4,1,0)+IF(R6=R$4,1,0)+IF(S6=S$4,1,0)+IF(T6=T$4,1,0)+IF(U6=U$4,1,0)+IF(V6=V$4,1,0)</f>
        <v/>
      </c>
    </row>
    <row r="7">
      <c r="A7" s="6" t="n">
        <v>2</v>
      </c>
      <c r="B7" s="7" t="inlineStr">
        <is>
          <t>Siswa 2</t>
        </is>
      </c>
      <c r="C7" s="6" t="inlineStr">
        <is>
          <t>A</t>
        </is>
      </c>
      <c r="D7" s="6" t="inlineStr">
        <is>
          <t>A</t>
        </is>
      </c>
      <c r="E7" s="6" t="inlineStr">
        <is>
          <t>B</t>
        </is>
      </c>
      <c r="F7" s="6" t="inlineStr">
        <is>
          <t>B</t>
        </is>
      </c>
      <c r="G7" s="6" t="inlineStr">
        <is>
          <t>A</t>
        </is>
      </c>
      <c r="H7" s="6" t="inlineStr">
        <is>
          <t>C</t>
        </is>
      </c>
      <c r="I7" s="6" t="inlineStr">
        <is>
          <t>C</t>
        </is>
      </c>
      <c r="J7" s="6" t="inlineStr">
        <is>
          <t>A</t>
        </is>
      </c>
      <c r="K7" s="6" t="inlineStr">
        <is>
          <t>C</t>
        </is>
      </c>
      <c r="L7" s="6" t="inlineStr">
        <is>
          <t>A</t>
        </is>
      </c>
      <c r="M7" s="6" t="inlineStr">
        <is>
          <t>C</t>
        </is>
      </c>
      <c r="N7" s="6" t="inlineStr">
        <is>
          <t>D</t>
        </is>
      </c>
      <c r="O7" s="6" t="inlineStr">
        <is>
          <t>E</t>
        </is>
      </c>
      <c r="P7" s="6" t="inlineStr">
        <is>
          <t>E</t>
        </is>
      </c>
      <c r="Q7" s="6" t="inlineStr">
        <is>
          <t>C</t>
        </is>
      </c>
      <c r="R7" s="6" t="inlineStr">
        <is>
          <t>B</t>
        </is>
      </c>
      <c r="S7" s="6" t="inlineStr">
        <is>
          <t>B</t>
        </is>
      </c>
      <c r="T7" s="6" t="inlineStr">
        <is>
          <t>A</t>
        </is>
      </c>
      <c r="U7" s="6" t="inlineStr">
        <is>
          <t>A</t>
        </is>
      </c>
      <c r="V7" s="6" t="inlineStr">
        <is>
          <t>A</t>
        </is>
      </c>
      <c r="W7" s="8">
        <f>IF(C7=C$4,1,0)+IF(D7=D$4,1,0)+IF(E7=E$4,1,0)+IF(F7=F$4,1,0)+IF(G7=G$4,1,0)+IF(H7=H$4,1,0)+IF(I7=I$4,1,0)+IF(J7=J$4,1,0)+IF(K7=K$4,1,0)+IF(L7=L$4,1,0)+IF(M7=M$4,1,0)+IF(N7=N$4,1,0)+IF(O7=O$4,1,0)+IF(P7=P$4,1,0)+IF(Q7=Q$4,1,0)+IF(R7=R$4,1,0)+IF(S7=S$4,1,0)+IF(T7=T$4,1,0)+IF(U7=U$4,1,0)+IF(V7=V$4,1,0)</f>
        <v/>
      </c>
    </row>
    <row r="8">
      <c r="A8" s="6" t="n">
        <v>3</v>
      </c>
      <c r="B8" s="7" t="inlineStr">
        <is>
          <t>Siswa 3</t>
        </is>
      </c>
      <c r="C8" s="6" t="inlineStr">
        <is>
          <t>B</t>
        </is>
      </c>
      <c r="D8" s="6" t="inlineStr">
        <is>
          <t>B</t>
        </is>
      </c>
      <c r="E8" s="6" t="inlineStr">
        <is>
          <t>B</t>
        </is>
      </c>
      <c r="F8" s="6" t="inlineStr">
        <is>
          <t>A</t>
        </is>
      </c>
      <c r="G8" s="6" t="inlineStr">
        <is>
          <t>C</t>
        </is>
      </c>
      <c r="H8" s="6" t="inlineStr">
        <is>
          <t>C</t>
        </is>
      </c>
      <c r="I8" s="6" t="inlineStr">
        <is>
          <t>C</t>
        </is>
      </c>
      <c r="J8" s="6" t="inlineStr">
        <is>
          <t>A</t>
        </is>
      </c>
      <c r="K8" s="6" t="inlineStr">
        <is>
          <t>D</t>
        </is>
      </c>
      <c r="L8" s="6" t="inlineStr">
        <is>
          <t>E</t>
        </is>
      </c>
      <c r="M8" s="6" t="inlineStr">
        <is>
          <t>E</t>
        </is>
      </c>
      <c r="N8" s="6" t="inlineStr">
        <is>
          <t>D</t>
        </is>
      </c>
      <c r="O8" s="6" t="inlineStr">
        <is>
          <t>D</t>
        </is>
      </c>
      <c r="P8" s="6" t="inlineStr">
        <is>
          <t>C</t>
        </is>
      </c>
      <c r="Q8" s="6" t="inlineStr">
        <is>
          <t>C</t>
        </is>
      </c>
      <c r="R8" s="6" t="inlineStr">
        <is>
          <t>B</t>
        </is>
      </c>
      <c r="S8" s="6" t="inlineStr">
        <is>
          <t>B</t>
        </is>
      </c>
      <c r="T8" s="6" t="inlineStr">
        <is>
          <t>C</t>
        </is>
      </c>
      <c r="U8" s="6" t="inlineStr">
        <is>
          <t>B</t>
        </is>
      </c>
      <c r="V8" s="6" t="inlineStr">
        <is>
          <t>B</t>
        </is>
      </c>
      <c r="W8" s="8">
        <f>IF(C8=C$4,1,0)+IF(D8=D$4,1,0)+IF(E8=E$4,1,0)+IF(F8=F$4,1,0)+IF(G8=G$4,1,0)+IF(H8=H$4,1,0)+IF(I8=I$4,1,0)+IF(J8=J$4,1,0)+IF(K8=K$4,1,0)+IF(L8=L$4,1,0)+IF(M8=M$4,1,0)+IF(N8=N$4,1,0)+IF(O8=O$4,1,0)+IF(P8=P$4,1,0)+IF(Q8=Q$4,1,0)+IF(R8=R$4,1,0)+IF(S8=S$4,1,0)+IF(T8=T$4,1,0)+IF(U8=U$4,1,0)+IF(V8=V$4,1,0)</f>
        <v/>
      </c>
    </row>
    <row r="9">
      <c r="A9" s="6" t="n">
        <v>4</v>
      </c>
      <c r="B9" s="7" t="inlineStr">
        <is>
          <t>Siswa 4</t>
        </is>
      </c>
      <c r="C9" s="6" t="inlineStr">
        <is>
          <t>A</t>
        </is>
      </c>
      <c r="D9" s="6" t="inlineStr">
        <is>
          <t>A</t>
        </is>
      </c>
      <c r="E9" s="6" t="inlineStr">
        <is>
          <t>B</t>
        </is>
      </c>
      <c r="F9" s="6" t="inlineStr">
        <is>
          <t>B</t>
        </is>
      </c>
      <c r="G9" s="6" t="inlineStr">
        <is>
          <t>A</t>
        </is>
      </c>
      <c r="H9" s="6" t="inlineStr">
        <is>
          <t>D</t>
        </is>
      </c>
      <c r="I9" s="6" t="inlineStr">
        <is>
          <t>C</t>
        </is>
      </c>
      <c r="J9" s="6" t="inlineStr">
        <is>
          <t>A</t>
        </is>
      </c>
      <c r="K9" s="6" t="inlineStr">
        <is>
          <t>D</t>
        </is>
      </c>
      <c r="L9" s="6" t="inlineStr">
        <is>
          <t>E</t>
        </is>
      </c>
      <c r="M9" s="6" t="inlineStr">
        <is>
          <t>E</t>
        </is>
      </c>
      <c r="N9" s="6" t="inlineStr">
        <is>
          <t>D</t>
        </is>
      </c>
      <c r="O9" s="6" t="inlineStr">
        <is>
          <t>D</t>
        </is>
      </c>
      <c r="P9" s="6" t="inlineStr">
        <is>
          <t>C</t>
        </is>
      </c>
      <c r="Q9" s="6" t="inlineStr">
        <is>
          <t>C</t>
        </is>
      </c>
      <c r="R9" s="6" t="inlineStr">
        <is>
          <t>C</t>
        </is>
      </c>
      <c r="S9" s="6" t="inlineStr">
        <is>
          <t>B</t>
        </is>
      </c>
      <c r="T9" s="6" t="inlineStr">
        <is>
          <t>B</t>
        </is>
      </c>
      <c r="U9" s="6" t="inlineStr">
        <is>
          <t>A</t>
        </is>
      </c>
      <c r="V9" s="6" t="inlineStr">
        <is>
          <t>A</t>
        </is>
      </c>
      <c r="W9" s="8">
        <f>IF(C9=C$4,1,0)+IF(D9=D$4,1,0)+IF(E9=E$4,1,0)+IF(F9=F$4,1,0)+IF(G9=G$4,1,0)+IF(H9=H$4,1,0)+IF(I9=I$4,1,0)+IF(J9=J$4,1,0)+IF(K9=K$4,1,0)+IF(L9=L$4,1,0)+IF(M9=M$4,1,0)+IF(N9=N$4,1,0)+IF(O9=O$4,1,0)+IF(P9=P$4,1,0)+IF(Q9=Q$4,1,0)+IF(R9=R$4,1,0)+IF(S9=S$4,1,0)+IF(T9=T$4,1,0)+IF(U9=U$4,1,0)+IF(V9=V$4,1,0)</f>
        <v/>
      </c>
    </row>
    <row r="10">
      <c r="A10" s="6" t="n">
        <v>5</v>
      </c>
      <c r="B10" s="7" t="inlineStr">
        <is>
          <t>Siswa 5</t>
        </is>
      </c>
      <c r="C10" s="6" t="inlineStr">
        <is>
          <t>B</t>
        </is>
      </c>
      <c r="D10" s="6" t="inlineStr">
        <is>
          <t>A</t>
        </is>
      </c>
      <c r="E10" s="6" t="inlineStr">
        <is>
          <t>B</t>
        </is>
      </c>
      <c r="F10" s="6" t="inlineStr">
        <is>
          <t>A</t>
        </is>
      </c>
      <c r="G10" s="6" t="inlineStr">
        <is>
          <t>D</t>
        </is>
      </c>
      <c r="H10" s="6" t="inlineStr">
        <is>
          <t>C</t>
        </is>
      </c>
      <c r="I10" s="6" t="inlineStr">
        <is>
          <t>A</t>
        </is>
      </c>
      <c r="J10" s="6" t="inlineStr">
        <is>
          <t>C</t>
        </is>
      </c>
      <c r="K10" s="6" t="inlineStr">
        <is>
          <t>D</t>
        </is>
      </c>
      <c r="L10" s="6" t="inlineStr">
        <is>
          <t>E</t>
        </is>
      </c>
      <c r="M10" s="6" t="inlineStr">
        <is>
          <t>E</t>
        </is>
      </c>
      <c r="N10" s="6" t="inlineStr">
        <is>
          <t>A</t>
        </is>
      </c>
      <c r="O10" s="6" t="inlineStr">
        <is>
          <t>C</t>
        </is>
      </c>
      <c r="P10" s="6" t="inlineStr">
        <is>
          <t>C</t>
        </is>
      </c>
      <c r="Q10" s="6" t="inlineStr">
        <is>
          <t>A</t>
        </is>
      </c>
      <c r="R10" s="6" t="inlineStr">
        <is>
          <t>C</t>
        </is>
      </c>
      <c r="S10" s="6" t="inlineStr">
        <is>
          <t>D</t>
        </is>
      </c>
      <c r="T10" s="6" t="inlineStr">
        <is>
          <t>E</t>
        </is>
      </c>
      <c r="U10" s="6" t="inlineStr">
        <is>
          <t>E</t>
        </is>
      </c>
      <c r="V10" s="6" t="inlineStr">
        <is>
          <t>E</t>
        </is>
      </c>
      <c r="W10" s="8">
        <f>IF(C10=C$4,1,0)+IF(D10=D$4,1,0)+IF(E10=E$4,1,0)+IF(F10=F$4,1,0)+IF(G10=G$4,1,0)+IF(H10=H$4,1,0)+IF(I10=I$4,1,0)+IF(J10=J$4,1,0)+IF(K10=K$4,1,0)+IF(L10=L$4,1,0)+IF(M10=M$4,1,0)+IF(N10=N$4,1,0)+IF(O10=O$4,1,0)+IF(P10=P$4,1,0)+IF(Q10=Q$4,1,0)+IF(R10=R$4,1,0)+IF(S10=S$4,1,0)+IF(T10=T$4,1,0)+IF(U10=U$4,1,0)+IF(V10=V$4,1,0)</f>
        <v/>
      </c>
    </row>
    <row r="11">
      <c r="A11" s="6" t="n">
        <v>6</v>
      </c>
      <c r="B11" s="7" t="inlineStr">
        <is>
          <t>Siswa 6</t>
        </is>
      </c>
      <c r="C11" s="6" t="inlineStr">
        <is>
          <t>B</t>
        </is>
      </c>
      <c r="D11" s="6" t="inlineStr">
        <is>
          <t>B</t>
        </is>
      </c>
      <c r="E11" s="6" t="inlineStr">
        <is>
          <t>A</t>
        </is>
      </c>
      <c r="F11" s="6" t="inlineStr">
        <is>
          <t>D</t>
        </is>
      </c>
      <c r="G11" s="6" t="inlineStr">
        <is>
          <t>C</t>
        </is>
      </c>
      <c r="H11" s="6" t="inlineStr">
        <is>
          <t>A</t>
        </is>
      </c>
      <c r="I11" s="6" t="inlineStr">
        <is>
          <t>C</t>
        </is>
      </c>
      <c r="J11" s="6" t="inlineStr">
        <is>
          <t>D</t>
        </is>
      </c>
      <c r="K11" s="6" t="inlineStr">
        <is>
          <t>E</t>
        </is>
      </c>
      <c r="L11" s="6" t="inlineStr">
        <is>
          <t>E</t>
        </is>
      </c>
      <c r="M11" s="6" t="inlineStr">
        <is>
          <t>D</t>
        </is>
      </c>
      <c r="N11" s="6" t="inlineStr">
        <is>
          <t>D</t>
        </is>
      </c>
      <c r="O11" s="6" t="inlineStr">
        <is>
          <t>E</t>
        </is>
      </c>
      <c r="P11" s="6" t="inlineStr">
        <is>
          <t>D</t>
        </is>
      </c>
      <c r="Q11" s="6" t="inlineStr">
        <is>
          <t>D</t>
        </is>
      </c>
      <c r="R11" s="6" t="inlineStr">
        <is>
          <t>B</t>
        </is>
      </c>
      <c r="S11" s="6" t="inlineStr">
        <is>
          <t>B</t>
        </is>
      </c>
      <c r="T11" s="6" t="inlineStr">
        <is>
          <t>C</t>
        </is>
      </c>
      <c r="U11" s="6" t="inlineStr">
        <is>
          <t>B</t>
        </is>
      </c>
      <c r="V11" s="6" t="inlineStr">
        <is>
          <t>B</t>
        </is>
      </c>
      <c r="W11" s="8">
        <f>IF(C11=C$4,1,0)+IF(D11=D$4,1,0)+IF(E11=E$4,1,0)+IF(F11=F$4,1,0)+IF(G11=G$4,1,0)+IF(H11=H$4,1,0)+IF(I11=I$4,1,0)+IF(J11=J$4,1,0)+IF(K11=K$4,1,0)+IF(L11=L$4,1,0)+IF(M11=M$4,1,0)+IF(N11=N$4,1,0)+IF(O11=O$4,1,0)+IF(P11=P$4,1,0)+IF(Q11=Q$4,1,0)+IF(R11=R$4,1,0)+IF(S11=S$4,1,0)+IF(T11=T$4,1,0)+IF(U11=U$4,1,0)+IF(V11=V$4,1,0)</f>
        <v/>
      </c>
    </row>
    <row r="12">
      <c r="A12" s="6" t="n">
        <v>7</v>
      </c>
      <c r="B12" s="7" t="inlineStr">
        <is>
          <t>Siswa 7</t>
        </is>
      </c>
      <c r="C12" s="6" t="inlineStr">
        <is>
          <t>A</t>
        </is>
      </c>
      <c r="D12" s="6" t="inlineStr">
        <is>
          <t>B</t>
        </is>
      </c>
      <c r="E12" s="6" t="inlineStr">
        <is>
          <t>B</t>
        </is>
      </c>
      <c r="F12" s="6" t="inlineStr">
        <is>
          <t>A</t>
        </is>
      </c>
      <c r="G12" s="6" t="inlineStr">
        <is>
          <t>D</t>
        </is>
      </c>
      <c r="H12" s="6" t="inlineStr">
        <is>
          <t>C</t>
        </is>
      </c>
      <c r="I12" s="6" t="inlineStr">
        <is>
          <t>A</t>
        </is>
      </c>
      <c r="J12" s="6" t="inlineStr">
        <is>
          <t>C</t>
        </is>
      </c>
      <c r="K12" s="6" t="inlineStr">
        <is>
          <t>C</t>
        </is>
      </c>
      <c r="L12" s="6" t="inlineStr">
        <is>
          <t>A</t>
        </is>
      </c>
      <c r="M12" s="6" t="inlineStr">
        <is>
          <t>C</t>
        </is>
      </c>
      <c r="N12" s="6" t="inlineStr">
        <is>
          <t>D</t>
        </is>
      </c>
      <c r="O12" s="6" t="inlineStr">
        <is>
          <t>E</t>
        </is>
      </c>
      <c r="P12" s="6" t="inlineStr">
        <is>
          <t>E</t>
        </is>
      </c>
      <c r="Q12" s="6" t="inlineStr">
        <is>
          <t>C</t>
        </is>
      </c>
      <c r="R12" s="6" t="inlineStr">
        <is>
          <t>B</t>
        </is>
      </c>
      <c r="S12" s="6" t="inlineStr">
        <is>
          <t>B</t>
        </is>
      </c>
      <c r="T12" s="6" t="inlineStr">
        <is>
          <t>A</t>
        </is>
      </c>
      <c r="U12" s="6" t="inlineStr">
        <is>
          <t>A</t>
        </is>
      </c>
      <c r="V12" s="6" t="inlineStr">
        <is>
          <t>C</t>
        </is>
      </c>
      <c r="W12" s="8">
        <f>IF(C12=C$4,1,0)+IF(D12=D$4,1,0)+IF(E12=E$4,1,0)+IF(F12=F$4,1,0)+IF(G12=G$4,1,0)+IF(H12=H$4,1,0)+IF(I12=I$4,1,0)+IF(J12=J$4,1,0)+IF(K12=K$4,1,0)+IF(L12=L$4,1,0)+IF(M12=M$4,1,0)+IF(N12=N$4,1,0)+IF(O12=O$4,1,0)+IF(P12=P$4,1,0)+IF(Q12=Q$4,1,0)+IF(R12=R$4,1,0)+IF(S12=S$4,1,0)+IF(T12=T$4,1,0)+IF(U12=U$4,1,0)+IF(V12=V$4,1,0)</f>
        <v/>
      </c>
    </row>
    <row r="13">
      <c r="A13" s="6" t="n">
        <v>8</v>
      </c>
      <c r="B13" s="7" t="inlineStr">
        <is>
          <t>Siswa 8</t>
        </is>
      </c>
      <c r="C13" s="6" t="inlineStr">
        <is>
          <t>C</t>
        </is>
      </c>
      <c r="D13" s="6" t="inlineStr">
        <is>
          <t>A</t>
        </is>
      </c>
      <c r="E13" s="6" t="inlineStr">
        <is>
          <t>C</t>
        </is>
      </c>
      <c r="F13" s="6" t="inlineStr">
        <is>
          <t>D</t>
        </is>
      </c>
      <c r="G13" s="6" t="inlineStr">
        <is>
          <t>E</t>
        </is>
      </c>
      <c r="H13" s="6" t="inlineStr">
        <is>
          <t>E</t>
        </is>
      </c>
      <c r="I13" s="6" t="inlineStr">
        <is>
          <t>D</t>
        </is>
      </c>
      <c r="J13" s="6" t="inlineStr">
        <is>
          <t>D</t>
        </is>
      </c>
      <c r="K13" s="6" t="inlineStr">
        <is>
          <t>D</t>
        </is>
      </c>
      <c r="L13" s="6" t="inlineStr">
        <is>
          <t>E</t>
        </is>
      </c>
      <c r="M13" s="6" t="inlineStr">
        <is>
          <t>E</t>
        </is>
      </c>
      <c r="N13" s="6" t="inlineStr">
        <is>
          <t>D</t>
        </is>
      </c>
      <c r="O13" s="6" t="inlineStr">
        <is>
          <t>D</t>
        </is>
      </c>
      <c r="P13" s="6" t="inlineStr">
        <is>
          <t>C</t>
        </is>
      </c>
      <c r="Q13" s="6" t="inlineStr">
        <is>
          <t>B</t>
        </is>
      </c>
      <c r="R13" s="6" t="inlineStr">
        <is>
          <t>B</t>
        </is>
      </c>
      <c r="S13" s="6" t="inlineStr">
        <is>
          <t>A</t>
        </is>
      </c>
      <c r="T13" s="6" t="inlineStr">
        <is>
          <t>C</t>
        </is>
      </c>
      <c r="U13" s="6" t="inlineStr">
        <is>
          <t>B</t>
        </is>
      </c>
      <c r="V13" s="6" t="inlineStr">
        <is>
          <t>B</t>
        </is>
      </c>
      <c r="W13" s="8">
        <f>IF(C13=C$4,1,0)+IF(D13=D$4,1,0)+IF(E13=E$4,1,0)+IF(F13=F$4,1,0)+IF(G13=G$4,1,0)+IF(H13=H$4,1,0)+IF(I13=I$4,1,0)+IF(J13=J$4,1,0)+IF(K13=K$4,1,0)+IF(L13=L$4,1,0)+IF(M13=M$4,1,0)+IF(N13=N$4,1,0)+IF(O13=O$4,1,0)+IF(P13=P$4,1,0)+IF(Q13=Q$4,1,0)+IF(R13=R$4,1,0)+IF(S13=S$4,1,0)+IF(T13=T$4,1,0)+IF(U13=U$4,1,0)+IF(V13=V$4,1,0)</f>
        <v/>
      </c>
    </row>
    <row r="14">
      <c r="A14" s="6" t="n">
        <v>9</v>
      </c>
      <c r="B14" s="7" t="inlineStr">
        <is>
          <t>Siswa 9</t>
        </is>
      </c>
      <c r="C14" s="6" t="inlineStr">
        <is>
          <t>A</t>
        </is>
      </c>
      <c r="D14" s="6" t="inlineStr">
        <is>
          <t>B</t>
        </is>
      </c>
      <c r="E14" s="6" t="inlineStr">
        <is>
          <t>B</t>
        </is>
      </c>
      <c r="F14" s="6" t="inlineStr">
        <is>
          <t>C</t>
        </is>
      </c>
      <c r="G14" s="6" t="inlineStr">
        <is>
          <t>A</t>
        </is>
      </c>
      <c r="H14" s="6" t="inlineStr">
        <is>
          <t>C</t>
        </is>
      </c>
      <c r="I14" s="6" t="inlineStr">
        <is>
          <t>D</t>
        </is>
      </c>
      <c r="J14" s="6" t="inlineStr">
        <is>
          <t>E</t>
        </is>
      </c>
      <c r="K14" s="6" t="inlineStr">
        <is>
          <t>E</t>
        </is>
      </c>
      <c r="L14" s="6" t="inlineStr">
        <is>
          <t>D</t>
        </is>
      </c>
      <c r="M14" s="6" t="inlineStr">
        <is>
          <t>D</t>
        </is>
      </c>
      <c r="N14" s="6" t="inlineStr">
        <is>
          <t>A</t>
        </is>
      </c>
      <c r="O14" s="6" t="inlineStr">
        <is>
          <t>C</t>
        </is>
      </c>
      <c r="P14" s="6" t="inlineStr">
        <is>
          <t>C</t>
        </is>
      </c>
      <c r="Q14" s="6" t="inlineStr">
        <is>
          <t>A</t>
        </is>
      </c>
      <c r="R14" s="6" t="inlineStr">
        <is>
          <t>C</t>
        </is>
      </c>
      <c r="S14" s="6" t="inlineStr">
        <is>
          <t>D</t>
        </is>
      </c>
      <c r="T14" s="6" t="inlineStr">
        <is>
          <t>E</t>
        </is>
      </c>
      <c r="U14" s="6" t="inlineStr">
        <is>
          <t>E</t>
        </is>
      </c>
      <c r="V14" s="6" t="inlineStr">
        <is>
          <t>E</t>
        </is>
      </c>
      <c r="W14" s="8">
        <f>IF(C14=C$4,1,0)+IF(D14=D$4,1,0)+IF(E14=E$4,1,0)+IF(F14=F$4,1,0)+IF(G14=G$4,1,0)+IF(H14=H$4,1,0)+IF(I14=I$4,1,0)+IF(J14=J$4,1,0)+IF(K14=K$4,1,0)+IF(L14=L$4,1,0)+IF(M14=M$4,1,0)+IF(N14=N$4,1,0)+IF(O14=O$4,1,0)+IF(P14=P$4,1,0)+IF(Q14=Q$4,1,0)+IF(R14=R$4,1,0)+IF(S14=S$4,1,0)+IF(T14=T$4,1,0)+IF(U14=U$4,1,0)+IF(V14=V$4,1,0)</f>
        <v/>
      </c>
    </row>
    <row r="15">
      <c r="A15" s="6" t="n">
        <v>10</v>
      </c>
      <c r="B15" s="7" t="inlineStr">
        <is>
          <t>Siswa 10</t>
        </is>
      </c>
      <c r="C15" s="6" t="inlineStr">
        <is>
          <t>A</t>
        </is>
      </c>
      <c r="D15" s="6" t="inlineStr">
        <is>
          <t>C</t>
        </is>
      </c>
      <c r="E15" s="6" t="inlineStr">
        <is>
          <t>C</t>
        </is>
      </c>
      <c r="F15" s="6" t="inlineStr">
        <is>
          <t>A</t>
        </is>
      </c>
      <c r="G15" s="6" t="inlineStr">
        <is>
          <t>C</t>
        </is>
      </c>
      <c r="H15" s="6" t="inlineStr">
        <is>
          <t>D</t>
        </is>
      </c>
      <c r="I15" s="6" t="inlineStr">
        <is>
          <t>E</t>
        </is>
      </c>
      <c r="J15" s="6" t="inlineStr">
        <is>
          <t>E</t>
        </is>
      </c>
      <c r="K15" s="6" t="inlineStr">
        <is>
          <t>D</t>
        </is>
      </c>
      <c r="L15" s="6" t="inlineStr">
        <is>
          <t>E</t>
        </is>
      </c>
      <c r="M15" s="6" t="inlineStr">
        <is>
          <t>B</t>
        </is>
      </c>
      <c r="N15" s="6" t="inlineStr">
        <is>
          <t>B</t>
        </is>
      </c>
      <c r="O15" s="6" t="inlineStr">
        <is>
          <t>A</t>
        </is>
      </c>
      <c r="P15" s="6" t="inlineStr">
        <is>
          <t>C</t>
        </is>
      </c>
      <c r="Q15" s="6" t="inlineStr">
        <is>
          <t>C</t>
        </is>
      </c>
      <c r="R15" s="6" t="inlineStr">
        <is>
          <t>B</t>
        </is>
      </c>
      <c r="S15" s="6" t="inlineStr">
        <is>
          <t>B</t>
        </is>
      </c>
      <c r="T15" s="6" t="inlineStr">
        <is>
          <t>C</t>
        </is>
      </c>
      <c r="U15" s="6" t="inlineStr">
        <is>
          <t>B</t>
        </is>
      </c>
      <c r="V15" s="6" t="inlineStr">
        <is>
          <t>B</t>
        </is>
      </c>
      <c r="W15" s="8">
        <f>IF(C15=C$4,1,0)+IF(D15=D$4,1,0)+IF(E15=E$4,1,0)+IF(F15=F$4,1,0)+IF(G15=G$4,1,0)+IF(H15=H$4,1,0)+IF(I15=I$4,1,0)+IF(J15=J$4,1,0)+IF(K15=K$4,1,0)+IF(L15=L$4,1,0)+IF(M15=M$4,1,0)+IF(N15=N$4,1,0)+IF(O15=O$4,1,0)+IF(P15=P$4,1,0)+IF(Q15=Q$4,1,0)+IF(R15=R$4,1,0)+IF(S15=S$4,1,0)+IF(T15=T$4,1,0)+IF(U15=U$4,1,0)+IF(V15=V$4,1,0)</f>
        <v/>
      </c>
    </row>
    <row r="16">
      <c r="A16" s="6" t="n">
        <v>11</v>
      </c>
      <c r="B16" s="7" t="inlineStr">
        <is>
          <t>Siswa 11</t>
        </is>
      </c>
      <c r="C16" s="6" t="inlineStr">
        <is>
          <t>C</t>
        </is>
      </c>
      <c r="D16" s="6" t="inlineStr">
        <is>
          <t>C</t>
        </is>
      </c>
      <c r="E16" s="6" t="inlineStr">
        <is>
          <t>A</t>
        </is>
      </c>
      <c r="F16" s="6" t="inlineStr">
        <is>
          <t>A</t>
        </is>
      </c>
      <c r="G16" s="6" t="inlineStr">
        <is>
          <t>D</t>
        </is>
      </c>
      <c r="H16" s="6" t="inlineStr">
        <is>
          <t>A</t>
        </is>
      </c>
      <c r="I16" s="6" t="inlineStr">
        <is>
          <t>A</t>
        </is>
      </c>
      <c r="J16" s="6" t="inlineStr">
        <is>
          <t>A</t>
        </is>
      </c>
      <c r="K16" s="6" t="inlineStr">
        <is>
          <t>B</t>
        </is>
      </c>
      <c r="L16" s="6" t="inlineStr">
        <is>
          <t>B</t>
        </is>
      </c>
      <c r="M16" s="6" t="inlineStr">
        <is>
          <t>B</t>
        </is>
      </c>
      <c r="N16" s="6" t="inlineStr">
        <is>
          <t>C</t>
        </is>
      </c>
      <c r="O16" s="6" t="inlineStr">
        <is>
          <t>A</t>
        </is>
      </c>
      <c r="P16" s="6" t="inlineStr">
        <is>
          <t>B</t>
        </is>
      </c>
      <c r="Q16" s="6" t="inlineStr">
        <is>
          <t>C</t>
        </is>
      </c>
      <c r="R16" s="6" t="inlineStr">
        <is>
          <t>D</t>
        </is>
      </c>
      <c r="S16" s="6" t="inlineStr">
        <is>
          <t>D</t>
        </is>
      </c>
      <c r="T16" s="6" t="inlineStr">
        <is>
          <t>E</t>
        </is>
      </c>
      <c r="U16" s="6" t="inlineStr">
        <is>
          <t>E</t>
        </is>
      </c>
      <c r="V16" s="6" t="inlineStr">
        <is>
          <t>A</t>
        </is>
      </c>
      <c r="W16" s="8">
        <f>IF(C16=C$4,1,0)+IF(D16=D$4,1,0)+IF(E16=E$4,1,0)+IF(F16=F$4,1,0)+IF(G16=G$4,1,0)+IF(H16=H$4,1,0)+IF(I16=I$4,1,0)+IF(J16=J$4,1,0)+IF(K16=K$4,1,0)+IF(L16=L$4,1,0)+IF(M16=M$4,1,0)+IF(N16=N$4,1,0)+IF(O16=O$4,1,0)+IF(P16=P$4,1,0)+IF(Q16=Q$4,1,0)+IF(R16=R$4,1,0)+IF(S16=S$4,1,0)+IF(T16=T$4,1,0)+IF(U16=U$4,1,0)+IF(V16=V$4,1,0)</f>
        <v/>
      </c>
    </row>
    <row r="17">
      <c r="A17" s="6" t="n">
        <v>12</v>
      </c>
      <c r="B17" s="7" t="inlineStr">
        <is>
          <t>Siswa 12</t>
        </is>
      </c>
      <c r="C17" s="6" t="inlineStr">
        <is>
          <t>A</t>
        </is>
      </c>
      <c r="D17" s="6" t="inlineStr">
        <is>
          <t>A</t>
        </is>
      </c>
      <c r="E17" s="6" t="inlineStr">
        <is>
          <t>C</t>
        </is>
      </c>
      <c r="F17" s="6" t="inlineStr">
        <is>
          <t>C</t>
        </is>
      </c>
      <c r="G17" s="6" t="inlineStr">
        <is>
          <t>A</t>
        </is>
      </c>
      <c r="H17" s="6" t="inlineStr">
        <is>
          <t>A</t>
        </is>
      </c>
      <c r="I17" s="6" t="inlineStr">
        <is>
          <t>D</t>
        </is>
      </c>
      <c r="J17" s="6" t="inlineStr">
        <is>
          <t>A</t>
        </is>
      </c>
      <c r="K17" s="6" t="inlineStr">
        <is>
          <t>A</t>
        </is>
      </c>
      <c r="L17" s="6" t="inlineStr">
        <is>
          <t>A</t>
        </is>
      </c>
      <c r="M17" s="6" t="inlineStr">
        <is>
          <t>B</t>
        </is>
      </c>
      <c r="N17" s="6" t="inlineStr">
        <is>
          <t>B</t>
        </is>
      </c>
      <c r="O17" s="6" t="inlineStr">
        <is>
          <t>C</t>
        </is>
      </c>
      <c r="P17" s="6" t="inlineStr">
        <is>
          <t>A</t>
        </is>
      </c>
      <c r="Q17" s="6" t="inlineStr">
        <is>
          <t>B</t>
        </is>
      </c>
      <c r="R17" s="6" t="inlineStr">
        <is>
          <t>C</t>
        </is>
      </c>
      <c r="S17" s="6" t="inlineStr">
        <is>
          <t>D</t>
        </is>
      </c>
      <c r="T17" s="6" t="inlineStr">
        <is>
          <t>D</t>
        </is>
      </c>
      <c r="U17" s="6" t="inlineStr">
        <is>
          <t>E</t>
        </is>
      </c>
      <c r="V17" s="6" t="inlineStr">
        <is>
          <t>E</t>
        </is>
      </c>
      <c r="W17" s="8">
        <f>IF(C17=C$4,1,0)+IF(D17=D$4,1,0)+IF(E17=E$4,1,0)+IF(F17=F$4,1,0)+IF(G17=G$4,1,0)+IF(H17=H$4,1,0)+IF(I17=I$4,1,0)+IF(J17=J$4,1,0)+IF(K17=K$4,1,0)+IF(L17=L$4,1,0)+IF(M17=M$4,1,0)+IF(N17=N$4,1,0)+IF(O17=O$4,1,0)+IF(P17=P$4,1,0)+IF(Q17=Q$4,1,0)+IF(R17=R$4,1,0)+IF(S17=S$4,1,0)+IF(T17=T$4,1,0)+IF(U17=U$4,1,0)+IF(V17=V$4,1,0)</f>
        <v/>
      </c>
    </row>
    <row r="18">
      <c r="A18" s="6" t="n">
        <v>13</v>
      </c>
      <c r="B18" s="7" t="inlineStr">
        <is>
          <t>Siswa 13</t>
        </is>
      </c>
      <c r="C18" s="6" t="inlineStr">
        <is>
          <t>A</t>
        </is>
      </c>
      <c r="D18" s="6" t="inlineStr">
        <is>
          <t>C</t>
        </is>
      </c>
      <c r="E18" s="6" t="inlineStr">
        <is>
          <t>A</t>
        </is>
      </c>
      <c r="F18" s="6" t="inlineStr">
        <is>
          <t>A</t>
        </is>
      </c>
      <c r="G18" s="6" t="inlineStr">
        <is>
          <t>A</t>
        </is>
      </c>
      <c r="H18" s="6" t="inlineStr">
        <is>
          <t>C</t>
        </is>
      </c>
      <c r="I18" s="6" t="inlineStr">
        <is>
          <t>A</t>
        </is>
      </c>
      <c r="J18" s="6" t="inlineStr">
        <is>
          <t>A</t>
        </is>
      </c>
      <c r="K18" s="6" t="inlineStr">
        <is>
          <t>D</t>
        </is>
      </c>
      <c r="L18" s="6" t="inlineStr">
        <is>
          <t>B</t>
        </is>
      </c>
      <c r="M18" s="6" t="inlineStr">
        <is>
          <t>B</t>
        </is>
      </c>
      <c r="N18" s="6" t="inlineStr">
        <is>
          <t>C</t>
        </is>
      </c>
      <c r="O18" s="6" t="inlineStr">
        <is>
          <t>A</t>
        </is>
      </c>
      <c r="P18" s="6" t="inlineStr">
        <is>
          <t>B</t>
        </is>
      </c>
      <c r="Q18" s="6" t="inlineStr">
        <is>
          <t>C</t>
        </is>
      </c>
      <c r="R18" s="6" t="inlineStr">
        <is>
          <t>D</t>
        </is>
      </c>
      <c r="S18" s="6" t="inlineStr">
        <is>
          <t>D</t>
        </is>
      </c>
      <c r="T18" s="6" t="inlineStr">
        <is>
          <t>E</t>
        </is>
      </c>
      <c r="U18" s="6" t="inlineStr">
        <is>
          <t>E</t>
        </is>
      </c>
      <c r="V18" s="6" t="inlineStr">
        <is>
          <t>A</t>
        </is>
      </c>
      <c r="W18" s="8">
        <f>IF(C18=C$4,1,0)+IF(D18=D$4,1,0)+IF(E18=E$4,1,0)+IF(F18=F$4,1,0)+IF(G18=G$4,1,0)+IF(H18=H$4,1,0)+IF(I18=I$4,1,0)+IF(J18=J$4,1,0)+IF(K18=K$4,1,0)+IF(L18=L$4,1,0)+IF(M18=M$4,1,0)+IF(N18=N$4,1,0)+IF(O18=O$4,1,0)+IF(P18=P$4,1,0)+IF(Q18=Q$4,1,0)+IF(R18=R$4,1,0)+IF(S18=S$4,1,0)+IF(T18=T$4,1,0)+IF(U18=U$4,1,0)+IF(V18=V$4,1,0)</f>
        <v/>
      </c>
    </row>
    <row r="19">
      <c r="A19" s="6" t="n">
        <v>14</v>
      </c>
      <c r="B19" s="7" t="inlineStr">
        <is>
          <t>Siswa 14</t>
        </is>
      </c>
      <c r="C19" s="6" t="inlineStr">
        <is>
          <t>B</t>
        </is>
      </c>
      <c r="D19" s="6" t="inlineStr">
        <is>
          <t>B</t>
        </is>
      </c>
      <c r="E19" s="6" t="inlineStr">
        <is>
          <t>A</t>
        </is>
      </c>
      <c r="F19" s="6" t="inlineStr">
        <is>
          <t>A</t>
        </is>
      </c>
      <c r="G19" s="6" t="inlineStr">
        <is>
          <t>A</t>
        </is>
      </c>
      <c r="H19" s="6" t="inlineStr">
        <is>
          <t>A</t>
        </is>
      </c>
      <c r="I19" s="6" t="inlineStr">
        <is>
          <t>B</t>
        </is>
      </c>
      <c r="J19" s="6" t="inlineStr">
        <is>
          <t>B</t>
        </is>
      </c>
      <c r="K19" s="6" t="inlineStr">
        <is>
          <t>A</t>
        </is>
      </c>
      <c r="L19" s="6" t="inlineStr">
        <is>
          <t>C</t>
        </is>
      </c>
      <c r="M19" s="6" t="inlineStr">
        <is>
          <t>C</t>
        </is>
      </c>
      <c r="N19" s="6" t="inlineStr">
        <is>
          <t>A</t>
        </is>
      </c>
      <c r="O19" s="6" t="inlineStr">
        <is>
          <t>C</t>
        </is>
      </c>
      <c r="P19" s="6" t="inlineStr">
        <is>
          <t>D</t>
        </is>
      </c>
      <c r="Q19" s="6" t="inlineStr">
        <is>
          <t>E</t>
        </is>
      </c>
      <c r="R19" s="6" t="inlineStr">
        <is>
          <t>E</t>
        </is>
      </c>
      <c r="S19" s="6" t="inlineStr">
        <is>
          <t>D</t>
        </is>
      </c>
      <c r="T19" s="6" t="inlineStr">
        <is>
          <t>D</t>
        </is>
      </c>
      <c r="U19" s="6" t="inlineStr">
        <is>
          <t>C</t>
        </is>
      </c>
      <c r="V19" s="6" t="inlineStr">
        <is>
          <t>C</t>
        </is>
      </c>
      <c r="W19" s="8">
        <f>IF(C19=C$4,1,0)+IF(D19=D$4,1,0)+IF(E19=E$4,1,0)+IF(F19=F$4,1,0)+IF(G19=G$4,1,0)+IF(H19=H$4,1,0)+IF(I19=I$4,1,0)+IF(J19=J$4,1,0)+IF(K19=K$4,1,0)+IF(L19=L$4,1,0)+IF(M19=M$4,1,0)+IF(N19=N$4,1,0)+IF(O19=O$4,1,0)+IF(P19=P$4,1,0)+IF(Q19=Q$4,1,0)+IF(R19=R$4,1,0)+IF(S19=S$4,1,0)+IF(T19=T$4,1,0)+IF(U19=U$4,1,0)+IF(V19=V$4,1,0)</f>
        <v/>
      </c>
    </row>
    <row r="20">
      <c r="A20" s="6" t="n">
        <v>15</v>
      </c>
      <c r="B20" s="7" t="inlineStr">
        <is>
          <t>Siswa 15</t>
        </is>
      </c>
      <c r="C20" s="6" t="inlineStr">
        <is>
          <t>C</t>
        </is>
      </c>
      <c r="D20" s="6" t="inlineStr">
        <is>
          <t>A</t>
        </is>
      </c>
      <c r="E20" s="6" t="inlineStr">
        <is>
          <t>C</t>
        </is>
      </c>
      <c r="F20" s="6" t="inlineStr">
        <is>
          <t>D</t>
        </is>
      </c>
      <c r="G20" s="6" t="inlineStr">
        <is>
          <t>E</t>
        </is>
      </c>
      <c r="H20" s="6" t="inlineStr">
        <is>
          <t>E</t>
        </is>
      </c>
      <c r="I20" s="6" t="inlineStr">
        <is>
          <t>D</t>
        </is>
      </c>
      <c r="J20" s="6" t="inlineStr">
        <is>
          <t>D</t>
        </is>
      </c>
      <c r="K20" s="6" t="inlineStr">
        <is>
          <t>C</t>
        </is>
      </c>
      <c r="L20" s="6" t="inlineStr">
        <is>
          <t>C</t>
        </is>
      </c>
      <c r="M20" s="6" t="inlineStr">
        <is>
          <t>B</t>
        </is>
      </c>
      <c r="N20" s="6" t="inlineStr">
        <is>
          <t>B</t>
        </is>
      </c>
      <c r="O20" s="6" t="inlineStr">
        <is>
          <t>A</t>
        </is>
      </c>
      <c r="P20" s="6" t="inlineStr">
        <is>
          <t>A</t>
        </is>
      </c>
      <c r="Q20" s="6" t="inlineStr">
        <is>
          <t>A</t>
        </is>
      </c>
      <c r="R20" s="6" t="inlineStr">
        <is>
          <t>A</t>
        </is>
      </c>
      <c r="S20" s="6" t="inlineStr">
        <is>
          <t>B</t>
        </is>
      </c>
      <c r="T20" s="6" t="inlineStr">
        <is>
          <t>B</t>
        </is>
      </c>
      <c r="U20" s="6" t="inlineStr">
        <is>
          <t>A</t>
        </is>
      </c>
      <c r="V20" s="6" t="inlineStr">
        <is>
          <t>C</t>
        </is>
      </c>
      <c r="W20" s="8">
        <f>IF(C20=C$4,1,0)+IF(D20=D$4,1,0)+IF(E20=E$4,1,0)+IF(F20=F$4,1,0)+IF(G20=G$4,1,0)+IF(H20=H$4,1,0)+IF(I20=I$4,1,0)+IF(J20=J$4,1,0)+IF(K20=K$4,1,0)+IF(L20=L$4,1,0)+IF(M20=M$4,1,0)+IF(N20=N$4,1,0)+IF(O20=O$4,1,0)+IF(P20=P$4,1,0)+IF(Q20=Q$4,1,0)+IF(R20=R$4,1,0)+IF(S20=S$4,1,0)+IF(T20=T$4,1,0)+IF(U20=U$4,1,0)+IF(V20=V$4,1,0)</f>
        <v/>
      </c>
    </row>
    <row r="21">
      <c r="A21" s="6" t="n">
        <v>16</v>
      </c>
      <c r="B21" s="7" t="inlineStr">
        <is>
          <t>Siswa 16</t>
        </is>
      </c>
      <c r="C21" s="6" t="inlineStr">
        <is>
          <t>D</t>
        </is>
      </c>
      <c r="D21" s="6" t="inlineStr">
        <is>
          <t>C</t>
        </is>
      </c>
      <c r="E21" s="6" t="inlineStr">
        <is>
          <t>C</t>
        </is>
      </c>
      <c r="F21" s="6" t="inlineStr">
        <is>
          <t>B</t>
        </is>
      </c>
      <c r="G21" s="6" t="inlineStr">
        <is>
          <t>B</t>
        </is>
      </c>
      <c r="H21" s="6" t="inlineStr">
        <is>
          <t>A</t>
        </is>
      </c>
      <c r="I21" s="6" t="inlineStr">
        <is>
          <t>A</t>
        </is>
      </c>
      <c r="J21" s="6" t="inlineStr">
        <is>
          <t>A</t>
        </is>
      </c>
      <c r="K21" s="6" t="inlineStr">
        <is>
          <t>A</t>
        </is>
      </c>
      <c r="L21" s="6" t="inlineStr">
        <is>
          <t>B</t>
        </is>
      </c>
      <c r="M21" s="6" t="inlineStr">
        <is>
          <t>B</t>
        </is>
      </c>
      <c r="N21" s="6" t="inlineStr">
        <is>
          <t>A</t>
        </is>
      </c>
      <c r="O21" s="6" t="inlineStr">
        <is>
          <t>C</t>
        </is>
      </c>
      <c r="P21" s="6" t="inlineStr">
        <is>
          <t>C</t>
        </is>
      </c>
      <c r="Q21" s="6" t="inlineStr">
        <is>
          <t>A</t>
        </is>
      </c>
      <c r="R21" s="6" t="inlineStr">
        <is>
          <t>C</t>
        </is>
      </c>
      <c r="S21" s="6" t="inlineStr">
        <is>
          <t>D</t>
        </is>
      </c>
      <c r="T21" s="6" t="inlineStr">
        <is>
          <t>E</t>
        </is>
      </c>
      <c r="U21" s="6" t="inlineStr">
        <is>
          <t>E</t>
        </is>
      </c>
      <c r="V21" s="6" t="inlineStr">
        <is>
          <t>D</t>
        </is>
      </c>
      <c r="W21" s="8">
        <f>IF(C21=C$4,1,0)+IF(D21=D$4,1,0)+IF(E21=E$4,1,0)+IF(F21=F$4,1,0)+IF(G21=G$4,1,0)+IF(H21=H$4,1,0)+IF(I21=I$4,1,0)+IF(J21=J$4,1,0)+IF(K21=K$4,1,0)+IF(L21=L$4,1,0)+IF(M21=M$4,1,0)+IF(N21=N$4,1,0)+IF(O21=O$4,1,0)+IF(P21=P$4,1,0)+IF(Q21=Q$4,1,0)+IF(R21=R$4,1,0)+IF(S21=S$4,1,0)+IF(T21=T$4,1,0)+IF(U21=U$4,1,0)+IF(V21=V$4,1,0)</f>
        <v/>
      </c>
    </row>
    <row r="22">
      <c r="A22" s="6" t="n">
        <v>17</v>
      </c>
      <c r="B22" s="7" t="inlineStr">
        <is>
          <t>Siswa 17</t>
        </is>
      </c>
      <c r="C22" s="6" t="inlineStr">
        <is>
          <t>E</t>
        </is>
      </c>
      <c r="D22" s="6" t="inlineStr">
        <is>
          <t>E</t>
        </is>
      </c>
      <c r="E22" s="6" t="inlineStr">
        <is>
          <t>D</t>
        </is>
      </c>
      <c r="F22" s="6" t="inlineStr">
        <is>
          <t>D</t>
        </is>
      </c>
      <c r="G22" s="6" t="inlineStr">
        <is>
          <t>E</t>
        </is>
      </c>
      <c r="H22" s="6" t="inlineStr">
        <is>
          <t>A</t>
        </is>
      </c>
      <c r="I22" s="6" t="inlineStr">
        <is>
          <t>C</t>
        </is>
      </c>
      <c r="J22" s="6" t="inlineStr">
        <is>
          <t>C</t>
        </is>
      </c>
      <c r="K22" s="6" t="inlineStr">
        <is>
          <t>A</t>
        </is>
      </c>
      <c r="L22" s="6" t="inlineStr">
        <is>
          <t>C</t>
        </is>
      </c>
      <c r="M22" s="6" t="inlineStr">
        <is>
          <t>D</t>
        </is>
      </c>
      <c r="N22" s="6" t="inlineStr">
        <is>
          <t>E</t>
        </is>
      </c>
      <c r="O22" s="6" t="inlineStr">
        <is>
          <t>E</t>
        </is>
      </c>
      <c r="P22" s="6" t="inlineStr">
        <is>
          <t>B</t>
        </is>
      </c>
      <c r="Q22" s="6" t="inlineStr">
        <is>
          <t>B</t>
        </is>
      </c>
      <c r="R22" s="6" t="inlineStr">
        <is>
          <t>A</t>
        </is>
      </c>
      <c r="S22" s="6" t="inlineStr">
        <is>
          <t>C</t>
        </is>
      </c>
      <c r="T22" s="6" t="inlineStr">
        <is>
          <t>A</t>
        </is>
      </c>
      <c r="U22" s="6" t="inlineStr">
        <is>
          <t>C</t>
        </is>
      </c>
      <c r="V22" s="6" t="inlineStr">
        <is>
          <t>D</t>
        </is>
      </c>
      <c r="W22" s="8">
        <f>IF(C22=C$4,1,0)+IF(D22=D$4,1,0)+IF(E22=E$4,1,0)+IF(F22=F$4,1,0)+IF(G22=G$4,1,0)+IF(H22=H$4,1,0)+IF(I22=I$4,1,0)+IF(J22=J$4,1,0)+IF(K22=K$4,1,0)+IF(L22=L$4,1,0)+IF(M22=M$4,1,0)+IF(N22=N$4,1,0)+IF(O22=O$4,1,0)+IF(P22=P$4,1,0)+IF(Q22=Q$4,1,0)+IF(R22=R$4,1,0)+IF(S22=S$4,1,0)+IF(T22=T$4,1,0)+IF(U22=U$4,1,0)+IF(V22=V$4,1,0)</f>
        <v/>
      </c>
    </row>
    <row r="23">
      <c r="A23" s="6" t="n">
        <v>18</v>
      </c>
      <c r="B23" s="7" t="inlineStr">
        <is>
          <t>Siswa 18</t>
        </is>
      </c>
      <c r="C23" s="6" t="inlineStr">
        <is>
          <t>B</t>
        </is>
      </c>
      <c r="D23" s="6" t="inlineStr">
        <is>
          <t>B</t>
        </is>
      </c>
      <c r="E23" s="6" t="inlineStr">
        <is>
          <t>A</t>
        </is>
      </c>
      <c r="F23" s="6" t="inlineStr">
        <is>
          <t>A</t>
        </is>
      </c>
      <c r="G23" s="6" t="inlineStr">
        <is>
          <t>C</t>
        </is>
      </c>
      <c r="H23" s="6" t="inlineStr">
        <is>
          <t>A</t>
        </is>
      </c>
      <c r="I23" s="6" t="inlineStr">
        <is>
          <t>B</t>
        </is>
      </c>
      <c r="J23" s="6" t="inlineStr">
        <is>
          <t>C</t>
        </is>
      </c>
      <c r="K23" s="6" t="inlineStr">
        <is>
          <t>C</t>
        </is>
      </c>
      <c r="L23" s="6" t="inlineStr">
        <is>
          <t>A</t>
        </is>
      </c>
      <c r="M23" s="6" t="inlineStr">
        <is>
          <t>C</t>
        </is>
      </c>
      <c r="N23" s="6" t="inlineStr">
        <is>
          <t>D</t>
        </is>
      </c>
      <c r="O23" s="6" t="inlineStr">
        <is>
          <t>E</t>
        </is>
      </c>
      <c r="P23" s="6" t="inlineStr">
        <is>
          <t>E</t>
        </is>
      </c>
      <c r="Q23" s="6" t="inlineStr">
        <is>
          <t>D</t>
        </is>
      </c>
      <c r="R23" s="6" t="inlineStr">
        <is>
          <t>D</t>
        </is>
      </c>
      <c r="S23" s="6" t="inlineStr">
        <is>
          <t>B</t>
        </is>
      </c>
      <c r="T23" s="6" t="inlineStr">
        <is>
          <t>B</t>
        </is>
      </c>
      <c r="U23" s="6" t="inlineStr">
        <is>
          <t>A</t>
        </is>
      </c>
      <c r="V23" s="6" t="inlineStr">
        <is>
          <t>C</t>
        </is>
      </c>
      <c r="W23" s="8">
        <f>IF(C23=C$4,1,0)+IF(D23=D$4,1,0)+IF(E23=E$4,1,0)+IF(F23=F$4,1,0)+IF(G23=G$4,1,0)+IF(H23=H$4,1,0)+IF(I23=I$4,1,0)+IF(J23=J$4,1,0)+IF(K23=K$4,1,0)+IF(L23=L$4,1,0)+IF(M23=M$4,1,0)+IF(N23=N$4,1,0)+IF(O23=O$4,1,0)+IF(P23=P$4,1,0)+IF(Q23=Q$4,1,0)+IF(R23=R$4,1,0)+IF(S23=S$4,1,0)+IF(T23=T$4,1,0)+IF(U23=U$4,1,0)+IF(V23=V$4,1,0)</f>
        <v/>
      </c>
    </row>
    <row r="24">
      <c r="A24" s="6" t="n">
        <v>19</v>
      </c>
      <c r="B24" s="7" t="inlineStr">
        <is>
          <t>Siswa 19</t>
        </is>
      </c>
      <c r="C24" s="6" t="inlineStr">
        <is>
          <t>E</t>
        </is>
      </c>
      <c r="D24" s="6" t="inlineStr">
        <is>
          <t>B</t>
        </is>
      </c>
      <c r="E24" s="6" t="inlineStr">
        <is>
          <t>B</t>
        </is>
      </c>
      <c r="F24" s="6" t="inlineStr">
        <is>
          <t>A</t>
        </is>
      </c>
      <c r="G24" s="6" t="inlineStr">
        <is>
          <t>E</t>
        </is>
      </c>
      <c r="H24" s="6" t="inlineStr">
        <is>
          <t>A</t>
        </is>
      </c>
      <c r="I24" s="6" t="inlineStr">
        <is>
          <t>B</t>
        </is>
      </c>
      <c r="J24" s="6" t="inlineStr">
        <is>
          <t>B</t>
        </is>
      </c>
      <c r="K24" s="6" t="inlineStr">
        <is>
          <t>A</t>
        </is>
      </c>
      <c r="L24" s="6" t="inlineStr">
        <is>
          <t>C</t>
        </is>
      </c>
      <c r="M24" s="6" t="inlineStr">
        <is>
          <t>C</t>
        </is>
      </c>
      <c r="N24" s="6" t="inlineStr">
        <is>
          <t>C</t>
        </is>
      </c>
      <c r="O24" s="6" t="inlineStr">
        <is>
          <t>C</t>
        </is>
      </c>
      <c r="P24" s="6" t="inlineStr">
        <is>
          <t>A</t>
        </is>
      </c>
      <c r="Q24" s="6" t="inlineStr">
        <is>
          <t>C</t>
        </is>
      </c>
      <c r="R24" s="6" t="inlineStr">
        <is>
          <t>C</t>
        </is>
      </c>
      <c r="S24" s="6" t="inlineStr">
        <is>
          <t>A</t>
        </is>
      </c>
      <c r="T24" s="6" t="inlineStr">
        <is>
          <t>C</t>
        </is>
      </c>
      <c r="U24" s="6" t="inlineStr">
        <is>
          <t>D</t>
        </is>
      </c>
      <c r="V24" s="6" t="inlineStr">
        <is>
          <t>E</t>
        </is>
      </c>
      <c r="W24" s="8">
        <f>IF(C24=C$4,1,0)+IF(D24=D$4,1,0)+IF(E24=E$4,1,0)+IF(F24=F$4,1,0)+IF(G24=G$4,1,0)+IF(H24=H$4,1,0)+IF(I24=I$4,1,0)+IF(J24=J$4,1,0)+IF(K24=K$4,1,0)+IF(L24=L$4,1,0)+IF(M24=M$4,1,0)+IF(N24=N$4,1,0)+IF(O24=O$4,1,0)+IF(P24=P$4,1,0)+IF(Q24=Q$4,1,0)+IF(R24=R$4,1,0)+IF(S24=S$4,1,0)+IF(T24=T$4,1,0)+IF(U24=U$4,1,0)+IF(V24=V$4,1,0)</f>
        <v/>
      </c>
    </row>
    <row r="25">
      <c r="A25" s="9" t="inlineStr">
        <is>
          <t>MATRIKS SKOR BINER (BENAR = 1, SALAH = 0)</t>
        </is>
      </c>
      <c r="B25" s="7" t="inlineStr">
        <is>
          <t>Siswa 20</t>
        </is>
      </c>
      <c r="C25" s="6" t="inlineStr">
        <is>
          <t>A</t>
        </is>
      </c>
      <c r="D25" s="6" t="inlineStr">
        <is>
          <t>B</t>
        </is>
      </c>
      <c r="E25" s="6" t="inlineStr">
        <is>
          <t>A</t>
        </is>
      </c>
      <c r="F25" s="6" t="inlineStr">
        <is>
          <t>A</t>
        </is>
      </c>
      <c r="G25" s="6" t="inlineStr">
        <is>
          <t>E</t>
        </is>
      </c>
      <c r="H25" s="6" t="inlineStr">
        <is>
          <t>B</t>
        </is>
      </c>
      <c r="I25" s="6" t="inlineStr">
        <is>
          <t>A</t>
        </is>
      </c>
      <c r="J25" s="6" t="inlineStr">
        <is>
          <t>C</t>
        </is>
      </c>
      <c r="K25" s="6" t="inlineStr">
        <is>
          <t>A</t>
        </is>
      </c>
      <c r="L25" s="6" t="inlineStr">
        <is>
          <t>C</t>
        </is>
      </c>
      <c r="M25" s="6" t="inlineStr">
        <is>
          <t>D</t>
        </is>
      </c>
      <c r="N25" s="6" t="inlineStr">
        <is>
          <t>E</t>
        </is>
      </c>
      <c r="O25" s="6" t="inlineStr">
        <is>
          <t>E</t>
        </is>
      </c>
      <c r="P25" s="6" t="inlineStr">
        <is>
          <t>D</t>
        </is>
      </c>
      <c r="Q25" s="6" t="inlineStr">
        <is>
          <t>D</t>
        </is>
      </c>
      <c r="R25" s="6" t="inlineStr">
        <is>
          <t>E</t>
        </is>
      </c>
      <c r="S25" s="6" t="inlineStr">
        <is>
          <t>D</t>
        </is>
      </c>
      <c r="T25" s="6" t="inlineStr">
        <is>
          <t>D</t>
        </is>
      </c>
      <c r="U25" s="6" t="inlineStr">
        <is>
          <t>B</t>
        </is>
      </c>
      <c r="V25" s="6" t="inlineStr">
        <is>
          <t>B</t>
        </is>
      </c>
      <c r="W25" s="8">
        <f>IF(C25=C$4,1,0)+IF(D25=D$4,1,0)+IF(E25=E$4,1,0)+IF(F25=F$4,1,0)+IF(G25=G$4,1,0)+IF(H25=H$4,1,0)+IF(I25=I$4,1,0)+IF(J25=J$4,1,0)+IF(K25=K$4,1,0)+IF(L25=L$4,1,0)+IF(M25=M$4,1,0)+IF(N25=N$4,1,0)+IF(O25=O$4,1,0)+IF(P25=P$4,1,0)+IF(Q25=Q$4,1,0)+IF(R25=R$4,1,0)+IF(S25=S$4,1,0)+IF(T25=T$4,1,0)+IF(U25=U$4,1,0)+IF(V25=V$4,1,0)</f>
        <v/>
      </c>
    </row>
    <row r="26"/>
    <row r="27">
      <c r="X27" s="6">
        <f>RANK(W27, W$27:W$46, 0) + COUNTIF(W$27:W27, W27) - 1</f>
        <v/>
      </c>
    </row>
    <row r="28">
      <c r="A28" s="10" t="inlineStr">
        <is>
          <t>NO</t>
        </is>
      </c>
      <c r="B28" s="10" t="inlineStr">
        <is>
          <t>NAMA SISWA</t>
        </is>
      </c>
      <c r="C28" s="10" t="inlineStr">
        <is>
          <t>S1</t>
        </is>
      </c>
      <c r="D28" s="10" t="inlineStr">
        <is>
          <t>S2</t>
        </is>
      </c>
      <c r="E28" s="10" t="inlineStr">
        <is>
          <t>S3</t>
        </is>
      </c>
      <c r="F28" s="10" t="inlineStr">
        <is>
          <t>S4</t>
        </is>
      </c>
      <c r="G28" s="10" t="inlineStr">
        <is>
          <t>S5</t>
        </is>
      </c>
      <c r="H28" s="10" t="inlineStr">
        <is>
          <t>S6</t>
        </is>
      </c>
      <c r="I28" s="10" t="inlineStr">
        <is>
          <t>S7</t>
        </is>
      </c>
      <c r="J28" s="10" t="inlineStr">
        <is>
          <t>S8</t>
        </is>
      </c>
      <c r="K28" s="10" t="inlineStr">
        <is>
          <t>S9</t>
        </is>
      </c>
      <c r="L28" s="10" t="inlineStr">
        <is>
          <t>S10</t>
        </is>
      </c>
      <c r="M28" s="10" t="inlineStr">
        <is>
          <t>S11</t>
        </is>
      </c>
      <c r="N28" s="10" t="inlineStr">
        <is>
          <t>S12</t>
        </is>
      </c>
      <c r="O28" s="10" t="inlineStr">
        <is>
          <t>S13</t>
        </is>
      </c>
      <c r="P28" s="10" t="inlineStr">
        <is>
          <t>S14</t>
        </is>
      </c>
      <c r="Q28" s="10" t="inlineStr">
        <is>
          <t>S15</t>
        </is>
      </c>
      <c r="R28" s="10" t="inlineStr">
        <is>
          <t>S16</t>
        </is>
      </c>
      <c r="S28" s="10" t="inlineStr">
        <is>
          <t>S17</t>
        </is>
      </c>
      <c r="T28" s="10" t="inlineStr">
        <is>
          <t>S18</t>
        </is>
      </c>
      <c r="U28" s="10" t="inlineStr">
        <is>
          <t>S19</t>
        </is>
      </c>
      <c r="V28" s="10" t="inlineStr">
        <is>
          <t>S20</t>
        </is>
      </c>
      <c r="W28" s="10" t="inlineStr">
        <is>
          <t>SKOR</t>
        </is>
      </c>
      <c r="X28" s="11">
        <f>RANK(W28, W$27:W$46, 0) + COUNTIF(W$27:W28, W28) - 1</f>
        <v/>
      </c>
    </row>
    <row r="29">
      <c r="A29" s="12" t="n">
        <v>1</v>
      </c>
      <c r="B29" s="13" t="inlineStr">
        <is>
          <t>Siswa 1</t>
        </is>
      </c>
      <c r="C29" s="12">
        <f>IF('Data Jawaban &amp; Skor'!C6='Data Jawaban &amp; Skor'!C$4,1,0)</f>
        <v/>
      </c>
      <c r="D29" s="12">
        <f>IF('Data Jawaban &amp; Skor'!D6='Data Jawaban &amp; Skor'!D$4,1,0)</f>
        <v/>
      </c>
      <c r="E29" s="12">
        <f>IF('Data Jawaban &amp; Skor'!E6='Data Jawaban &amp; Skor'!E$4,1,0)</f>
        <v/>
      </c>
      <c r="F29" s="12">
        <f>IF('Data Jawaban &amp; Skor'!F6='Data Jawaban &amp; Skor'!F$4,1,0)</f>
        <v/>
      </c>
      <c r="G29" s="12">
        <f>IF('Data Jawaban &amp; Skor'!G6='Data Jawaban &amp; Skor'!G$4,1,0)</f>
        <v/>
      </c>
      <c r="H29" s="12">
        <f>IF('Data Jawaban &amp; Skor'!H6='Data Jawaban &amp; Skor'!H$4,1,0)</f>
        <v/>
      </c>
      <c r="I29" s="12">
        <f>IF('Data Jawaban &amp; Skor'!I6='Data Jawaban &amp; Skor'!I$4,1,0)</f>
        <v/>
      </c>
      <c r="J29" s="12">
        <f>IF('Data Jawaban &amp; Skor'!J6='Data Jawaban &amp; Skor'!J$4,1,0)</f>
        <v/>
      </c>
      <c r="K29" s="12">
        <f>IF('Data Jawaban &amp; Skor'!K6='Data Jawaban &amp; Skor'!K$4,1,0)</f>
        <v/>
      </c>
      <c r="L29" s="12">
        <f>IF('Data Jawaban &amp; Skor'!L6='Data Jawaban &amp; Skor'!L$4,1,0)</f>
        <v/>
      </c>
      <c r="M29" s="12">
        <f>IF('Data Jawaban &amp; Skor'!M6='Data Jawaban &amp; Skor'!M$4,1,0)</f>
        <v/>
      </c>
      <c r="N29" s="12">
        <f>IF('Data Jawaban &amp; Skor'!N6='Data Jawaban &amp; Skor'!N$4,1,0)</f>
        <v/>
      </c>
      <c r="O29" s="12">
        <f>IF('Data Jawaban &amp; Skor'!O6='Data Jawaban &amp; Skor'!O$4,1,0)</f>
        <v/>
      </c>
      <c r="P29" s="12">
        <f>IF('Data Jawaban &amp; Skor'!P6='Data Jawaban &amp; Skor'!P$4,1,0)</f>
        <v/>
      </c>
      <c r="Q29" s="12">
        <f>IF('Data Jawaban &amp; Skor'!Q6='Data Jawaban &amp; Skor'!Q$4,1,0)</f>
        <v/>
      </c>
      <c r="R29" s="12">
        <f>IF('Data Jawaban &amp; Skor'!R6='Data Jawaban &amp; Skor'!R$4,1,0)</f>
        <v/>
      </c>
      <c r="S29" s="12">
        <f>IF('Data Jawaban &amp; Skor'!S6='Data Jawaban &amp; Skor'!S$4,1,0)</f>
        <v/>
      </c>
      <c r="T29" s="12">
        <f>IF('Data Jawaban &amp; Skor'!T6='Data Jawaban &amp; Skor'!T$4,1,0)</f>
        <v/>
      </c>
      <c r="U29" s="12">
        <f>IF('Data Jawaban &amp; Skor'!U6='Data Jawaban &amp; Skor'!U$4,1,0)</f>
        <v/>
      </c>
      <c r="V29" s="12">
        <f>IF('Data Jawaban &amp; Skor'!V6='Data Jawaban &amp; Skor'!V$4,1,0)</f>
        <v/>
      </c>
      <c r="W29" s="8">
        <f>SUM(C29:V29)</f>
        <v/>
      </c>
      <c r="X29" s="6">
        <f>RANK(W29, W$27:W$46, 0) + COUNTIF(W$27:W29, W29) - 1</f>
        <v/>
      </c>
    </row>
    <row r="30">
      <c r="A30" s="12" t="n">
        <v>2</v>
      </c>
      <c r="B30" s="13" t="inlineStr">
        <is>
          <t>Siswa 2</t>
        </is>
      </c>
      <c r="C30" s="12">
        <f>IF('Data Jawaban &amp; Skor'!C7='Data Jawaban &amp; Skor'!C$4,1,0)</f>
        <v/>
      </c>
      <c r="D30" s="12">
        <f>IF('Data Jawaban &amp; Skor'!D7='Data Jawaban &amp; Skor'!D$4,1,0)</f>
        <v/>
      </c>
      <c r="E30" s="12">
        <f>IF('Data Jawaban &amp; Skor'!E7='Data Jawaban &amp; Skor'!E$4,1,0)</f>
        <v/>
      </c>
      <c r="F30" s="12">
        <f>IF('Data Jawaban &amp; Skor'!F7='Data Jawaban &amp; Skor'!F$4,1,0)</f>
        <v/>
      </c>
      <c r="G30" s="12">
        <f>IF('Data Jawaban &amp; Skor'!G7='Data Jawaban &amp; Skor'!G$4,1,0)</f>
        <v/>
      </c>
      <c r="H30" s="12">
        <f>IF('Data Jawaban &amp; Skor'!H7='Data Jawaban &amp; Skor'!H$4,1,0)</f>
        <v/>
      </c>
      <c r="I30" s="12">
        <f>IF('Data Jawaban &amp; Skor'!I7='Data Jawaban &amp; Skor'!I$4,1,0)</f>
        <v/>
      </c>
      <c r="J30" s="12">
        <f>IF('Data Jawaban &amp; Skor'!J7='Data Jawaban &amp; Skor'!J$4,1,0)</f>
        <v/>
      </c>
      <c r="K30" s="12">
        <f>IF('Data Jawaban &amp; Skor'!K7='Data Jawaban &amp; Skor'!K$4,1,0)</f>
        <v/>
      </c>
      <c r="L30" s="12">
        <f>IF('Data Jawaban &amp; Skor'!L7='Data Jawaban &amp; Skor'!L$4,1,0)</f>
        <v/>
      </c>
      <c r="M30" s="12">
        <f>IF('Data Jawaban &amp; Skor'!M7='Data Jawaban &amp; Skor'!M$4,1,0)</f>
        <v/>
      </c>
      <c r="N30" s="12">
        <f>IF('Data Jawaban &amp; Skor'!N7='Data Jawaban &amp; Skor'!N$4,1,0)</f>
        <v/>
      </c>
      <c r="O30" s="12">
        <f>IF('Data Jawaban &amp; Skor'!O7='Data Jawaban &amp; Skor'!O$4,1,0)</f>
        <v/>
      </c>
      <c r="P30" s="12">
        <f>IF('Data Jawaban &amp; Skor'!P7='Data Jawaban &amp; Skor'!P$4,1,0)</f>
        <v/>
      </c>
      <c r="Q30" s="12">
        <f>IF('Data Jawaban &amp; Skor'!Q7='Data Jawaban &amp; Skor'!Q$4,1,0)</f>
        <v/>
      </c>
      <c r="R30" s="12">
        <f>IF('Data Jawaban &amp; Skor'!R7='Data Jawaban &amp; Skor'!R$4,1,0)</f>
        <v/>
      </c>
      <c r="S30" s="12">
        <f>IF('Data Jawaban &amp; Skor'!S7='Data Jawaban &amp; Skor'!S$4,1,0)</f>
        <v/>
      </c>
      <c r="T30" s="12">
        <f>IF('Data Jawaban &amp; Skor'!T7='Data Jawaban &amp; Skor'!T$4,1,0)</f>
        <v/>
      </c>
      <c r="U30" s="12">
        <f>IF('Data Jawaban &amp; Skor'!U7='Data Jawaban &amp; Skor'!U$4,1,0)</f>
        <v/>
      </c>
      <c r="V30" s="12">
        <f>IF('Data Jawaban &amp; Skor'!V7='Data Jawaban &amp; Skor'!V$4,1,0)</f>
        <v/>
      </c>
      <c r="W30" s="8">
        <f>SUM(C30:V30)</f>
        <v/>
      </c>
      <c r="X30" s="6">
        <f>RANK(W30, W$27:W$46, 0) + COUNTIF(W$27:W30, W30) - 1</f>
        <v/>
      </c>
    </row>
    <row r="31">
      <c r="A31" s="12" t="n">
        <v>3</v>
      </c>
      <c r="B31" s="13" t="inlineStr">
        <is>
          <t>Siswa 3</t>
        </is>
      </c>
      <c r="C31" s="12">
        <f>IF('Data Jawaban &amp; Skor'!C8='Data Jawaban &amp; Skor'!C$4,1,0)</f>
        <v/>
      </c>
      <c r="D31" s="12">
        <f>IF('Data Jawaban &amp; Skor'!D8='Data Jawaban &amp; Skor'!D$4,1,0)</f>
        <v/>
      </c>
      <c r="E31" s="12">
        <f>IF('Data Jawaban &amp; Skor'!E8='Data Jawaban &amp; Skor'!E$4,1,0)</f>
        <v/>
      </c>
      <c r="F31" s="12">
        <f>IF('Data Jawaban &amp; Skor'!F8='Data Jawaban &amp; Skor'!F$4,1,0)</f>
        <v/>
      </c>
      <c r="G31" s="12">
        <f>IF('Data Jawaban &amp; Skor'!G8='Data Jawaban &amp; Skor'!G$4,1,0)</f>
        <v/>
      </c>
      <c r="H31" s="12">
        <f>IF('Data Jawaban &amp; Skor'!H8='Data Jawaban &amp; Skor'!H$4,1,0)</f>
        <v/>
      </c>
      <c r="I31" s="12">
        <f>IF('Data Jawaban &amp; Skor'!I8='Data Jawaban &amp; Skor'!I$4,1,0)</f>
        <v/>
      </c>
      <c r="J31" s="12">
        <f>IF('Data Jawaban &amp; Skor'!J8='Data Jawaban &amp; Skor'!J$4,1,0)</f>
        <v/>
      </c>
      <c r="K31" s="12">
        <f>IF('Data Jawaban &amp; Skor'!K8='Data Jawaban &amp; Skor'!K$4,1,0)</f>
        <v/>
      </c>
      <c r="L31" s="12">
        <f>IF('Data Jawaban &amp; Skor'!L8='Data Jawaban &amp; Skor'!L$4,1,0)</f>
        <v/>
      </c>
      <c r="M31" s="12">
        <f>IF('Data Jawaban &amp; Skor'!M8='Data Jawaban &amp; Skor'!M$4,1,0)</f>
        <v/>
      </c>
      <c r="N31" s="12">
        <f>IF('Data Jawaban &amp; Skor'!N8='Data Jawaban &amp; Skor'!N$4,1,0)</f>
        <v/>
      </c>
      <c r="O31" s="12">
        <f>IF('Data Jawaban &amp; Skor'!O8='Data Jawaban &amp; Skor'!O$4,1,0)</f>
        <v/>
      </c>
      <c r="P31" s="12">
        <f>IF('Data Jawaban &amp; Skor'!P8='Data Jawaban &amp; Skor'!P$4,1,0)</f>
        <v/>
      </c>
      <c r="Q31" s="12">
        <f>IF('Data Jawaban &amp; Skor'!Q8='Data Jawaban &amp; Skor'!Q$4,1,0)</f>
        <v/>
      </c>
      <c r="R31" s="12">
        <f>IF('Data Jawaban &amp; Skor'!R8='Data Jawaban &amp; Skor'!R$4,1,0)</f>
        <v/>
      </c>
      <c r="S31" s="12">
        <f>IF('Data Jawaban &amp; Skor'!S8='Data Jawaban &amp; Skor'!S$4,1,0)</f>
        <v/>
      </c>
      <c r="T31" s="12">
        <f>IF('Data Jawaban &amp; Skor'!T8='Data Jawaban &amp; Skor'!T$4,1,0)</f>
        <v/>
      </c>
      <c r="U31" s="12">
        <f>IF('Data Jawaban &amp; Skor'!U8='Data Jawaban &amp; Skor'!U$4,1,0)</f>
        <v/>
      </c>
      <c r="V31" s="12">
        <f>IF('Data Jawaban &amp; Skor'!V8='Data Jawaban &amp; Skor'!V$4,1,0)</f>
        <v/>
      </c>
      <c r="W31" s="8">
        <f>SUM(C31:V31)</f>
        <v/>
      </c>
      <c r="X31" s="6">
        <f>RANK(W31, W$27:W$46, 0) + COUNTIF(W$27:W31, W31) - 1</f>
        <v/>
      </c>
    </row>
    <row r="32">
      <c r="A32" s="12" t="n">
        <v>4</v>
      </c>
      <c r="B32" s="13" t="inlineStr">
        <is>
          <t>Siswa 4</t>
        </is>
      </c>
      <c r="C32" s="12">
        <f>IF('Data Jawaban &amp; Skor'!C9='Data Jawaban &amp; Skor'!C$4,1,0)</f>
        <v/>
      </c>
      <c r="D32" s="12">
        <f>IF('Data Jawaban &amp; Skor'!D9='Data Jawaban &amp; Skor'!D$4,1,0)</f>
        <v/>
      </c>
      <c r="E32" s="12">
        <f>IF('Data Jawaban &amp; Skor'!E9='Data Jawaban &amp; Skor'!E$4,1,0)</f>
        <v/>
      </c>
      <c r="F32" s="12">
        <f>IF('Data Jawaban &amp; Skor'!F9='Data Jawaban &amp; Skor'!F$4,1,0)</f>
        <v/>
      </c>
      <c r="G32" s="12">
        <f>IF('Data Jawaban &amp; Skor'!G9='Data Jawaban &amp; Skor'!G$4,1,0)</f>
        <v/>
      </c>
      <c r="H32" s="12">
        <f>IF('Data Jawaban &amp; Skor'!H9='Data Jawaban &amp; Skor'!H$4,1,0)</f>
        <v/>
      </c>
      <c r="I32" s="12">
        <f>IF('Data Jawaban &amp; Skor'!I9='Data Jawaban &amp; Skor'!I$4,1,0)</f>
        <v/>
      </c>
      <c r="J32" s="12">
        <f>IF('Data Jawaban &amp; Skor'!J9='Data Jawaban &amp; Skor'!J$4,1,0)</f>
        <v/>
      </c>
      <c r="K32" s="12">
        <f>IF('Data Jawaban &amp; Skor'!K9='Data Jawaban &amp; Skor'!K$4,1,0)</f>
        <v/>
      </c>
      <c r="L32" s="12">
        <f>IF('Data Jawaban &amp; Skor'!L9='Data Jawaban &amp; Skor'!L$4,1,0)</f>
        <v/>
      </c>
      <c r="M32" s="12">
        <f>IF('Data Jawaban &amp; Skor'!M9='Data Jawaban &amp; Skor'!M$4,1,0)</f>
        <v/>
      </c>
      <c r="N32" s="12">
        <f>IF('Data Jawaban &amp; Skor'!N9='Data Jawaban &amp; Skor'!N$4,1,0)</f>
        <v/>
      </c>
      <c r="O32" s="12">
        <f>IF('Data Jawaban &amp; Skor'!O9='Data Jawaban &amp; Skor'!O$4,1,0)</f>
        <v/>
      </c>
      <c r="P32" s="12">
        <f>IF('Data Jawaban &amp; Skor'!P9='Data Jawaban &amp; Skor'!P$4,1,0)</f>
        <v/>
      </c>
      <c r="Q32" s="12">
        <f>IF('Data Jawaban &amp; Skor'!Q9='Data Jawaban &amp; Skor'!Q$4,1,0)</f>
        <v/>
      </c>
      <c r="R32" s="12">
        <f>IF('Data Jawaban &amp; Skor'!R9='Data Jawaban &amp; Skor'!R$4,1,0)</f>
        <v/>
      </c>
      <c r="S32" s="12">
        <f>IF('Data Jawaban &amp; Skor'!S9='Data Jawaban &amp; Skor'!S$4,1,0)</f>
        <v/>
      </c>
      <c r="T32" s="12">
        <f>IF('Data Jawaban &amp; Skor'!T9='Data Jawaban &amp; Skor'!T$4,1,0)</f>
        <v/>
      </c>
      <c r="U32" s="12">
        <f>IF('Data Jawaban &amp; Skor'!U9='Data Jawaban &amp; Skor'!U$4,1,0)</f>
        <v/>
      </c>
      <c r="V32" s="12">
        <f>IF('Data Jawaban &amp; Skor'!V9='Data Jawaban &amp; Skor'!V$4,1,0)</f>
        <v/>
      </c>
      <c r="W32" s="8">
        <f>SUM(C32:V32)</f>
        <v/>
      </c>
      <c r="X32" s="6">
        <f>RANK(W32, W$27:W$46, 0) + COUNTIF(W$27:W32, W32) - 1</f>
        <v/>
      </c>
    </row>
    <row r="33">
      <c r="A33" s="12" t="n">
        <v>5</v>
      </c>
      <c r="B33" s="13" t="inlineStr">
        <is>
          <t>Siswa 5</t>
        </is>
      </c>
      <c r="C33" s="12">
        <f>IF('Data Jawaban &amp; Skor'!C10='Data Jawaban &amp; Skor'!C$4,1,0)</f>
        <v/>
      </c>
      <c r="D33" s="12">
        <f>IF('Data Jawaban &amp; Skor'!D10='Data Jawaban &amp; Skor'!D$4,1,0)</f>
        <v/>
      </c>
      <c r="E33" s="12">
        <f>IF('Data Jawaban &amp; Skor'!E10='Data Jawaban &amp; Skor'!E$4,1,0)</f>
        <v/>
      </c>
      <c r="F33" s="12">
        <f>IF('Data Jawaban &amp; Skor'!F10='Data Jawaban &amp; Skor'!F$4,1,0)</f>
        <v/>
      </c>
      <c r="G33" s="12">
        <f>IF('Data Jawaban &amp; Skor'!G10='Data Jawaban &amp; Skor'!G$4,1,0)</f>
        <v/>
      </c>
      <c r="H33" s="12">
        <f>IF('Data Jawaban &amp; Skor'!H10='Data Jawaban &amp; Skor'!H$4,1,0)</f>
        <v/>
      </c>
      <c r="I33" s="12">
        <f>IF('Data Jawaban &amp; Skor'!I10='Data Jawaban &amp; Skor'!I$4,1,0)</f>
        <v/>
      </c>
      <c r="J33" s="12">
        <f>IF('Data Jawaban &amp; Skor'!J10='Data Jawaban &amp; Skor'!J$4,1,0)</f>
        <v/>
      </c>
      <c r="K33" s="12">
        <f>IF('Data Jawaban &amp; Skor'!K10='Data Jawaban &amp; Skor'!K$4,1,0)</f>
        <v/>
      </c>
      <c r="L33" s="12">
        <f>IF('Data Jawaban &amp; Skor'!L10='Data Jawaban &amp; Skor'!L$4,1,0)</f>
        <v/>
      </c>
      <c r="M33" s="12">
        <f>IF('Data Jawaban &amp; Skor'!M10='Data Jawaban &amp; Skor'!M$4,1,0)</f>
        <v/>
      </c>
      <c r="N33" s="12">
        <f>IF('Data Jawaban &amp; Skor'!N10='Data Jawaban &amp; Skor'!N$4,1,0)</f>
        <v/>
      </c>
      <c r="O33" s="12">
        <f>IF('Data Jawaban &amp; Skor'!O10='Data Jawaban &amp; Skor'!O$4,1,0)</f>
        <v/>
      </c>
      <c r="P33" s="12">
        <f>IF('Data Jawaban &amp; Skor'!P10='Data Jawaban &amp; Skor'!P$4,1,0)</f>
        <v/>
      </c>
      <c r="Q33" s="12">
        <f>IF('Data Jawaban &amp; Skor'!Q10='Data Jawaban &amp; Skor'!Q$4,1,0)</f>
        <v/>
      </c>
      <c r="R33" s="12">
        <f>IF('Data Jawaban &amp; Skor'!R10='Data Jawaban &amp; Skor'!R$4,1,0)</f>
        <v/>
      </c>
      <c r="S33" s="12">
        <f>IF('Data Jawaban &amp; Skor'!S10='Data Jawaban &amp; Skor'!S$4,1,0)</f>
        <v/>
      </c>
      <c r="T33" s="12">
        <f>IF('Data Jawaban &amp; Skor'!T10='Data Jawaban &amp; Skor'!T$4,1,0)</f>
        <v/>
      </c>
      <c r="U33" s="12">
        <f>IF('Data Jawaban &amp; Skor'!U10='Data Jawaban &amp; Skor'!U$4,1,0)</f>
        <v/>
      </c>
      <c r="V33" s="12">
        <f>IF('Data Jawaban &amp; Skor'!V10='Data Jawaban &amp; Skor'!V$4,1,0)</f>
        <v/>
      </c>
      <c r="W33" s="8">
        <f>SUM(C33:V33)</f>
        <v/>
      </c>
      <c r="X33" s="6">
        <f>RANK(W33, W$27:W$46, 0) + COUNTIF(W$27:W33, W33) - 1</f>
        <v/>
      </c>
    </row>
    <row r="34">
      <c r="A34" s="12" t="n">
        <v>6</v>
      </c>
      <c r="B34" s="13" t="inlineStr">
        <is>
          <t>Siswa 6</t>
        </is>
      </c>
      <c r="C34" s="12">
        <f>IF('Data Jawaban &amp; Skor'!C11='Data Jawaban &amp; Skor'!C$4,1,0)</f>
        <v/>
      </c>
      <c r="D34" s="12">
        <f>IF('Data Jawaban &amp; Skor'!D11='Data Jawaban &amp; Skor'!D$4,1,0)</f>
        <v/>
      </c>
      <c r="E34" s="12">
        <f>IF('Data Jawaban &amp; Skor'!E11='Data Jawaban &amp; Skor'!E$4,1,0)</f>
        <v/>
      </c>
      <c r="F34" s="12">
        <f>IF('Data Jawaban &amp; Skor'!F11='Data Jawaban &amp; Skor'!F$4,1,0)</f>
        <v/>
      </c>
      <c r="G34" s="12">
        <f>IF('Data Jawaban &amp; Skor'!G11='Data Jawaban &amp; Skor'!G$4,1,0)</f>
        <v/>
      </c>
      <c r="H34" s="12">
        <f>IF('Data Jawaban &amp; Skor'!H11='Data Jawaban &amp; Skor'!H$4,1,0)</f>
        <v/>
      </c>
      <c r="I34" s="12">
        <f>IF('Data Jawaban &amp; Skor'!I11='Data Jawaban &amp; Skor'!I$4,1,0)</f>
        <v/>
      </c>
      <c r="J34" s="12">
        <f>IF('Data Jawaban &amp; Skor'!J11='Data Jawaban &amp; Skor'!J$4,1,0)</f>
        <v/>
      </c>
      <c r="K34" s="12">
        <f>IF('Data Jawaban &amp; Skor'!K11='Data Jawaban &amp; Skor'!K$4,1,0)</f>
        <v/>
      </c>
      <c r="L34" s="12">
        <f>IF('Data Jawaban &amp; Skor'!L11='Data Jawaban &amp; Skor'!L$4,1,0)</f>
        <v/>
      </c>
      <c r="M34" s="12">
        <f>IF('Data Jawaban &amp; Skor'!M11='Data Jawaban &amp; Skor'!M$4,1,0)</f>
        <v/>
      </c>
      <c r="N34" s="12">
        <f>IF('Data Jawaban &amp; Skor'!N11='Data Jawaban &amp; Skor'!N$4,1,0)</f>
        <v/>
      </c>
      <c r="O34" s="12">
        <f>IF('Data Jawaban &amp; Skor'!O11='Data Jawaban &amp; Skor'!O$4,1,0)</f>
        <v/>
      </c>
      <c r="P34" s="12">
        <f>IF('Data Jawaban &amp; Skor'!P11='Data Jawaban &amp; Skor'!P$4,1,0)</f>
        <v/>
      </c>
      <c r="Q34" s="12">
        <f>IF('Data Jawaban &amp; Skor'!Q11='Data Jawaban &amp; Skor'!Q$4,1,0)</f>
        <v/>
      </c>
      <c r="R34" s="12">
        <f>IF('Data Jawaban &amp; Skor'!R11='Data Jawaban &amp; Skor'!R$4,1,0)</f>
        <v/>
      </c>
      <c r="S34" s="12">
        <f>IF('Data Jawaban &amp; Skor'!S11='Data Jawaban &amp; Skor'!S$4,1,0)</f>
        <v/>
      </c>
      <c r="T34" s="12">
        <f>IF('Data Jawaban &amp; Skor'!T11='Data Jawaban &amp; Skor'!T$4,1,0)</f>
        <v/>
      </c>
      <c r="U34" s="12">
        <f>IF('Data Jawaban &amp; Skor'!U11='Data Jawaban &amp; Skor'!U$4,1,0)</f>
        <v/>
      </c>
      <c r="V34" s="12">
        <f>IF('Data Jawaban &amp; Skor'!V11='Data Jawaban &amp; Skor'!V$4,1,0)</f>
        <v/>
      </c>
      <c r="W34" s="8">
        <f>SUM(C34:V34)</f>
        <v/>
      </c>
      <c r="X34" s="6">
        <f>RANK(W34, W$27:W$46, 0) + COUNTIF(W$27:W34, W34) - 1</f>
        <v/>
      </c>
    </row>
    <row r="35">
      <c r="A35" s="12" t="n">
        <v>7</v>
      </c>
      <c r="B35" s="13" t="inlineStr">
        <is>
          <t>Siswa 7</t>
        </is>
      </c>
      <c r="C35" s="12">
        <f>IF('Data Jawaban &amp; Skor'!C12='Data Jawaban &amp; Skor'!C$4,1,0)</f>
        <v/>
      </c>
      <c r="D35" s="12">
        <f>IF('Data Jawaban &amp; Skor'!D12='Data Jawaban &amp; Skor'!D$4,1,0)</f>
        <v/>
      </c>
      <c r="E35" s="12">
        <f>IF('Data Jawaban &amp; Skor'!E12='Data Jawaban &amp; Skor'!E$4,1,0)</f>
        <v/>
      </c>
      <c r="F35" s="12">
        <f>IF('Data Jawaban &amp; Skor'!F12='Data Jawaban &amp; Skor'!F$4,1,0)</f>
        <v/>
      </c>
      <c r="G35" s="12">
        <f>IF('Data Jawaban &amp; Skor'!G12='Data Jawaban &amp; Skor'!G$4,1,0)</f>
        <v/>
      </c>
      <c r="H35" s="12">
        <f>IF('Data Jawaban &amp; Skor'!H12='Data Jawaban &amp; Skor'!H$4,1,0)</f>
        <v/>
      </c>
      <c r="I35" s="12">
        <f>IF('Data Jawaban &amp; Skor'!I12='Data Jawaban &amp; Skor'!I$4,1,0)</f>
        <v/>
      </c>
      <c r="J35" s="12">
        <f>IF('Data Jawaban &amp; Skor'!J12='Data Jawaban &amp; Skor'!J$4,1,0)</f>
        <v/>
      </c>
      <c r="K35" s="12">
        <f>IF('Data Jawaban &amp; Skor'!K12='Data Jawaban &amp; Skor'!K$4,1,0)</f>
        <v/>
      </c>
      <c r="L35" s="12">
        <f>IF('Data Jawaban &amp; Skor'!L12='Data Jawaban &amp; Skor'!L$4,1,0)</f>
        <v/>
      </c>
      <c r="M35" s="12">
        <f>IF('Data Jawaban &amp; Skor'!M12='Data Jawaban &amp; Skor'!M$4,1,0)</f>
        <v/>
      </c>
      <c r="N35" s="12">
        <f>IF('Data Jawaban &amp; Skor'!N12='Data Jawaban &amp; Skor'!N$4,1,0)</f>
        <v/>
      </c>
      <c r="O35" s="12">
        <f>IF('Data Jawaban &amp; Skor'!O12='Data Jawaban &amp; Skor'!O$4,1,0)</f>
        <v/>
      </c>
      <c r="P35" s="12">
        <f>IF('Data Jawaban &amp; Skor'!P12='Data Jawaban &amp; Skor'!P$4,1,0)</f>
        <v/>
      </c>
      <c r="Q35" s="12">
        <f>IF('Data Jawaban &amp; Skor'!Q12='Data Jawaban &amp; Skor'!Q$4,1,0)</f>
        <v/>
      </c>
      <c r="R35" s="12">
        <f>IF('Data Jawaban &amp; Skor'!R12='Data Jawaban &amp; Skor'!R$4,1,0)</f>
        <v/>
      </c>
      <c r="S35" s="12">
        <f>IF('Data Jawaban &amp; Skor'!S12='Data Jawaban &amp; Skor'!S$4,1,0)</f>
        <v/>
      </c>
      <c r="T35" s="12">
        <f>IF('Data Jawaban &amp; Skor'!T12='Data Jawaban &amp; Skor'!T$4,1,0)</f>
        <v/>
      </c>
      <c r="U35" s="12">
        <f>IF('Data Jawaban &amp; Skor'!U12='Data Jawaban &amp; Skor'!U$4,1,0)</f>
        <v/>
      </c>
      <c r="V35" s="12">
        <f>IF('Data Jawaban &amp; Skor'!V12='Data Jawaban &amp; Skor'!V$4,1,0)</f>
        <v/>
      </c>
      <c r="W35" s="8">
        <f>SUM(C35:V35)</f>
        <v/>
      </c>
      <c r="X35" s="6">
        <f>RANK(W35, W$27:W$46, 0) + COUNTIF(W$27:W35, W35) - 1</f>
        <v/>
      </c>
    </row>
    <row r="36">
      <c r="A36" s="12" t="n">
        <v>8</v>
      </c>
      <c r="B36" s="13" t="inlineStr">
        <is>
          <t>Siswa 8</t>
        </is>
      </c>
      <c r="C36" s="12">
        <f>IF('Data Jawaban &amp; Skor'!C13='Data Jawaban &amp; Skor'!C$4,1,0)</f>
        <v/>
      </c>
      <c r="D36" s="12">
        <f>IF('Data Jawaban &amp; Skor'!D13='Data Jawaban &amp; Skor'!D$4,1,0)</f>
        <v/>
      </c>
      <c r="E36" s="12">
        <f>IF('Data Jawaban &amp; Skor'!E13='Data Jawaban &amp; Skor'!E$4,1,0)</f>
        <v/>
      </c>
      <c r="F36" s="12">
        <f>IF('Data Jawaban &amp; Skor'!F13='Data Jawaban &amp; Skor'!F$4,1,0)</f>
        <v/>
      </c>
      <c r="G36" s="12">
        <f>IF('Data Jawaban &amp; Skor'!G13='Data Jawaban &amp; Skor'!G$4,1,0)</f>
        <v/>
      </c>
      <c r="H36" s="12">
        <f>IF('Data Jawaban &amp; Skor'!H13='Data Jawaban &amp; Skor'!H$4,1,0)</f>
        <v/>
      </c>
      <c r="I36" s="12">
        <f>IF('Data Jawaban &amp; Skor'!I13='Data Jawaban &amp; Skor'!I$4,1,0)</f>
        <v/>
      </c>
      <c r="J36" s="12">
        <f>IF('Data Jawaban &amp; Skor'!J13='Data Jawaban &amp; Skor'!J$4,1,0)</f>
        <v/>
      </c>
      <c r="K36" s="12">
        <f>IF('Data Jawaban &amp; Skor'!K13='Data Jawaban &amp; Skor'!K$4,1,0)</f>
        <v/>
      </c>
      <c r="L36" s="12">
        <f>IF('Data Jawaban &amp; Skor'!L13='Data Jawaban &amp; Skor'!L$4,1,0)</f>
        <v/>
      </c>
      <c r="M36" s="12">
        <f>IF('Data Jawaban &amp; Skor'!M13='Data Jawaban &amp; Skor'!M$4,1,0)</f>
        <v/>
      </c>
      <c r="N36" s="12">
        <f>IF('Data Jawaban &amp; Skor'!N13='Data Jawaban &amp; Skor'!N$4,1,0)</f>
        <v/>
      </c>
      <c r="O36" s="12">
        <f>IF('Data Jawaban &amp; Skor'!O13='Data Jawaban &amp; Skor'!O$4,1,0)</f>
        <v/>
      </c>
      <c r="P36" s="12">
        <f>IF('Data Jawaban &amp; Skor'!P13='Data Jawaban &amp; Skor'!P$4,1,0)</f>
        <v/>
      </c>
      <c r="Q36" s="12">
        <f>IF('Data Jawaban &amp; Skor'!Q13='Data Jawaban &amp; Skor'!Q$4,1,0)</f>
        <v/>
      </c>
      <c r="R36" s="12">
        <f>IF('Data Jawaban &amp; Skor'!R13='Data Jawaban &amp; Skor'!R$4,1,0)</f>
        <v/>
      </c>
      <c r="S36" s="12">
        <f>IF('Data Jawaban &amp; Skor'!S13='Data Jawaban &amp; Skor'!S$4,1,0)</f>
        <v/>
      </c>
      <c r="T36" s="12">
        <f>IF('Data Jawaban &amp; Skor'!T13='Data Jawaban &amp; Skor'!T$4,1,0)</f>
        <v/>
      </c>
      <c r="U36" s="12">
        <f>IF('Data Jawaban &amp; Skor'!U13='Data Jawaban &amp; Skor'!U$4,1,0)</f>
        <v/>
      </c>
      <c r="V36" s="12">
        <f>IF('Data Jawaban &amp; Skor'!V13='Data Jawaban &amp; Skor'!V$4,1,0)</f>
        <v/>
      </c>
      <c r="W36" s="8">
        <f>SUM(C36:V36)</f>
        <v/>
      </c>
      <c r="X36" s="6">
        <f>RANK(W36, W$27:W$46, 0) + COUNTIF(W$27:W36, W36) - 1</f>
        <v/>
      </c>
    </row>
    <row r="37">
      <c r="A37" s="12" t="n">
        <v>9</v>
      </c>
      <c r="B37" s="13" t="inlineStr">
        <is>
          <t>Siswa 9</t>
        </is>
      </c>
      <c r="C37" s="12">
        <f>IF('Data Jawaban &amp; Skor'!C14='Data Jawaban &amp; Skor'!C$4,1,0)</f>
        <v/>
      </c>
      <c r="D37" s="12">
        <f>IF('Data Jawaban &amp; Skor'!D14='Data Jawaban &amp; Skor'!D$4,1,0)</f>
        <v/>
      </c>
      <c r="E37" s="12">
        <f>IF('Data Jawaban &amp; Skor'!E14='Data Jawaban &amp; Skor'!E$4,1,0)</f>
        <v/>
      </c>
      <c r="F37" s="12">
        <f>IF('Data Jawaban &amp; Skor'!F14='Data Jawaban &amp; Skor'!F$4,1,0)</f>
        <v/>
      </c>
      <c r="G37" s="12">
        <f>IF('Data Jawaban &amp; Skor'!G14='Data Jawaban &amp; Skor'!G$4,1,0)</f>
        <v/>
      </c>
      <c r="H37" s="12">
        <f>IF('Data Jawaban &amp; Skor'!H14='Data Jawaban &amp; Skor'!H$4,1,0)</f>
        <v/>
      </c>
      <c r="I37" s="12">
        <f>IF('Data Jawaban &amp; Skor'!I14='Data Jawaban &amp; Skor'!I$4,1,0)</f>
        <v/>
      </c>
      <c r="J37" s="12">
        <f>IF('Data Jawaban &amp; Skor'!J14='Data Jawaban &amp; Skor'!J$4,1,0)</f>
        <v/>
      </c>
      <c r="K37" s="12">
        <f>IF('Data Jawaban &amp; Skor'!K14='Data Jawaban &amp; Skor'!K$4,1,0)</f>
        <v/>
      </c>
      <c r="L37" s="12">
        <f>IF('Data Jawaban &amp; Skor'!L14='Data Jawaban &amp; Skor'!L$4,1,0)</f>
        <v/>
      </c>
      <c r="M37" s="12">
        <f>IF('Data Jawaban &amp; Skor'!M14='Data Jawaban &amp; Skor'!M$4,1,0)</f>
        <v/>
      </c>
      <c r="N37" s="12">
        <f>IF('Data Jawaban &amp; Skor'!N14='Data Jawaban &amp; Skor'!N$4,1,0)</f>
        <v/>
      </c>
      <c r="O37" s="12">
        <f>IF('Data Jawaban &amp; Skor'!O14='Data Jawaban &amp; Skor'!O$4,1,0)</f>
        <v/>
      </c>
      <c r="P37" s="12">
        <f>IF('Data Jawaban &amp; Skor'!P14='Data Jawaban &amp; Skor'!P$4,1,0)</f>
        <v/>
      </c>
      <c r="Q37" s="12">
        <f>IF('Data Jawaban &amp; Skor'!Q14='Data Jawaban &amp; Skor'!Q$4,1,0)</f>
        <v/>
      </c>
      <c r="R37" s="12">
        <f>IF('Data Jawaban &amp; Skor'!R14='Data Jawaban &amp; Skor'!R$4,1,0)</f>
        <v/>
      </c>
      <c r="S37" s="12">
        <f>IF('Data Jawaban &amp; Skor'!S14='Data Jawaban &amp; Skor'!S$4,1,0)</f>
        <v/>
      </c>
      <c r="T37" s="12">
        <f>IF('Data Jawaban &amp; Skor'!T14='Data Jawaban &amp; Skor'!T$4,1,0)</f>
        <v/>
      </c>
      <c r="U37" s="12">
        <f>IF('Data Jawaban &amp; Skor'!U14='Data Jawaban &amp; Skor'!U$4,1,0)</f>
        <v/>
      </c>
      <c r="V37" s="12">
        <f>IF('Data Jawaban &amp; Skor'!V14='Data Jawaban &amp; Skor'!V$4,1,0)</f>
        <v/>
      </c>
      <c r="W37" s="8">
        <f>SUM(C37:V37)</f>
        <v/>
      </c>
      <c r="X37" s="6">
        <f>RANK(W37, W$27:W$46, 0) + COUNTIF(W$27:W37, W37) - 1</f>
        <v/>
      </c>
    </row>
    <row r="38">
      <c r="A38" s="12" t="n">
        <v>10</v>
      </c>
      <c r="B38" s="13" t="inlineStr">
        <is>
          <t>Siswa 10</t>
        </is>
      </c>
      <c r="C38" s="12">
        <f>IF('Data Jawaban &amp; Skor'!C15='Data Jawaban &amp; Skor'!C$4,1,0)</f>
        <v/>
      </c>
      <c r="D38" s="12">
        <f>IF('Data Jawaban &amp; Skor'!D15='Data Jawaban &amp; Skor'!D$4,1,0)</f>
        <v/>
      </c>
      <c r="E38" s="12">
        <f>IF('Data Jawaban &amp; Skor'!E15='Data Jawaban &amp; Skor'!E$4,1,0)</f>
        <v/>
      </c>
      <c r="F38" s="12">
        <f>IF('Data Jawaban &amp; Skor'!F15='Data Jawaban &amp; Skor'!F$4,1,0)</f>
        <v/>
      </c>
      <c r="G38" s="12">
        <f>IF('Data Jawaban &amp; Skor'!G15='Data Jawaban &amp; Skor'!G$4,1,0)</f>
        <v/>
      </c>
      <c r="H38" s="12">
        <f>IF('Data Jawaban &amp; Skor'!H15='Data Jawaban &amp; Skor'!H$4,1,0)</f>
        <v/>
      </c>
      <c r="I38" s="12">
        <f>IF('Data Jawaban &amp; Skor'!I15='Data Jawaban &amp; Skor'!I$4,1,0)</f>
        <v/>
      </c>
      <c r="J38" s="12">
        <f>IF('Data Jawaban &amp; Skor'!J15='Data Jawaban &amp; Skor'!J$4,1,0)</f>
        <v/>
      </c>
      <c r="K38" s="12">
        <f>IF('Data Jawaban &amp; Skor'!K15='Data Jawaban &amp; Skor'!K$4,1,0)</f>
        <v/>
      </c>
      <c r="L38" s="12">
        <f>IF('Data Jawaban &amp; Skor'!L15='Data Jawaban &amp; Skor'!L$4,1,0)</f>
        <v/>
      </c>
      <c r="M38" s="12">
        <f>IF('Data Jawaban &amp; Skor'!M15='Data Jawaban &amp; Skor'!M$4,1,0)</f>
        <v/>
      </c>
      <c r="N38" s="12">
        <f>IF('Data Jawaban &amp; Skor'!N15='Data Jawaban &amp; Skor'!N$4,1,0)</f>
        <v/>
      </c>
      <c r="O38" s="12">
        <f>IF('Data Jawaban &amp; Skor'!O15='Data Jawaban &amp; Skor'!O$4,1,0)</f>
        <v/>
      </c>
      <c r="P38" s="12">
        <f>IF('Data Jawaban &amp; Skor'!P15='Data Jawaban &amp; Skor'!P$4,1,0)</f>
        <v/>
      </c>
      <c r="Q38" s="12">
        <f>IF('Data Jawaban &amp; Skor'!Q15='Data Jawaban &amp; Skor'!Q$4,1,0)</f>
        <v/>
      </c>
      <c r="R38" s="12">
        <f>IF('Data Jawaban &amp; Skor'!R15='Data Jawaban &amp; Skor'!R$4,1,0)</f>
        <v/>
      </c>
      <c r="S38" s="12">
        <f>IF('Data Jawaban &amp; Skor'!S15='Data Jawaban &amp; Skor'!S$4,1,0)</f>
        <v/>
      </c>
      <c r="T38" s="12">
        <f>IF('Data Jawaban &amp; Skor'!T15='Data Jawaban &amp; Skor'!T$4,1,0)</f>
        <v/>
      </c>
      <c r="U38" s="12">
        <f>IF('Data Jawaban &amp; Skor'!U15='Data Jawaban &amp; Skor'!U$4,1,0)</f>
        <v/>
      </c>
      <c r="V38" s="12">
        <f>IF('Data Jawaban &amp; Skor'!V15='Data Jawaban &amp; Skor'!V$4,1,0)</f>
        <v/>
      </c>
      <c r="W38" s="8">
        <f>SUM(C38:V38)</f>
        <v/>
      </c>
      <c r="X38" s="6">
        <f>RANK(W38, W$27:W$46, 0) + COUNTIF(W$27:W38, W38) - 1</f>
        <v/>
      </c>
    </row>
    <row r="39">
      <c r="A39" s="12" t="n">
        <v>11</v>
      </c>
      <c r="B39" s="13" t="inlineStr">
        <is>
          <t>Siswa 11</t>
        </is>
      </c>
      <c r="C39" s="12">
        <f>IF('Data Jawaban &amp; Skor'!C16='Data Jawaban &amp; Skor'!C$4,1,0)</f>
        <v/>
      </c>
      <c r="D39" s="12">
        <f>IF('Data Jawaban &amp; Skor'!D16='Data Jawaban &amp; Skor'!D$4,1,0)</f>
        <v/>
      </c>
      <c r="E39" s="12">
        <f>IF('Data Jawaban &amp; Skor'!E16='Data Jawaban &amp; Skor'!E$4,1,0)</f>
        <v/>
      </c>
      <c r="F39" s="12">
        <f>IF('Data Jawaban &amp; Skor'!F16='Data Jawaban &amp; Skor'!F$4,1,0)</f>
        <v/>
      </c>
      <c r="G39" s="12">
        <f>IF('Data Jawaban &amp; Skor'!G16='Data Jawaban &amp; Skor'!G$4,1,0)</f>
        <v/>
      </c>
      <c r="H39" s="12">
        <f>IF('Data Jawaban &amp; Skor'!H16='Data Jawaban &amp; Skor'!H$4,1,0)</f>
        <v/>
      </c>
      <c r="I39" s="12">
        <f>IF('Data Jawaban &amp; Skor'!I16='Data Jawaban &amp; Skor'!I$4,1,0)</f>
        <v/>
      </c>
      <c r="J39" s="12">
        <f>IF('Data Jawaban &amp; Skor'!J16='Data Jawaban &amp; Skor'!J$4,1,0)</f>
        <v/>
      </c>
      <c r="K39" s="12">
        <f>IF('Data Jawaban &amp; Skor'!K16='Data Jawaban &amp; Skor'!K$4,1,0)</f>
        <v/>
      </c>
      <c r="L39" s="12">
        <f>IF('Data Jawaban &amp; Skor'!L16='Data Jawaban &amp; Skor'!L$4,1,0)</f>
        <v/>
      </c>
      <c r="M39" s="12">
        <f>IF('Data Jawaban &amp; Skor'!M16='Data Jawaban &amp; Skor'!M$4,1,0)</f>
        <v/>
      </c>
      <c r="N39" s="12">
        <f>IF('Data Jawaban &amp; Skor'!N16='Data Jawaban &amp; Skor'!N$4,1,0)</f>
        <v/>
      </c>
      <c r="O39" s="12">
        <f>IF('Data Jawaban &amp; Skor'!O16='Data Jawaban &amp; Skor'!O$4,1,0)</f>
        <v/>
      </c>
      <c r="P39" s="12">
        <f>IF('Data Jawaban &amp; Skor'!P16='Data Jawaban &amp; Skor'!P$4,1,0)</f>
        <v/>
      </c>
      <c r="Q39" s="12">
        <f>IF('Data Jawaban &amp; Skor'!Q16='Data Jawaban &amp; Skor'!Q$4,1,0)</f>
        <v/>
      </c>
      <c r="R39" s="12">
        <f>IF('Data Jawaban &amp; Skor'!R16='Data Jawaban &amp; Skor'!R$4,1,0)</f>
        <v/>
      </c>
      <c r="S39" s="12">
        <f>IF('Data Jawaban &amp; Skor'!S16='Data Jawaban &amp; Skor'!S$4,1,0)</f>
        <v/>
      </c>
      <c r="T39" s="12">
        <f>IF('Data Jawaban &amp; Skor'!T16='Data Jawaban &amp; Skor'!T$4,1,0)</f>
        <v/>
      </c>
      <c r="U39" s="12">
        <f>IF('Data Jawaban &amp; Skor'!U16='Data Jawaban &amp; Skor'!U$4,1,0)</f>
        <v/>
      </c>
      <c r="V39" s="12">
        <f>IF('Data Jawaban &amp; Skor'!V16='Data Jawaban &amp; Skor'!V$4,1,0)</f>
        <v/>
      </c>
      <c r="W39" s="8">
        <f>SUM(C39:V39)</f>
        <v/>
      </c>
      <c r="X39" s="6">
        <f>RANK(W39, W$27:W$46, 0) + COUNTIF(W$27:W39, W39) - 1</f>
        <v/>
      </c>
    </row>
    <row r="40">
      <c r="A40" s="12" t="n">
        <v>12</v>
      </c>
      <c r="B40" s="13" t="inlineStr">
        <is>
          <t>Siswa 12</t>
        </is>
      </c>
      <c r="C40" s="12">
        <f>IF('Data Jawaban &amp; Skor'!C17='Data Jawaban &amp; Skor'!C$4,1,0)</f>
        <v/>
      </c>
      <c r="D40" s="12">
        <f>IF('Data Jawaban &amp; Skor'!D17='Data Jawaban &amp; Skor'!D$4,1,0)</f>
        <v/>
      </c>
      <c r="E40" s="12">
        <f>IF('Data Jawaban &amp; Skor'!E17='Data Jawaban &amp; Skor'!E$4,1,0)</f>
        <v/>
      </c>
      <c r="F40" s="12">
        <f>IF('Data Jawaban &amp; Skor'!F17='Data Jawaban &amp; Skor'!F$4,1,0)</f>
        <v/>
      </c>
      <c r="G40" s="12">
        <f>IF('Data Jawaban &amp; Skor'!G17='Data Jawaban &amp; Skor'!G$4,1,0)</f>
        <v/>
      </c>
      <c r="H40" s="12">
        <f>IF('Data Jawaban &amp; Skor'!H17='Data Jawaban &amp; Skor'!H$4,1,0)</f>
        <v/>
      </c>
      <c r="I40" s="12">
        <f>IF('Data Jawaban &amp; Skor'!I17='Data Jawaban &amp; Skor'!I$4,1,0)</f>
        <v/>
      </c>
      <c r="J40" s="12">
        <f>IF('Data Jawaban &amp; Skor'!J17='Data Jawaban &amp; Skor'!J$4,1,0)</f>
        <v/>
      </c>
      <c r="K40" s="12">
        <f>IF('Data Jawaban &amp; Skor'!K17='Data Jawaban &amp; Skor'!K$4,1,0)</f>
        <v/>
      </c>
      <c r="L40" s="12">
        <f>IF('Data Jawaban &amp; Skor'!L17='Data Jawaban &amp; Skor'!L$4,1,0)</f>
        <v/>
      </c>
      <c r="M40" s="12">
        <f>IF('Data Jawaban &amp; Skor'!M17='Data Jawaban &amp; Skor'!M$4,1,0)</f>
        <v/>
      </c>
      <c r="N40" s="12">
        <f>IF('Data Jawaban &amp; Skor'!N17='Data Jawaban &amp; Skor'!N$4,1,0)</f>
        <v/>
      </c>
      <c r="O40" s="12">
        <f>IF('Data Jawaban &amp; Skor'!O17='Data Jawaban &amp; Skor'!O$4,1,0)</f>
        <v/>
      </c>
      <c r="P40" s="12">
        <f>IF('Data Jawaban &amp; Skor'!P17='Data Jawaban &amp; Skor'!P$4,1,0)</f>
        <v/>
      </c>
      <c r="Q40" s="12">
        <f>IF('Data Jawaban &amp; Skor'!Q17='Data Jawaban &amp; Skor'!Q$4,1,0)</f>
        <v/>
      </c>
      <c r="R40" s="12">
        <f>IF('Data Jawaban &amp; Skor'!R17='Data Jawaban &amp; Skor'!R$4,1,0)</f>
        <v/>
      </c>
      <c r="S40" s="12">
        <f>IF('Data Jawaban &amp; Skor'!S17='Data Jawaban &amp; Skor'!S$4,1,0)</f>
        <v/>
      </c>
      <c r="T40" s="12">
        <f>IF('Data Jawaban &amp; Skor'!T17='Data Jawaban &amp; Skor'!T$4,1,0)</f>
        <v/>
      </c>
      <c r="U40" s="12">
        <f>IF('Data Jawaban &amp; Skor'!U17='Data Jawaban &amp; Skor'!U$4,1,0)</f>
        <v/>
      </c>
      <c r="V40" s="12">
        <f>IF('Data Jawaban &amp; Skor'!V17='Data Jawaban &amp; Skor'!V$4,1,0)</f>
        <v/>
      </c>
      <c r="W40" s="8">
        <f>SUM(C40:V40)</f>
        <v/>
      </c>
      <c r="X40" s="6">
        <f>RANK(W40, W$27:W$46, 0) + COUNTIF(W$27:W40, W40) - 1</f>
        <v/>
      </c>
    </row>
    <row r="41">
      <c r="A41" s="12" t="n">
        <v>13</v>
      </c>
      <c r="B41" s="13" t="inlineStr">
        <is>
          <t>Siswa 13</t>
        </is>
      </c>
      <c r="C41" s="12">
        <f>IF('Data Jawaban &amp; Skor'!C18='Data Jawaban &amp; Skor'!C$4,1,0)</f>
        <v/>
      </c>
      <c r="D41" s="12">
        <f>IF('Data Jawaban &amp; Skor'!D18='Data Jawaban &amp; Skor'!D$4,1,0)</f>
        <v/>
      </c>
      <c r="E41" s="12">
        <f>IF('Data Jawaban &amp; Skor'!E18='Data Jawaban &amp; Skor'!E$4,1,0)</f>
        <v/>
      </c>
      <c r="F41" s="12">
        <f>IF('Data Jawaban &amp; Skor'!F18='Data Jawaban &amp; Skor'!F$4,1,0)</f>
        <v/>
      </c>
      <c r="G41" s="12">
        <f>IF('Data Jawaban &amp; Skor'!G18='Data Jawaban &amp; Skor'!G$4,1,0)</f>
        <v/>
      </c>
      <c r="H41" s="12">
        <f>IF('Data Jawaban &amp; Skor'!H18='Data Jawaban &amp; Skor'!H$4,1,0)</f>
        <v/>
      </c>
      <c r="I41" s="12">
        <f>IF('Data Jawaban &amp; Skor'!I18='Data Jawaban &amp; Skor'!I$4,1,0)</f>
        <v/>
      </c>
      <c r="J41" s="12">
        <f>IF('Data Jawaban &amp; Skor'!J18='Data Jawaban &amp; Skor'!J$4,1,0)</f>
        <v/>
      </c>
      <c r="K41" s="12">
        <f>IF('Data Jawaban &amp; Skor'!K18='Data Jawaban &amp; Skor'!K$4,1,0)</f>
        <v/>
      </c>
      <c r="L41" s="12">
        <f>IF('Data Jawaban &amp; Skor'!L18='Data Jawaban &amp; Skor'!L$4,1,0)</f>
        <v/>
      </c>
      <c r="M41" s="12">
        <f>IF('Data Jawaban &amp; Skor'!M18='Data Jawaban &amp; Skor'!M$4,1,0)</f>
        <v/>
      </c>
      <c r="N41" s="12">
        <f>IF('Data Jawaban &amp; Skor'!N18='Data Jawaban &amp; Skor'!N$4,1,0)</f>
        <v/>
      </c>
      <c r="O41" s="12">
        <f>IF('Data Jawaban &amp; Skor'!O18='Data Jawaban &amp; Skor'!O$4,1,0)</f>
        <v/>
      </c>
      <c r="P41" s="12">
        <f>IF('Data Jawaban &amp; Skor'!P18='Data Jawaban &amp; Skor'!P$4,1,0)</f>
        <v/>
      </c>
      <c r="Q41" s="12">
        <f>IF('Data Jawaban &amp; Skor'!Q18='Data Jawaban &amp; Skor'!Q$4,1,0)</f>
        <v/>
      </c>
      <c r="R41" s="12">
        <f>IF('Data Jawaban &amp; Skor'!R18='Data Jawaban &amp; Skor'!R$4,1,0)</f>
        <v/>
      </c>
      <c r="S41" s="12">
        <f>IF('Data Jawaban &amp; Skor'!S18='Data Jawaban &amp; Skor'!S$4,1,0)</f>
        <v/>
      </c>
      <c r="T41" s="12">
        <f>IF('Data Jawaban &amp; Skor'!T18='Data Jawaban &amp; Skor'!T$4,1,0)</f>
        <v/>
      </c>
      <c r="U41" s="12">
        <f>IF('Data Jawaban &amp; Skor'!U18='Data Jawaban &amp; Skor'!U$4,1,0)</f>
        <v/>
      </c>
      <c r="V41" s="12">
        <f>IF('Data Jawaban &amp; Skor'!V18='Data Jawaban &amp; Skor'!V$4,1,0)</f>
        <v/>
      </c>
      <c r="W41" s="8">
        <f>SUM(C41:V41)</f>
        <v/>
      </c>
      <c r="X41" s="6">
        <f>RANK(W41, W$27:W$46, 0) + COUNTIF(W$27:W41, W41) - 1</f>
        <v/>
      </c>
    </row>
    <row r="42">
      <c r="A42" s="12" t="n">
        <v>14</v>
      </c>
      <c r="B42" s="13" t="inlineStr">
        <is>
          <t>Siswa 14</t>
        </is>
      </c>
      <c r="C42" s="12">
        <f>IF('Data Jawaban &amp; Skor'!C19='Data Jawaban &amp; Skor'!C$4,1,0)</f>
        <v/>
      </c>
      <c r="D42" s="12">
        <f>IF('Data Jawaban &amp; Skor'!D19='Data Jawaban &amp; Skor'!D$4,1,0)</f>
        <v/>
      </c>
      <c r="E42" s="12">
        <f>IF('Data Jawaban &amp; Skor'!E19='Data Jawaban &amp; Skor'!E$4,1,0)</f>
        <v/>
      </c>
      <c r="F42" s="12">
        <f>IF('Data Jawaban &amp; Skor'!F19='Data Jawaban &amp; Skor'!F$4,1,0)</f>
        <v/>
      </c>
      <c r="G42" s="12">
        <f>IF('Data Jawaban &amp; Skor'!G19='Data Jawaban &amp; Skor'!G$4,1,0)</f>
        <v/>
      </c>
      <c r="H42" s="12">
        <f>IF('Data Jawaban &amp; Skor'!H19='Data Jawaban &amp; Skor'!H$4,1,0)</f>
        <v/>
      </c>
      <c r="I42" s="12">
        <f>IF('Data Jawaban &amp; Skor'!I19='Data Jawaban &amp; Skor'!I$4,1,0)</f>
        <v/>
      </c>
      <c r="J42" s="12">
        <f>IF('Data Jawaban &amp; Skor'!J19='Data Jawaban &amp; Skor'!J$4,1,0)</f>
        <v/>
      </c>
      <c r="K42" s="12">
        <f>IF('Data Jawaban &amp; Skor'!K19='Data Jawaban &amp; Skor'!K$4,1,0)</f>
        <v/>
      </c>
      <c r="L42" s="12">
        <f>IF('Data Jawaban &amp; Skor'!L19='Data Jawaban &amp; Skor'!L$4,1,0)</f>
        <v/>
      </c>
      <c r="M42" s="12">
        <f>IF('Data Jawaban &amp; Skor'!M19='Data Jawaban &amp; Skor'!M$4,1,0)</f>
        <v/>
      </c>
      <c r="N42" s="12">
        <f>IF('Data Jawaban &amp; Skor'!N19='Data Jawaban &amp; Skor'!N$4,1,0)</f>
        <v/>
      </c>
      <c r="O42" s="12">
        <f>IF('Data Jawaban &amp; Skor'!O19='Data Jawaban &amp; Skor'!O$4,1,0)</f>
        <v/>
      </c>
      <c r="P42" s="12">
        <f>IF('Data Jawaban &amp; Skor'!P19='Data Jawaban &amp; Skor'!P$4,1,0)</f>
        <v/>
      </c>
      <c r="Q42" s="12">
        <f>IF('Data Jawaban &amp; Skor'!Q19='Data Jawaban &amp; Skor'!Q$4,1,0)</f>
        <v/>
      </c>
      <c r="R42" s="12">
        <f>IF('Data Jawaban &amp; Skor'!R19='Data Jawaban &amp; Skor'!R$4,1,0)</f>
        <v/>
      </c>
      <c r="S42" s="12">
        <f>IF('Data Jawaban &amp; Skor'!S19='Data Jawaban &amp; Skor'!S$4,1,0)</f>
        <v/>
      </c>
      <c r="T42" s="12">
        <f>IF('Data Jawaban &amp; Skor'!T19='Data Jawaban &amp; Skor'!T$4,1,0)</f>
        <v/>
      </c>
      <c r="U42" s="12">
        <f>IF('Data Jawaban &amp; Skor'!U19='Data Jawaban &amp; Skor'!U$4,1,0)</f>
        <v/>
      </c>
      <c r="V42" s="12">
        <f>IF('Data Jawaban &amp; Skor'!V19='Data Jawaban &amp; Skor'!V$4,1,0)</f>
        <v/>
      </c>
      <c r="W42" s="8">
        <f>SUM(C42:V42)</f>
        <v/>
      </c>
      <c r="X42" s="6">
        <f>RANK(W42, W$27:W$46, 0) + COUNTIF(W$27:W42, W42) - 1</f>
        <v/>
      </c>
    </row>
    <row r="43">
      <c r="A43" s="12" t="n">
        <v>15</v>
      </c>
      <c r="B43" s="13" t="inlineStr">
        <is>
          <t>Siswa 15</t>
        </is>
      </c>
      <c r="C43" s="12">
        <f>IF('Data Jawaban &amp; Skor'!C20='Data Jawaban &amp; Skor'!C$4,1,0)</f>
        <v/>
      </c>
      <c r="D43" s="12">
        <f>IF('Data Jawaban &amp; Skor'!D20='Data Jawaban &amp; Skor'!D$4,1,0)</f>
        <v/>
      </c>
      <c r="E43" s="12">
        <f>IF('Data Jawaban &amp; Skor'!E20='Data Jawaban &amp; Skor'!E$4,1,0)</f>
        <v/>
      </c>
      <c r="F43" s="12">
        <f>IF('Data Jawaban &amp; Skor'!F20='Data Jawaban &amp; Skor'!F$4,1,0)</f>
        <v/>
      </c>
      <c r="G43" s="12">
        <f>IF('Data Jawaban &amp; Skor'!G20='Data Jawaban &amp; Skor'!G$4,1,0)</f>
        <v/>
      </c>
      <c r="H43" s="12">
        <f>IF('Data Jawaban &amp; Skor'!H20='Data Jawaban &amp; Skor'!H$4,1,0)</f>
        <v/>
      </c>
      <c r="I43" s="12">
        <f>IF('Data Jawaban &amp; Skor'!I20='Data Jawaban &amp; Skor'!I$4,1,0)</f>
        <v/>
      </c>
      <c r="J43" s="12">
        <f>IF('Data Jawaban &amp; Skor'!J20='Data Jawaban &amp; Skor'!J$4,1,0)</f>
        <v/>
      </c>
      <c r="K43" s="12">
        <f>IF('Data Jawaban &amp; Skor'!K20='Data Jawaban &amp; Skor'!K$4,1,0)</f>
        <v/>
      </c>
      <c r="L43" s="12">
        <f>IF('Data Jawaban &amp; Skor'!L20='Data Jawaban &amp; Skor'!L$4,1,0)</f>
        <v/>
      </c>
      <c r="M43" s="12">
        <f>IF('Data Jawaban &amp; Skor'!M20='Data Jawaban &amp; Skor'!M$4,1,0)</f>
        <v/>
      </c>
      <c r="N43" s="12">
        <f>IF('Data Jawaban &amp; Skor'!N20='Data Jawaban &amp; Skor'!N$4,1,0)</f>
        <v/>
      </c>
      <c r="O43" s="12">
        <f>IF('Data Jawaban &amp; Skor'!O20='Data Jawaban &amp; Skor'!O$4,1,0)</f>
        <v/>
      </c>
      <c r="P43" s="12">
        <f>IF('Data Jawaban &amp; Skor'!P20='Data Jawaban &amp; Skor'!P$4,1,0)</f>
        <v/>
      </c>
      <c r="Q43" s="12">
        <f>IF('Data Jawaban &amp; Skor'!Q20='Data Jawaban &amp; Skor'!Q$4,1,0)</f>
        <v/>
      </c>
      <c r="R43" s="12">
        <f>IF('Data Jawaban &amp; Skor'!R20='Data Jawaban &amp; Skor'!R$4,1,0)</f>
        <v/>
      </c>
      <c r="S43" s="12">
        <f>IF('Data Jawaban &amp; Skor'!S20='Data Jawaban &amp; Skor'!S$4,1,0)</f>
        <v/>
      </c>
      <c r="T43" s="12">
        <f>IF('Data Jawaban &amp; Skor'!T20='Data Jawaban &amp; Skor'!T$4,1,0)</f>
        <v/>
      </c>
      <c r="U43" s="12">
        <f>IF('Data Jawaban &amp; Skor'!U20='Data Jawaban &amp; Skor'!U$4,1,0)</f>
        <v/>
      </c>
      <c r="V43" s="12">
        <f>IF('Data Jawaban &amp; Skor'!V20='Data Jawaban &amp; Skor'!V$4,1,0)</f>
        <v/>
      </c>
      <c r="W43" s="8">
        <f>SUM(C43:V43)</f>
        <v/>
      </c>
      <c r="X43" s="6">
        <f>RANK(W43, W$27:W$46, 0) + COUNTIF(W$27:W43, W43) - 1</f>
        <v/>
      </c>
    </row>
    <row r="44">
      <c r="A44" s="12" t="n">
        <v>16</v>
      </c>
      <c r="B44" s="13" t="inlineStr">
        <is>
          <t>Siswa 16</t>
        </is>
      </c>
      <c r="C44" s="12">
        <f>IF('Data Jawaban &amp; Skor'!C21='Data Jawaban &amp; Skor'!C$4,1,0)</f>
        <v/>
      </c>
      <c r="D44" s="12">
        <f>IF('Data Jawaban &amp; Skor'!D21='Data Jawaban &amp; Skor'!D$4,1,0)</f>
        <v/>
      </c>
      <c r="E44" s="12">
        <f>IF('Data Jawaban &amp; Skor'!E21='Data Jawaban &amp; Skor'!E$4,1,0)</f>
        <v/>
      </c>
      <c r="F44" s="12">
        <f>IF('Data Jawaban &amp; Skor'!F21='Data Jawaban &amp; Skor'!F$4,1,0)</f>
        <v/>
      </c>
      <c r="G44" s="12">
        <f>IF('Data Jawaban &amp; Skor'!G21='Data Jawaban &amp; Skor'!G$4,1,0)</f>
        <v/>
      </c>
      <c r="H44" s="12">
        <f>IF('Data Jawaban &amp; Skor'!H21='Data Jawaban &amp; Skor'!H$4,1,0)</f>
        <v/>
      </c>
      <c r="I44" s="12">
        <f>IF('Data Jawaban &amp; Skor'!I21='Data Jawaban &amp; Skor'!I$4,1,0)</f>
        <v/>
      </c>
      <c r="J44" s="12">
        <f>IF('Data Jawaban &amp; Skor'!J21='Data Jawaban &amp; Skor'!J$4,1,0)</f>
        <v/>
      </c>
      <c r="K44" s="12">
        <f>IF('Data Jawaban &amp; Skor'!K21='Data Jawaban &amp; Skor'!K$4,1,0)</f>
        <v/>
      </c>
      <c r="L44" s="12">
        <f>IF('Data Jawaban &amp; Skor'!L21='Data Jawaban &amp; Skor'!L$4,1,0)</f>
        <v/>
      </c>
      <c r="M44" s="12">
        <f>IF('Data Jawaban &amp; Skor'!M21='Data Jawaban &amp; Skor'!M$4,1,0)</f>
        <v/>
      </c>
      <c r="N44" s="12">
        <f>IF('Data Jawaban &amp; Skor'!N21='Data Jawaban &amp; Skor'!N$4,1,0)</f>
        <v/>
      </c>
      <c r="O44" s="12">
        <f>IF('Data Jawaban &amp; Skor'!O21='Data Jawaban &amp; Skor'!O$4,1,0)</f>
        <v/>
      </c>
      <c r="P44" s="12">
        <f>IF('Data Jawaban &amp; Skor'!P21='Data Jawaban &amp; Skor'!P$4,1,0)</f>
        <v/>
      </c>
      <c r="Q44" s="12">
        <f>IF('Data Jawaban &amp; Skor'!Q21='Data Jawaban &amp; Skor'!Q$4,1,0)</f>
        <v/>
      </c>
      <c r="R44" s="12">
        <f>IF('Data Jawaban &amp; Skor'!R21='Data Jawaban &amp; Skor'!R$4,1,0)</f>
        <v/>
      </c>
      <c r="S44" s="12">
        <f>IF('Data Jawaban &amp; Skor'!S21='Data Jawaban &amp; Skor'!S$4,1,0)</f>
        <v/>
      </c>
      <c r="T44" s="12">
        <f>IF('Data Jawaban &amp; Skor'!T21='Data Jawaban &amp; Skor'!T$4,1,0)</f>
        <v/>
      </c>
      <c r="U44" s="12">
        <f>IF('Data Jawaban &amp; Skor'!U21='Data Jawaban &amp; Skor'!U$4,1,0)</f>
        <v/>
      </c>
      <c r="V44" s="12">
        <f>IF('Data Jawaban &amp; Skor'!V21='Data Jawaban &amp; Skor'!V$4,1,0)</f>
        <v/>
      </c>
      <c r="W44" s="8">
        <f>SUM(C44:V44)</f>
        <v/>
      </c>
      <c r="X44" s="6">
        <f>RANK(W44, W$27:W$46, 0) + COUNTIF(W$27:W44, W44) - 1</f>
        <v/>
      </c>
    </row>
    <row r="45">
      <c r="A45" s="12" t="n">
        <v>17</v>
      </c>
      <c r="B45" s="13" t="inlineStr">
        <is>
          <t>Siswa 17</t>
        </is>
      </c>
      <c r="C45" s="12">
        <f>IF('Data Jawaban &amp; Skor'!C22='Data Jawaban &amp; Skor'!C$4,1,0)</f>
        <v/>
      </c>
      <c r="D45" s="12">
        <f>IF('Data Jawaban &amp; Skor'!D22='Data Jawaban &amp; Skor'!D$4,1,0)</f>
        <v/>
      </c>
      <c r="E45" s="12">
        <f>IF('Data Jawaban &amp; Skor'!E22='Data Jawaban &amp; Skor'!E$4,1,0)</f>
        <v/>
      </c>
      <c r="F45" s="12">
        <f>IF('Data Jawaban &amp; Skor'!F22='Data Jawaban &amp; Skor'!F$4,1,0)</f>
        <v/>
      </c>
      <c r="G45" s="12">
        <f>IF('Data Jawaban &amp; Skor'!G22='Data Jawaban &amp; Skor'!G$4,1,0)</f>
        <v/>
      </c>
      <c r="H45" s="12">
        <f>IF('Data Jawaban &amp; Skor'!H22='Data Jawaban &amp; Skor'!H$4,1,0)</f>
        <v/>
      </c>
      <c r="I45" s="12">
        <f>IF('Data Jawaban &amp; Skor'!I22='Data Jawaban &amp; Skor'!I$4,1,0)</f>
        <v/>
      </c>
      <c r="J45" s="12">
        <f>IF('Data Jawaban &amp; Skor'!J22='Data Jawaban &amp; Skor'!J$4,1,0)</f>
        <v/>
      </c>
      <c r="K45" s="12">
        <f>IF('Data Jawaban &amp; Skor'!K22='Data Jawaban &amp; Skor'!K$4,1,0)</f>
        <v/>
      </c>
      <c r="L45" s="12">
        <f>IF('Data Jawaban &amp; Skor'!L22='Data Jawaban &amp; Skor'!L$4,1,0)</f>
        <v/>
      </c>
      <c r="M45" s="12">
        <f>IF('Data Jawaban &amp; Skor'!M22='Data Jawaban &amp; Skor'!M$4,1,0)</f>
        <v/>
      </c>
      <c r="N45" s="12">
        <f>IF('Data Jawaban &amp; Skor'!N22='Data Jawaban &amp; Skor'!N$4,1,0)</f>
        <v/>
      </c>
      <c r="O45" s="12">
        <f>IF('Data Jawaban &amp; Skor'!O22='Data Jawaban &amp; Skor'!O$4,1,0)</f>
        <v/>
      </c>
      <c r="P45" s="12">
        <f>IF('Data Jawaban &amp; Skor'!P22='Data Jawaban &amp; Skor'!P$4,1,0)</f>
        <v/>
      </c>
      <c r="Q45" s="12">
        <f>IF('Data Jawaban &amp; Skor'!Q22='Data Jawaban &amp; Skor'!Q$4,1,0)</f>
        <v/>
      </c>
      <c r="R45" s="12">
        <f>IF('Data Jawaban &amp; Skor'!R22='Data Jawaban &amp; Skor'!R$4,1,0)</f>
        <v/>
      </c>
      <c r="S45" s="12">
        <f>IF('Data Jawaban &amp; Skor'!S22='Data Jawaban &amp; Skor'!S$4,1,0)</f>
        <v/>
      </c>
      <c r="T45" s="12">
        <f>IF('Data Jawaban &amp; Skor'!T22='Data Jawaban &amp; Skor'!T$4,1,0)</f>
        <v/>
      </c>
      <c r="U45" s="12">
        <f>IF('Data Jawaban &amp; Skor'!U22='Data Jawaban &amp; Skor'!U$4,1,0)</f>
        <v/>
      </c>
      <c r="V45" s="12">
        <f>IF('Data Jawaban &amp; Skor'!V22='Data Jawaban &amp; Skor'!V$4,1,0)</f>
        <v/>
      </c>
      <c r="W45" s="8">
        <f>SUM(C45:V45)</f>
        <v/>
      </c>
      <c r="X45" s="6">
        <f>RANK(W45, W$27:W$46, 0) + COUNTIF(W$27:W45, W45) - 1</f>
        <v/>
      </c>
    </row>
    <row r="46">
      <c r="A46" s="12" t="n">
        <v>18</v>
      </c>
      <c r="B46" s="13" t="inlineStr">
        <is>
          <t>Siswa 18</t>
        </is>
      </c>
      <c r="C46" s="12">
        <f>IF('Data Jawaban &amp; Skor'!C23='Data Jawaban &amp; Skor'!C$4,1,0)</f>
        <v/>
      </c>
      <c r="D46" s="12">
        <f>IF('Data Jawaban &amp; Skor'!D23='Data Jawaban &amp; Skor'!D$4,1,0)</f>
        <v/>
      </c>
      <c r="E46" s="12">
        <f>IF('Data Jawaban &amp; Skor'!E23='Data Jawaban &amp; Skor'!E$4,1,0)</f>
        <v/>
      </c>
      <c r="F46" s="12">
        <f>IF('Data Jawaban &amp; Skor'!F23='Data Jawaban &amp; Skor'!F$4,1,0)</f>
        <v/>
      </c>
      <c r="G46" s="12">
        <f>IF('Data Jawaban &amp; Skor'!G23='Data Jawaban &amp; Skor'!G$4,1,0)</f>
        <v/>
      </c>
      <c r="H46" s="12">
        <f>IF('Data Jawaban &amp; Skor'!H23='Data Jawaban &amp; Skor'!H$4,1,0)</f>
        <v/>
      </c>
      <c r="I46" s="12">
        <f>IF('Data Jawaban &amp; Skor'!I23='Data Jawaban &amp; Skor'!I$4,1,0)</f>
        <v/>
      </c>
      <c r="J46" s="12">
        <f>IF('Data Jawaban &amp; Skor'!J23='Data Jawaban &amp; Skor'!J$4,1,0)</f>
        <v/>
      </c>
      <c r="K46" s="12">
        <f>IF('Data Jawaban &amp; Skor'!K23='Data Jawaban &amp; Skor'!K$4,1,0)</f>
        <v/>
      </c>
      <c r="L46" s="12">
        <f>IF('Data Jawaban &amp; Skor'!L23='Data Jawaban &amp; Skor'!L$4,1,0)</f>
        <v/>
      </c>
      <c r="M46" s="12">
        <f>IF('Data Jawaban &amp; Skor'!M23='Data Jawaban &amp; Skor'!M$4,1,0)</f>
        <v/>
      </c>
      <c r="N46" s="12">
        <f>IF('Data Jawaban &amp; Skor'!N23='Data Jawaban &amp; Skor'!N$4,1,0)</f>
        <v/>
      </c>
      <c r="O46" s="12">
        <f>IF('Data Jawaban &amp; Skor'!O23='Data Jawaban &amp; Skor'!O$4,1,0)</f>
        <v/>
      </c>
      <c r="P46" s="12">
        <f>IF('Data Jawaban &amp; Skor'!P23='Data Jawaban &amp; Skor'!P$4,1,0)</f>
        <v/>
      </c>
      <c r="Q46" s="12">
        <f>IF('Data Jawaban &amp; Skor'!Q23='Data Jawaban &amp; Skor'!Q$4,1,0)</f>
        <v/>
      </c>
      <c r="R46" s="12">
        <f>IF('Data Jawaban &amp; Skor'!R23='Data Jawaban &amp; Skor'!R$4,1,0)</f>
        <v/>
      </c>
      <c r="S46" s="12">
        <f>IF('Data Jawaban &amp; Skor'!S23='Data Jawaban &amp; Skor'!S$4,1,0)</f>
        <v/>
      </c>
      <c r="T46" s="12">
        <f>IF('Data Jawaban &amp; Skor'!T23='Data Jawaban &amp; Skor'!T$4,1,0)</f>
        <v/>
      </c>
      <c r="U46" s="12">
        <f>IF('Data Jawaban &amp; Skor'!U23='Data Jawaban &amp; Skor'!U$4,1,0)</f>
        <v/>
      </c>
      <c r="V46" s="12">
        <f>IF('Data Jawaban &amp; Skor'!V23='Data Jawaban &amp; Skor'!V$4,1,0)</f>
        <v/>
      </c>
      <c r="W46" s="8">
        <f>SUM(C46:V46)</f>
        <v/>
      </c>
      <c r="X46" s="6">
        <f>RANK(W46, W$27:W$46, 0) + COUNTIF(W$27:W46, W46) - 1</f>
        <v/>
      </c>
    </row>
    <row r="47">
      <c r="A47" s="12" t="n">
        <v>19</v>
      </c>
      <c r="B47" s="13" t="inlineStr">
        <is>
          <t>Siswa 19</t>
        </is>
      </c>
      <c r="C47" s="12">
        <f>IF('Data Jawaban &amp; Skor'!C24='Data Jawaban &amp; Skor'!C$4,1,0)</f>
        <v/>
      </c>
      <c r="D47" s="12">
        <f>IF('Data Jawaban &amp; Skor'!D24='Data Jawaban &amp; Skor'!D$4,1,0)</f>
        <v/>
      </c>
      <c r="E47" s="12">
        <f>IF('Data Jawaban &amp; Skor'!E24='Data Jawaban &amp; Skor'!E$4,1,0)</f>
        <v/>
      </c>
      <c r="F47" s="12">
        <f>IF('Data Jawaban &amp; Skor'!F24='Data Jawaban &amp; Skor'!F$4,1,0)</f>
        <v/>
      </c>
      <c r="G47" s="12">
        <f>IF('Data Jawaban &amp; Skor'!G24='Data Jawaban &amp; Skor'!G$4,1,0)</f>
        <v/>
      </c>
      <c r="H47" s="12">
        <f>IF('Data Jawaban &amp; Skor'!H24='Data Jawaban &amp; Skor'!H$4,1,0)</f>
        <v/>
      </c>
      <c r="I47" s="12">
        <f>IF('Data Jawaban &amp; Skor'!I24='Data Jawaban &amp; Skor'!I$4,1,0)</f>
        <v/>
      </c>
      <c r="J47" s="12">
        <f>IF('Data Jawaban &amp; Skor'!J24='Data Jawaban &amp; Skor'!J$4,1,0)</f>
        <v/>
      </c>
      <c r="K47" s="12">
        <f>IF('Data Jawaban &amp; Skor'!K24='Data Jawaban &amp; Skor'!K$4,1,0)</f>
        <v/>
      </c>
      <c r="L47" s="12">
        <f>IF('Data Jawaban &amp; Skor'!L24='Data Jawaban &amp; Skor'!L$4,1,0)</f>
        <v/>
      </c>
      <c r="M47" s="12">
        <f>IF('Data Jawaban &amp; Skor'!M24='Data Jawaban &amp; Skor'!M$4,1,0)</f>
        <v/>
      </c>
      <c r="N47" s="12">
        <f>IF('Data Jawaban &amp; Skor'!N24='Data Jawaban &amp; Skor'!N$4,1,0)</f>
        <v/>
      </c>
      <c r="O47" s="12">
        <f>IF('Data Jawaban &amp; Skor'!O24='Data Jawaban &amp; Skor'!O$4,1,0)</f>
        <v/>
      </c>
      <c r="P47" s="12">
        <f>IF('Data Jawaban &amp; Skor'!P24='Data Jawaban &amp; Skor'!P$4,1,0)</f>
        <v/>
      </c>
      <c r="Q47" s="12">
        <f>IF('Data Jawaban &amp; Skor'!Q24='Data Jawaban &amp; Skor'!Q$4,1,0)</f>
        <v/>
      </c>
      <c r="R47" s="12">
        <f>IF('Data Jawaban &amp; Skor'!R24='Data Jawaban &amp; Skor'!R$4,1,0)</f>
        <v/>
      </c>
      <c r="S47" s="12">
        <f>IF('Data Jawaban &amp; Skor'!S24='Data Jawaban &amp; Skor'!S$4,1,0)</f>
        <v/>
      </c>
      <c r="T47" s="12">
        <f>IF('Data Jawaban &amp; Skor'!T24='Data Jawaban &amp; Skor'!T$4,1,0)</f>
        <v/>
      </c>
      <c r="U47" s="12">
        <f>IF('Data Jawaban &amp; Skor'!U24='Data Jawaban &amp; Skor'!U$4,1,0)</f>
        <v/>
      </c>
      <c r="V47" s="12">
        <f>IF('Data Jawaban &amp; Skor'!V24='Data Jawaban &amp; Skor'!V$4,1,0)</f>
        <v/>
      </c>
      <c r="W47" s="8">
        <f>SUM(C47:V47)</f>
        <v/>
      </c>
    </row>
    <row r="48">
      <c r="A48" s="12" t="n">
        <v>20</v>
      </c>
      <c r="B48" s="13" t="inlineStr">
        <is>
          <t>Siswa 20</t>
        </is>
      </c>
      <c r="C48" s="12">
        <f>IF('Data Jawaban &amp; Skor'!C25='Data Jawaban &amp; Skor'!C$4,1,0)</f>
        <v/>
      </c>
      <c r="D48" s="12">
        <f>IF('Data Jawaban &amp; Skor'!D25='Data Jawaban &amp; Skor'!D$4,1,0)</f>
        <v/>
      </c>
      <c r="E48" s="12">
        <f>IF('Data Jawaban &amp; Skor'!E25='Data Jawaban &amp; Skor'!E$4,1,0)</f>
        <v/>
      </c>
      <c r="F48" s="12">
        <f>IF('Data Jawaban &amp; Skor'!F25='Data Jawaban &amp; Skor'!F$4,1,0)</f>
        <v/>
      </c>
      <c r="G48" s="12">
        <f>IF('Data Jawaban &amp; Skor'!G25='Data Jawaban &amp; Skor'!G$4,1,0)</f>
        <v/>
      </c>
      <c r="H48" s="12">
        <f>IF('Data Jawaban &amp; Skor'!H25='Data Jawaban &amp; Skor'!H$4,1,0)</f>
        <v/>
      </c>
      <c r="I48" s="12">
        <f>IF('Data Jawaban &amp; Skor'!I25='Data Jawaban &amp; Skor'!I$4,1,0)</f>
        <v/>
      </c>
      <c r="J48" s="12">
        <f>IF('Data Jawaban &amp; Skor'!J25='Data Jawaban &amp; Skor'!J$4,1,0)</f>
        <v/>
      </c>
      <c r="K48" s="12">
        <f>IF('Data Jawaban &amp; Skor'!K25='Data Jawaban &amp; Skor'!K$4,1,0)</f>
        <v/>
      </c>
      <c r="L48" s="12">
        <f>IF('Data Jawaban &amp; Skor'!L25='Data Jawaban &amp; Skor'!L$4,1,0)</f>
        <v/>
      </c>
      <c r="M48" s="12">
        <f>IF('Data Jawaban &amp; Skor'!M25='Data Jawaban &amp; Skor'!M$4,1,0)</f>
        <v/>
      </c>
      <c r="N48" s="12">
        <f>IF('Data Jawaban &amp; Skor'!N25='Data Jawaban &amp; Skor'!N$4,1,0)</f>
        <v/>
      </c>
      <c r="O48" s="12">
        <f>IF('Data Jawaban &amp; Skor'!O25='Data Jawaban &amp; Skor'!O$4,1,0)</f>
        <v/>
      </c>
      <c r="P48" s="12">
        <f>IF('Data Jawaban &amp; Skor'!P25='Data Jawaban &amp; Skor'!P$4,1,0)</f>
        <v/>
      </c>
      <c r="Q48" s="12">
        <f>IF('Data Jawaban &amp; Skor'!Q25='Data Jawaban &amp; Skor'!Q$4,1,0)</f>
        <v/>
      </c>
      <c r="R48" s="12">
        <f>IF('Data Jawaban &amp; Skor'!R25='Data Jawaban &amp; Skor'!R$4,1,0)</f>
        <v/>
      </c>
      <c r="S48" s="12">
        <f>IF('Data Jawaban &amp; Skor'!S25='Data Jawaban &amp; Skor'!S$4,1,0)</f>
        <v/>
      </c>
      <c r="T48" s="12">
        <f>IF('Data Jawaban &amp; Skor'!T25='Data Jawaban &amp; Skor'!T$4,1,0)</f>
        <v/>
      </c>
      <c r="U48" s="12">
        <f>IF('Data Jawaban &amp; Skor'!U25='Data Jawaban &amp; Skor'!U$4,1,0)</f>
        <v/>
      </c>
      <c r="V48" s="12">
        <f>IF('Data Jawaban &amp; Skor'!V25='Data Jawaban &amp; Skor'!V$4,1,0)</f>
        <v/>
      </c>
      <c r="W48" s="8">
        <f>SUM(C48:V48)</f>
        <v/>
      </c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40" customWidth="1" min="2" max="2"/>
    <col width="24" customWidth="1" min="3" max="3"/>
    <col width="57" customWidth="1" min="4" max="4"/>
    <col width="77" customWidth="1" min="5" max="5"/>
    <col width="15" customWidth="1" min="6" max="6"/>
    <col width="10" customWidth="1" min="7" max="7"/>
    <col width="39" customWidth="1" min="8" max="8"/>
    <col width="83" customWidth="1" min="9" max="9"/>
    <col width="84" customWidth="1" min="10" max="10"/>
    <col width="19" customWidth="1" min="11" max="11"/>
    <col width="82" customWidth="1" min="12" max="12"/>
  </cols>
  <sheetData>
    <row r="1">
      <c r="A1" s="1" t="inlineStr">
        <is>
          <t>HASIL ANALISIS VALIDITAS, DAYA PEMBEDA, DAN TINGKAT KESUKARAN</t>
        </is>
      </c>
    </row>
    <row r="2">
      <c r="A2" s="2" t="inlineStr">
        <is>
          <t>Analisis Berdasarkan Data Evaluasi 20 Peserta Didik</t>
        </is>
      </c>
    </row>
    <row r="3"/>
    <row r="4">
      <c r="A4" s="5" t="inlineStr">
        <is>
          <t>NOMOR SOAL</t>
        </is>
      </c>
      <c r="B4" s="5" t="inlineStr">
        <is>
          <t>JML BENAR</t>
        </is>
      </c>
      <c r="C4" s="5" t="inlineStr">
        <is>
          <t>TINGKAT KESUKARAN (P)</t>
        </is>
      </c>
      <c r="D4" s="5" t="inlineStr">
        <is>
          <t>KATEGORI KESUKARAN</t>
        </is>
      </c>
      <c r="E4" s="5" t="inlineStr">
        <is>
          <t>KORELASI (R-HITUNG)</t>
        </is>
      </c>
      <c r="F4" s="5" t="inlineStr">
        <is>
          <t>R-TABEL (5%)</t>
        </is>
      </c>
      <c r="G4" s="5" t="inlineStr">
        <is>
          <t>N</t>
        </is>
      </c>
      <c r="H4" s="5" t="inlineStr">
        <is>
          <t>STATUS VALIDITAS</t>
        </is>
      </c>
      <c r="I4" s="5" t="inlineStr">
        <is>
          <t>BENAR ATAS (JA)</t>
        </is>
      </c>
      <c r="J4" s="5" t="inlineStr">
        <is>
          <t>BENAR BAWAH (JB)</t>
        </is>
      </c>
      <c r="K4" s="5" t="inlineStr">
        <is>
          <t>DAYA PEMBEDA (D)</t>
        </is>
      </c>
      <c r="L4" s="5" t="inlineStr">
        <is>
          <t>KATEGORI DAYA PEMBEDA</t>
        </is>
      </c>
    </row>
    <row r="5">
      <c r="A5" s="6" t="inlineStr">
        <is>
          <t>Soal 1</t>
        </is>
      </c>
      <c r="B5" s="6">
        <f>SUM('Data Jawaban &amp; Skor'!C$27:C$46)</f>
        <v/>
      </c>
      <c r="C5" s="14">
        <f>B5/20</f>
        <v/>
      </c>
      <c r="D5" s="6">
        <f>IF(C5&lt;0.3, "Sukar", IF(C5&lt;=0.7, "Sedang", "Mudah"))</f>
        <v/>
      </c>
      <c r="E5" s="14">
        <f>PEARSON('Data Jawaban &amp; Skor'!C$27:C$46, 'Data Jawaban &amp; Skor'!W$27:W$46)</f>
        <v/>
      </c>
      <c r="F5" s="15" t="n">
        <v>0.444</v>
      </c>
      <c r="G5" s="6" t="n">
        <v>20</v>
      </c>
      <c r="H5" s="6">
        <f>IF(E5&gt;F5, "Valid", "Tidak Valid")</f>
        <v/>
      </c>
      <c r="I5" s="6">
        <f>SUMIFS('Data Jawaban &amp; Skor'!C$27:C$46, 'Data Jawaban &amp; Skor'!X$27:X$46, "&lt;=6")</f>
        <v/>
      </c>
      <c r="J5" s="6">
        <f>SUMIFS('Data Jawaban &amp; Skor'!C$27:C$46, 'Data Jawaban &amp; Skor'!X$27:X$46, "&gt;=15")</f>
        <v/>
      </c>
      <c r="K5" s="14">
        <f>(I5-J5)/6</f>
        <v/>
      </c>
      <c r="L5" s="6">
        <f>IF(K5&lt;0.2, "Jelek", IF(K5&lt;0.4, "Cukup", IF(K5&lt;0.7, "Baik", "Sangat Baik")))</f>
        <v/>
      </c>
    </row>
    <row r="6">
      <c r="A6" s="6" t="inlineStr">
        <is>
          <t>Soal 2</t>
        </is>
      </c>
      <c r="B6" s="6">
        <f>SUM('Data Jawaban &amp; Skor'!D$27:D$46)</f>
        <v/>
      </c>
      <c r="C6" s="14">
        <f>B6/20</f>
        <v/>
      </c>
      <c r="D6" s="6">
        <f>IF(C6&lt;0.3, "Sukar", IF(C6&lt;=0.7, "Sedang", "Mudah"))</f>
        <v/>
      </c>
      <c r="E6" s="14">
        <f>PEARSON('Data Jawaban &amp; Skor'!D$27:D$46, 'Data Jawaban &amp; Skor'!W$27:W$46)</f>
        <v/>
      </c>
      <c r="F6" s="15" t="n">
        <v>0.444</v>
      </c>
      <c r="G6" s="6" t="n">
        <v>20</v>
      </c>
      <c r="H6" s="6">
        <f>IF(E6&gt;F6, "Valid", "Tidak Valid")</f>
        <v/>
      </c>
      <c r="I6" s="6">
        <f>SUMIFS('Data Jawaban &amp; Skor'!D$27:D$46, 'Data Jawaban &amp; Skor'!X$27:X$46, "&lt;=6")</f>
        <v/>
      </c>
      <c r="J6" s="6">
        <f>SUMIFS('Data Jawaban &amp; Skor'!D$27:D$46, 'Data Jawaban &amp; Skor'!X$27:X$46, "&gt;=15")</f>
        <v/>
      </c>
      <c r="K6" s="14">
        <f>(I6-J6)/6</f>
        <v/>
      </c>
      <c r="L6" s="6">
        <f>IF(K6&lt;0.2, "Jelek", IF(K6&lt;0.4, "Cukup", IF(K6&lt;0.7, "Baik", "Sangat Baik")))</f>
        <v/>
      </c>
    </row>
    <row r="7">
      <c r="A7" s="6" t="inlineStr">
        <is>
          <t>Soal 3</t>
        </is>
      </c>
      <c r="B7" s="6">
        <f>SUM('Data Jawaban &amp; Skor'!E$27:E$46)</f>
        <v/>
      </c>
      <c r="C7" s="14">
        <f>B7/20</f>
        <v/>
      </c>
      <c r="D7" s="6">
        <f>IF(C7&lt;0.3, "Sukar", IF(C7&lt;=0.7, "Sedang", "Mudah"))</f>
        <v/>
      </c>
      <c r="E7" s="14">
        <f>PEARSON('Data Jawaban &amp; Skor'!E$27:E$46, 'Data Jawaban &amp; Skor'!W$27:W$46)</f>
        <v/>
      </c>
      <c r="F7" s="15" t="n">
        <v>0.444</v>
      </c>
      <c r="G7" s="6" t="n">
        <v>20</v>
      </c>
      <c r="H7" s="6">
        <f>IF(E7&gt;F7, "Valid", "Tidak Valid")</f>
        <v/>
      </c>
      <c r="I7" s="6">
        <f>SUMIFS('Data Jawaban &amp; Skor'!E$27:E$46, 'Data Jawaban &amp; Skor'!X$27:X$46, "&lt;=6")</f>
        <v/>
      </c>
      <c r="J7" s="6">
        <f>SUMIFS('Data Jawaban &amp; Skor'!E$27:E$46, 'Data Jawaban &amp; Skor'!X$27:X$46, "&gt;=15")</f>
        <v/>
      </c>
      <c r="K7" s="14">
        <f>(I7-J7)/6</f>
        <v/>
      </c>
      <c r="L7" s="6">
        <f>IF(K7&lt;0.2, "Jelek", IF(K7&lt;0.4, "Cukup", IF(K7&lt;0.7, "Baik", "Sangat Baik")))</f>
        <v/>
      </c>
    </row>
    <row r="8">
      <c r="A8" s="6" t="inlineStr">
        <is>
          <t>Soal 4</t>
        </is>
      </c>
      <c r="B8" s="6">
        <f>SUM('Data Jawaban &amp; Skor'!F$27:F$46)</f>
        <v/>
      </c>
      <c r="C8" s="14">
        <f>B8/20</f>
        <v/>
      </c>
      <c r="D8" s="6">
        <f>IF(C8&lt;0.3, "Sukar", IF(C8&lt;=0.7, "Sedang", "Mudah"))</f>
        <v/>
      </c>
      <c r="E8" s="14">
        <f>PEARSON('Data Jawaban &amp; Skor'!F$27:F$46, 'Data Jawaban &amp; Skor'!W$27:W$46)</f>
        <v/>
      </c>
      <c r="F8" s="15" t="n">
        <v>0.444</v>
      </c>
      <c r="G8" s="6" t="n">
        <v>20</v>
      </c>
      <c r="H8" s="6">
        <f>IF(E8&gt;F8, "Valid", "Tidak Valid")</f>
        <v/>
      </c>
      <c r="I8" s="6">
        <f>SUMIFS('Data Jawaban &amp; Skor'!F$27:F$46, 'Data Jawaban &amp; Skor'!X$27:X$46, "&lt;=6")</f>
        <v/>
      </c>
      <c r="J8" s="6">
        <f>SUMIFS('Data Jawaban &amp; Skor'!F$27:F$46, 'Data Jawaban &amp; Skor'!X$27:X$46, "&gt;=15")</f>
        <v/>
      </c>
      <c r="K8" s="14">
        <f>(I8-J8)/6</f>
        <v/>
      </c>
      <c r="L8" s="6">
        <f>IF(K8&lt;0.2, "Jelek", IF(K8&lt;0.4, "Cukup", IF(K8&lt;0.7, "Baik", "Sangat Baik")))</f>
        <v/>
      </c>
    </row>
    <row r="9">
      <c r="A9" s="6" t="inlineStr">
        <is>
          <t>Soal 5</t>
        </is>
      </c>
      <c r="B9" s="6">
        <f>SUM('Data Jawaban &amp; Skor'!G$27:G$46)</f>
        <v/>
      </c>
      <c r="C9" s="14">
        <f>B9/20</f>
        <v/>
      </c>
      <c r="D9" s="6">
        <f>IF(C9&lt;0.3, "Sukar", IF(C9&lt;=0.7, "Sedang", "Mudah"))</f>
        <v/>
      </c>
      <c r="E9" s="14">
        <f>PEARSON('Data Jawaban &amp; Skor'!G$27:G$46, 'Data Jawaban &amp; Skor'!W$27:W$46)</f>
        <v/>
      </c>
      <c r="F9" s="15" t="n">
        <v>0.444</v>
      </c>
      <c r="G9" s="6" t="n">
        <v>20</v>
      </c>
      <c r="H9" s="6">
        <f>IF(E9&gt;F9, "Valid", "Tidak Valid")</f>
        <v/>
      </c>
      <c r="I9" s="6">
        <f>SUMIFS('Data Jawaban &amp; Skor'!G$27:G$46, 'Data Jawaban &amp; Skor'!X$27:X$46, "&lt;=6")</f>
        <v/>
      </c>
      <c r="J9" s="6">
        <f>SUMIFS('Data Jawaban &amp; Skor'!G$27:G$46, 'Data Jawaban &amp; Skor'!X$27:X$46, "&gt;=15")</f>
        <v/>
      </c>
      <c r="K9" s="14">
        <f>(I9-J9)/6</f>
        <v/>
      </c>
      <c r="L9" s="6">
        <f>IF(K9&lt;0.2, "Jelek", IF(K9&lt;0.4, "Cukup", IF(K9&lt;0.7, "Baik", "Sangat Baik")))</f>
        <v/>
      </c>
    </row>
    <row r="10">
      <c r="A10" s="6" t="inlineStr">
        <is>
          <t>Soal 6</t>
        </is>
      </c>
      <c r="B10" s="6">
        <f>SUM('Data Jawaban &amp; Skor'!H$27:H$46)</f>
        <v/>
      </c>
      <c r="C10" s="14">
        <f>B10/20</f>
        <v/>
      </c>
      <c r="D10" s="6">
        <f>IF(C10&lt;0.3, "Sukar", IF(C10&lt;=0.7, "Sedang", "Mudah"))</f>
        <v/>
      </c>
      <c r="E10" s="14">
        <f>PEARSON('Data Jawaban &amp; Skor'!H$27:H$46, 'Data Jawaban &amp; Skor'!W$27:W$46)</f>
        <v/>
      </c>
      <c r="F10" s="15" t="n">
        <v>0.444</v>
      </c>
      <c r="G10" s="6" t="n">
        <v>20</v>
      </c>
      <c r="H10" s="6">
        <f>IF(E10&gt;F10, "Valid", "Tidak Valid")</f>
        <v/>
      </c>
      <c r="I10" s="6">
        <f>SUMIFS('Data Jawaban &amp; Skor'!H$27:H$46, 'Data Jawaban &amp; Skor'!X$27:X$46, "&lt;=6")</f>
        <v/>
      </c>
      <c r="J10" s="6">
        <f>SUMIFS('Data Jawaban &amp; Skor'!H$27:H$46, 'Data Jawaban &amp; Skor'!X$27:X$46, "&gt;=15")</f>
        <v/>
      </c>
      <c r="K10" s="14">
        <f>(I10-J10)/6</f>
        <v/>
      </c>
      <c r="L10" s="6">
        <f>IF(K10&lt;0.2, "Jelek", IF(K10&lt;0.4, "Cukup", IF(K10&lt;0.7, "Baik", "Sangat Baik")))</f>
        <v/>
      </c>
    </row>
    <row r="11">
      <c r="A11" s="6" t="inlineStr">
        <is>
          <t>Soal 7</t>
        </is>
      </c>
      <c r="B11" s="6">
        <f>SUM('Data Jawaban &amp; Skor'!I$27:I$46)</f>
        <v/>
      </c>
      <c r="C11" s="14">
        <f>B11/20</f>
        <v/>
      </c>
      <c r="D11" s="6">
        <f>IF(C11&lt;0.3, "Sukar", IF(C11&lt;=0.7, "Sedang", "Mudah"))</f>
        <v/>
      </c>
      <c r="E11" s="14">
        <f>PEARSON('Data Jawaban &amp; Skor'!I$27:I$46, 'Data Jawaban &amp; Skor'!W$27:W$46)</f>
        <v/>
      </c>
      <c r="F11" s="15" t="n">
        <v>0.444</v>
      </c>
      <c r="G11" s="6" t="n">
        <v>20</v>
      </c>
      <c r="H11" s="6">
        <f>IF(E11&gt;F11, "Valid", "Tidak Valid")</f>
        <v/>
      </c>
      <c r="I11" s="6">
        <f>SUMIFS('Data Jawaban &amp; Skor'!I$27:I$46, 'Data Jawaban &amp; Skor'!X$27:X$46, "&lt;=6")</f>
        <v/>
      </c>
      <c r="J11" s="6">
        <f>SUMIFS('Data Jawaban &amp; Skor'!I$27:I$46, 'Data Jawaban &amp; Skor'!X$27:X$46, "&gt;=15")</f>
        <v/>
      </c>
      <c r="K11" s="14">
        <f>(I11-J11)/6</f>
        <v/>
      </c>
      <c r="L11" s="6">
        <f>IF(K11&lt;0.2, "Jelek", IF(K11&lt;0.4, "Cukup", IF(K11&lt;0.7, "Baik", "Sangat Baik")))</f>
        <v/>
      </c>
    </row>
    <row r="12">
      <c r="A12" s="6" t="inlineStr">
        <is>
          <t>Soal 8</t>
        </is>
      </c>
      <c r="B12" s="6">
        <f>SUM('Data Jawaban &amp; Skor'!J$27:J$46)</f>
        <v/>
      </c>
      <c r="C12" s="14">
        <f>B12/20</f>
        <v/>
      </c>
      <c r="D12" s="6">
        <f>IF(C12&lt;0.3, "Sukar", IF(C12&lt;=0.7, "Sedang", "Mudah"))</f>
        <v/>
      </c>
      <c r="E12" s="14">
        <f>PEARSON('Data Jawaban &amp; Skor'!J$27:J$46, 'Data Jawaban &amp; Skor'!W$27:W$46)</f>
        <v/>
      </c>
      <c r="F12" s="15" t="n">
        <v>0.444</v>
      </c>
      <c r="G12" s="6" t="n">
        <v>20</v>
      </c>
      <c r="H12" s="6">
        <f>IF(E12&gt;F12, "Valid", "Tidak Valid")</f>
        <v/>
      </c>
      <c r="I12" s="6">
        <f>SUMIFS('Data Jawaban &amp; Skor'!J$27:J$46, 'Data Jawaban &amp; Skor'!X$27:X$46, "&lt;=6")</f>
        <v/>
      </c>
      <c r="J12" s="6">
        <f>SUMIFS('Data Jawaban &amp; Skor'!J$27:J$46, 'Data Jawaban &amp; Skor'!X$27:X$46, "&gt;=15")</f>
        <v/>
      </c>
      <c r="K12" s="14">
        <f>(I12-J12)/6</f>
        <v/>
      </c>
      <c r="L12" s="6">
        <f>IF(K12&lt;0.2, "Jelek", IF(K12&lt;0.4, "Cukup", IF(K12&lt;0.7, "Baik", "Sangat Baik")))</f>
        <v/>
      </c>
    </row>
    <row r="13">
      <c r="A13" s="6" t="inlineStr">
        <is>
          <t>Soal 9</t>
        </is>
      </c>
      <c r="B13" s="6">
        <f>SUM('Data Jawaban &amp; Skor'!K$27:K$46)</f>
        <v/>
      </c>
      <c r="C13" s="14">
        <f>B13/20</f>
        <v/>
      </c>
      <c r="D13" s="6">
        <f>IF(C13&lt;0.3, "Sukar", IF(C13&lt;=0.7, "Sedang", "Mudah"))</f>
        <v/>
      </c>
      <c r="E13" s="14">
        <f>PEARSON('Data Jawaban &amp; Skor'!K$27:K$46, 'Data Jawaban &amp; Skor'!W$27:W$46)</f>
        <v/>
      </c>
      <c r="F13" s="15" t="n">
        <v>0.444</v>
      </c>
      <c r="G13" s="6" t="n">
        <v>20</v>
      </c>
      <c r="H13" s="6">
        <f>IF(E13&gt;F13, "Valid", "Tidak Valid")</f>
        <v/>
      </c>
      <c r="I13" s="6">
        <f>SUMIFS('Data Jawaban &amp; Skor'!K$27:K$46, 'Data Jawaban &amp; Skor'!X$27:X$46, "&lt;=6")</f>
        <v/>
      </c>
      <c r="J13" s="6">
        <f>SUMIFS('Data Jawaban &amp; Skor'!K$27:K$46, 'Data Jawaban &amp; Skor'!X$27:X$46, "&gt;=15")</f>
        <v/>
      </c>
      <c r="K13" s="14">
        <f>(I13-J13)/6</f>
        <v/>
      </c>
      <c r="L13" s="6">
        <f>IF(K13&lt;0.2, "Jelek", IF(K13&lt;0.4, "Cukup", IF(K13&lt;0.7, "Baik", "Sangat Baik")))</f>
        <v/>
      </c>
    </row>
    <row r="14">
      <c r="A14" s="6" t="inlineStr">
        <is>
          <t>Soal 10</t>
        </is>
      </c>
      <c r="B14" s="6">
        <f>SUM('Data Jawaban &amp; Skor'!L$27:L$46)</f>
        <v/>
      </c>
      <c r="C14" s="14">
        <f>B14/20</f>
        <v/>
      </c>
      <c r="D14" s="6">
        <f>IF(C14&lt;0.3, "Sukar", IF(C14&lt;=0.7, "Sedang", "Mudah"))</f>
        <v/>
      </c>
      <c r="E14" s="14">
        <f>PEARSON('Data Jawaban &amp; Skor'!L$27:L$46, 'Data Jawaban &amp; Skor'!W$27:W$46)</f>
        <v/>
      </c>
      <c r="F14" s="15" t="n">
        <v>0.444</v>
      </c>
      <c r="G14" s="6" t="n">
        <v>20</v>
      </c>
      <c r="H14" s="6">
        <f>IF(E14&gt;F14, "Valid", "Tidak Valid")</f>
        <v/>
      </c>
      <c r="I14" s="6">
        <f>SUMIFS('Data Jawaban &amp; Skor'!L$27:L$46, 'Data Jawaban &amp; Skor'!X$27:X$46, "&lt;=6")</f>
        <v/>
      </c>
      <c r="J14" s="6">
        <f>SUMIFS('Data Jawaban &amp; Skor'!L$27:L$46, 'Data Jawaban &amp; Skor'!X$27:X$46, "&gt;=15")</f>
        <v/>
      </c>
      <c r="K14" s="14">
        <f>(I14-J14)/6</f>
        <v/>
      </c>
      <c r="L14" s="6">
        <f>IF(K14&lt;0.2, "Jelek", IF(K14&lt;0.4, "Cukup", IF(K14&lt;0.7, "Baik", "Sangat Baik")))</f>
        <v/>
      </c>
    </row>
    <row r="15">
      <c r="A15" s="6" t="inlineStr">
        <is>
          <t>Soal 11</t>
        </is>
      </c>
      <c r="B15" s="6">
        <f>SUM('Data Jawaban &amp; Skor'!M$27:M$46)</f>
        <v/>
      </c>
      <c r="C15" s="14">
        <f>B15/20</f>
        <v/>
      </c>
      <c r="D15" s="6">
        <f>IF(C15&lt;0.3, "Sukar", IF(C15&lt;=0.7, "Sedang", "Mudah"))</f>
        <v/>
      </c>
      <c r="E15" s="14">
        <f>PEARSON('Data Jawaban &amp; Skor'!M$27:M$46, 'Data Jawaban &amp; Skor'!W$27:W$46)</f>
        <v/>
      </c>
      <c r="F15" s="15" t="n">
        <v>0.444</v>
      </c>
      <c r="G15" s="6" t="n">
        <v>20</v>
      </c>
      <c r="H15" s="6">
        <f>IF(E15&gt;F15, "Valid", "Tidak Valid")</f>
        <v/>
      </c>
      <c r="I15" s="6">
        <f>SUMIFS('Data Jawaban &amp; Skor'!M$27:M$46, 'Data Jawaban &amp; Skor'!X$27:X$46, "&lt;=6")</f>
        <v/>
      </c>
      <c r="J15" s="6">
        <f>SUMIFS('Data Jawaban &amp; Skor'!M$27:M$46, 'Data Jawaban &amp; Skor'!X$27:X$46, "&gt;=15")</f>
        <v/>
      </c>
      <c r="K15" s="14">
        <f>(I15-J15)/6</f>
        <v/>
      </c>
      <c r="L15" s="6">
        <f>IF(K15&lt;0.2, "Jelek", IF(K15&lt;0.4, "Cukup", IF(K15&lt;0.7, "Baik", "Sangat Baik")))</f>
        <v/>
      </c>
    </row>
    <row r="16">
      <c r="A16" s="6" t="inlineStr">
        <is>
          <t>Soal 12</t>
        </is>
      </c>
      <c r="B16" s="6">
        <f>SUM('Data Jawaban &amp; Skor'!N$27:N$46)</f>
        <v/>
      </c>
      <c r="C16" s="14">
        <f>B16/20</f>
        <v/>
      </c>
      <c r="D16" s="6">
        <f>IF(C16&lt;0.3, "Sukar", IF(C16&lt;=0.7, "Sedang", "Mudah"))</f>
        <v/>
      </c>
      <c r="E16" s="14">
        <f>PEARSON('Data Jawaban &amp; Skor'!N$27:N$46, 'Data Jawaban &amp; Skor'!W$27:W$46)</f>
        <v/>
      </c>
      <c r="F16" s="15" t="n">
        <v>0.444</v>
      </c>
      <c r="G16" s="6" t="n">
        <v>20</v>
      </c>
      <c r="H16" s="6">
        <f>IF(E16&gt;F16, "Valid", "Tidak Valid")</f>
        <v/>
      </c>
      <c r="I16" s="6">
        <f>SUMIFS('Data Jawaban &amp; Skor'!N$27:N$46, 'Data Jawaban &amp; Skor'!X$27:X$46, "&lt;=6")</f>
        <v/>
      </c>
      <c r="J16" s="6">
        <f>SUMIFS('Data Jawaban &amp; Skor'!N$27:N$46, 'Data Jawaban &amp; Skor'!X$27:X$46, "&gt;=15")</f>
        <v/>
      </c>
      <c r="K16" s="14">
        <f>(I16-J16)/6</f>
        <v/>
      </c>
      <c r="L16" s="6">
        <f>IF(K16&lt;0.2, "Jelek", IF(K16&lt;0.4, "Cukup", IF(K16&lt;0.7, "Baik", "Sangat Baik")))</f>
        <v/>
      </c>
    </row>
    <row r="17">
      <c r="A17" s="6" t="inlineStr">
        <is>
          <t>Soal 13</t>
        </is>
      </c>
      <c r="B17" s="6">
        <f>SUM('Data Jawaban &amp; Skor'!O$27:O$46)</f>
        <v/>
      </c>
      <c r="C17" s="14">
        <f>B17/20</f>
        <v/>
      </c>
      <c r="D17" s="6">
        <f>IF(C17&lt;0.3, "Sukar", IF(C17&lt;=0.7, "Sedang", "Mudah"))</f>
        <v/>
      </c>
      <c r="E17" s="14">
        <f>PEARSON('Data Jawaban &amp; Skor'!O$27:O$46, 'Data Jawaban &amp; Skor'!W$27:W$46)</f>
        <v/>
      </c>
      <c r="F17" s="15" t="n">
        <v>0.444</v>
      </c>
      <c r="G17" s="6" t="n">
        <v>20</v>
      </c>
      <c r="H17" s="6">
        <f>IF(E17&gt;F17, "Valid", "Tidak Valid")</f>
        <v/>
      </c>
      <c r="I17" s="6">
        <f>SUMIFS('Data Jawaban &amp; Skor'!O$27:O$46, 'Data Jawaban &amp; Skor'!X$27:X$46, "&lt;=6")</f>
        <v/>
      </c>
      <c r="J17" s="6">
        <f>SUMIFS('Data Jawaban &amp; Skor'!O$27:O$46, 'Data Jawaban &amp; Skor'!X$27:X$46, "&gt;=15")</f>
        <v/>
      </c>
      <c r="K17" s="14">
        <f>(I17-J17)/6</f>
        <v/>
      </c>
      <c r="L17" s="6">
        <f>IF(K17&lt;0.2, "Jelek", IF(K17&lt;0.4, "Cukup", IF(K17&lt;0.7, "Baik", "Sangat Baik")))</f>
        <v/>
      </c>
    </row>
    <row r="18">
      <c r="A18" s="6" t="inlineStr">
        <is>
          <t>Soal 14</t>
        </is>
      </c>
      <c r="B18" s="6">
        <f>SUM('Data Jawaban &amp; Skor'!P$27:P$46)</f>
        <v/>
      </c>
      <c r="C18" s="14">
        <f>B18/20</f>
        <v/>
      </c>
      <c r="D18" s="6">
        <f>IF(C18&lt;0.3, "Sukar", IF(C18&lt;=0.7, "Sedang", "Mudah"))</f>
        <v/>
      </c>
      <c r="E18" s="14">
        <f>PEARSON('Data Jawaban &amp; Skor'!P$27:P$46, 'Data Jawaban &amp; Skor'!W$27:W$46)</f>
        <v/>
      </c>
      <c r="F18" s="15" t="n">
        <v>0.444</v>
      </c>
      <c r="G18" s="6" t="n">
        <v>20</v>
      </c>
      <c r="H18" s="6">
        <f>IF(E18&gt;F18, "Valid", "Tidak Valid")</f>
        <v/>
      </c>
      <c r="I18" s="6">
        <f>SUMIFS('Data Jawaban &amp; Skor'!P$27:P$46, 'Data Jawaban &amp; Skor'!X$27:X$46, "&lt;=6")</f>
        <v/>
      </c>
      <c r="J18" s="6">
        <f>SUMIFS('Data Jawaban &amp; Skor'!P$27:P$46, 'Data Jawaban &amp; Skor'!X$27:X$46, "&gt;=15")</f>
        <v/>
      </c>
      <c r="K18" s="14">
        <f>(I18-J18)/6</f>
        <v/>
      </c>
      <c r="L18" s="6">
        <f>IF(K18&lt;0.2, "Jelek", IF(K18&lt;0.4, "Cukup", IF(K18&lt;0.7, "Baik", "Sangat Baik")))</f>
        <v/>
      </c>
    </row>
    <row r="19">
      <c r="A19" s="6" t="inlineStr">
        <is>
          <t>Soal 15</t>
        </is>
      </c>
      <c r="B19" s="6">
        <f>SUM('Data Jawaban &amp; Skor'!Q$27:Q$46)</f>
        <v/>
      </c>
      <c r="C19" s="14">
        <f>B19/20</f>
        <v/>
      </c>
      <c r="D19" s="6">
        <f>IF(C19&lt;0.3, "Sukar", IF(C19&lt;=0.7, "Sedang", "Mudah"))</f>
        <v/>
      </c>
      <c r="E19" s="14">
        <f>PEARSON('Data Jawaban &amp; Skor'!Q$27:Q$46, 'Data Jawaban &amp; Skor'!W$27:W$46)</f>
        <v/>
      </c>
      <c r="F19" s="15" t="n">
        <v>0.444</v>
      </c>
      <c r="G19" s="6" t="n">
        <v>20</v>
      </c>
      <c r="H19" s="6">
        <f>IF(E19&gt;F19, "Valid", "Tidak Valid")</f>
        <v/>
      </c>
      <c r="I19" s="6">
        <f>SUMIFS('Data Jawaban &amp; Skor'!Q$27:Q$46, 'Data Jawaban &amp; Skor'!X$27:X$46, "&lt;=6")</f>
        <v/>
      </c>
      <c r="J19" s="6">
        <f>SUMIFS('Data Jawaban &amp; Skor'!Q$27:Q$46, 'Data Jawaban &amp; Skor'!X$27:X$46, "&gt;=15")</f>
        <v/>
      </c>
      <c r="K19" s="14">
        <f>(I19-J19)/6</f>
        <v/>
      </c>
      <c r="L19" s="6">
        <f>IF(K19&lt;0.2, "Jelek", IF(K19&lt;0.4, "Cukup", IF(K19&lt;0.7, "Baik", "Sangat Baik")))</f>
        <v/>
      </c>
    </row>
    <row r="20">
      <c r="A20" s="6" t="inlineStr">
        <is>
          <t>Soal 16</t>
        </is>
      </c>
      <c r="B20" s="6">
        <f>SUM('Data Jawaban &amp; Skor'!R$27:R$46)</f>
        <v/>
      </c>
      <c r="C20" s="14">
        <f>B20/20</f>
        <v/>
      </c>
      <c r="D20" s="6">
        <f>IF(C20&lt;0.3, "Sukar", IF(C20&lt;=0.7, "Sedang", "Mudah"))</f>
        <v/>
      </c>
      <c r="E20" s="14">
        <f>PEARSON('Data Jawaban &amp; Skor'!R$27:R$46, 'Data Jawaban &amp; Skor'!W$27:W$46)</f>
        <v/>
      </c>
      <c r="F20" s="15" t="n">
        <v>0.444</v>
      </c>
      <c r="G20" s="6" t="n">
        <v>20</v>
      </c>
      <c r="H20" s="6">
        <f>IF(E20&gt;F20, "Valid", "Tidak Valid")</f>
        <v/>
      </c>
      <c r="I20" s="6">
        <f>SUMIFS('Data Jawaban &amp; Skor'!R$27:R$46, 'Data Jawaban &amp; Skor'!X$27:X$46, "&lt;=6")</f>
        <v/>
      </c>
      <c r="J20" s="6">
        <f>SUMIFS('Data Jawaban &amp; Skor'!R$27:R$46, 'Data Jawaban &amp; Skor'!X$27:X$46, "&gt;=15")</f>
        <v/>
      </c>
      <c r="K20" s="14">
        <f>(I20-J20)/6</f>
        <v/>
      </c>
      <c r="L20" s="6">
        <f>IF(K20&lt;0.2, "Jelek", IF(K20&lt;0.4, "Cukup", IF(K20&lt;0.7, "Baik", "Sangat Baik")))</f>
        <v/>
      </c>
    </row>
    <row r="21">
      <c r="A21" s="6" t="inlineStr">
        <is>
          <t>Soal 17</t>
        </is>
      </c>
      <c r="B21" s="6">
        <f>SUM('Data Jawaban &amp; Skor'!S$27:S$46)</f>
        <v/>
      </c>
      <c r="C21" s="14">
        <f>B21/20</f>
        <v/>
      </c>
      <c r="D21" s="6">
        <f>IF(C21&lt;0.3, "Sukar", IF(C21&lt;=0.7, "Sedang", "Mudah"))</f>
        <v/>
      </c>
      <c r="E21" s="14">
        <f>PEARSON('Data Jawaban &amp; Skor'!S$27:S$46, 'Data Jawaban &amp; Skor'!W$27:W$46)</f>
        <v/>
      </c>
      <c r="F21" s="15" t="n">
        <v>0.444</v>
      </c>
      <c r="G21" s="6" t="n">
        <v>20</v>
      </c>
      <c r="H21" s="6">
        <f>IF(E21&gt;F21, "Valid", "Tidak Valid")</f>
        <v/>
      </c>
      <c r="I21" s="6">
        <f>SUMIFS('Data Jawaban &amp; Skor'!S$27:S$46, 'Data Jawaban &amp; Skor'!X$27:X$46, "&lt;=6")</f>
        <v/>
      </c>
      <c r="J21" s="6">
        <f>SUMIFS('Data Jawaban &amp; Skor'!S$27:S$46, 'Data Jawaban &amp; Skor'!X$27:X$46, "&gt;=15")</f>
        <v/>
      </c>
      <c r="K21" s="14">
        <f>(I21-J21)/6</f>
        <v/>
      </c>
      <c r="L21" s="6">
        <f>IF(K21&lt;0.2, "Jelek", IF(K21&lt;0.4, "Cukup", IF(K21&lt;0.7, "Baik", "Sangat Baik")))</f>
        <v/>
      </c>
    </row>
    <row r="22">
      <c r="A22" s="6" t="inlineStr">
        <is>
          <t>Soal 18</t>
        </is>
      </c>
      <c r="B22" s="6">
        <f>SUM('Data Jawaban &amp; Skor'!T$27:T$46)</f>
        <v/>
      </c>
      <c r="C22" s="14">
        <f>B22/20</f>
        <v/>
      </c>
      <c r="D22" s="6">
        <f>IF(C22&lt;0.3, "Sukar", IF(C22&lt;=0.7, "Sedang", "Mudah"))</f>
        <v/>
      </c>
      <c r="E22" s="14">
        <f>PEARSON('Data Jawaban &amp; Skor'!T$27:T$46, 'Data Jawaban &amp; Skor'!W$27:W$46)</f>
        <v/>
      </c>
      <c r="F22" s="15" t="n">
        <v>0.444</v>
      </c>
      <c r="G22" s="6" t="n">
        <v>20</v>
      </c>
      <c r="H22" s="6">
        <f>IF(E22&gt;F22, "Valid", "Tidak Valid")</f>
        <v/>
      </c>
      <c r="I22" s="6">
        <f>SUMIFS('Data Jawaban &amp; Skor'!T$27:T$46, 'Data Jawaban &amp; Skor'!X$27:X$46, "&lt;=6")</f>
        <v/>
      </c>
      <c r="J22" s="6">
        <f>SUMIFS('Data Jawaban &amp; Skor'!T$27:T$46, 'Data Jawaban &amp; Skor'!X$27:X$46, "&gt;=15")</f>
        <v/>
      </c>
      <c r="K22" s="14">
        <f>(I22-J22)/6</f>
        <v/>
      </c>
      <c r="L22" s="6">
        <f>IF(K22&lt;0.2, "Jelek", IF(K22&lt;0.4, "Cukup", IF(K22&lt;0.7, "Baik", "Sangat Baik")))</f>
        <v/>
      </c>
    </row>
    <row r="23">
      <c r="A23" s="6" t="inlineStr">
        <is>
          <t>Soal 19</t>
        </is>
      </c>
      <c r="B23" s="6">
        <f>SUM('Data Jawaban &amp; Skor'!U$27:U$46)</f>
        <v/>
      </c>
      <c r="C23" s="14">
        <f>B23/20</f>
        <v/>
      </c>
      <c r="D23" s="6">
        <f>IF(C23&lt;0.3, "Sukar", IF(C23&lt;=0.7, "Sedang", "Mudah"))</f>
        <v/>
      </c>
      <c r="E23" s="14">
        <f>PEARSON('Data Jawaban &amp; Skor'!U$27:U$46, 'Data Jawaban &amp; Skor'!W$27:W$46)</f>
        <v/>
      </c>
      <c r="F23" s="15" t="n">
        <v>0.444</v>
      </c>
      <c r="G23" s="6" t="n">
        <v>20</v>
      </c>
      <c r="H23" s="6">
        <f>IF(E23&gt;F23, "Valid", "Tidak Valid")</f>
        <v/>
      </c>
      <c r="I23" s="6">
        <f>SUMIFS('Data Jawaban &amp; Skor'!U$27:U$46, 'Data Jawaban &amp; Skor'!X$27:X$46, "&lt;=6")</f>
        <v/>
      </c>
      <c r="J23" s="6">
        <f>SUMIFS('Data Jawaban &amp; Skor'!U$27:U$46, 'Data Jawaban &amp; Skor'!X$27:X$46, "&gt;=15")</f>
        <v/>
      </c>
      <c r="K23" s="14">
        <f>(I23-J23)/6</f>
        <v/>
      </c>
      <c r="L23" s="6">
        <f>IF(K23&lt;0.2, "Jelek", IF(K23&lt;0.4, "Cukup", IF(K23&lt;0.7, "Baik", "Sangat Baik")))</f>
        <v/>
      </c>
    </row>
    <row r="24">
      <c r="A24" s="6" t="inlineStr">
        <is>
          <t>Soal 20</t>
        </is>
      </c>
      <c r="B24" s="6">
        <f>SUM('Data Jawaban &amp; Skor'!V$27:V$46)</f>
        <v/>
      </c>
      <c r="C24" s="14">
        <f>B24/20</f>
        <v/>
      </c>
      <c r="D24" s="6">
        <f>IF(C24&lt;0.3, "Sukar", IF(C24&lt;=0.7, "Sedang", "Mudah"))</f>
        <v/>
      </c>
      <c r="E24" s="14">
        <f>PEARSON('Data Jawaban &amp; Skor'!V$27:V$46, 'Data Jawaban &amp; Skor'!W$27:W$46)</f>
        <v/>
      </c>
      <c r="F24" s="15" t="n">
        <v>0.444</v>
      </c>
      <c r="G24" s="6" t="n">
        <v>20</v>
      </c>
      <c r="H24" s="6">
        <f>IF(E24&gt;F24, "Valid", "Tidak Valid")</f>
        <v/>
      </c>
      <c r="I24" s="6">
        <f>SUMIFS('Data Jawaban &amp; Skor'!V$27:V$46, 'Data Jawaban &amp; Skor'!X$27:X$46, "&lt;=6")</f>
        <v/>
      </c>
      <c r="J24" s="6">
        <f>SUMIFS('Data Jawaban &amp; Skor'!V$27:V$46, 'Data Jawaban &amp; Skor'!X$27:X$46, "&gt;=15")</f>
        <v/>
      </c>
      <c r="K24" s="14">
        <f>(I24-J24)/6</f>
        <v/>
      </c>
      <c r="L24" s="6">
        <f>IF(K24&lt;0.2, "Jelek", IF(K24&lt;0.4, "Cukup", IF(K24&lt;0.7, "Baik", "Sangat Baik")))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55" customWidth="1" min="1" max="1"/>
    <col width="40" customWidth="1" min="2" max="2"/>
    <col width="86" customWidth="1" min="3" max="3"/>
    <col width="10" customWidth="1" min="4" max="4"/>
    <col width="10" customWidth="1" min="5" max="5"/>
    <col width="29" customWidth="1" min="6" max="6"/>
    <col width="18" customWidth="1" min="7" max="7"/>
  </cols>
  <sheetData>
    <row r="1">
      <c r="A1" s="1" t="inlineStr">
        <is>
          <t>ANALISIS RELIABILITAS TES (KR-20)</t>
        </is>
      </c>
    </row>
    <row r="2"/>
    <row r="3">
      <c r="A3" s="16" t="inlineStr">
        <is>
          <t>KOMPONEN KR-20</t>
        </is>
      </c>
      <c r="B3" s="10" t="inlineStr">
        <is>
          <t>NILAI</t>
        </is>
      </c>
      <c r="C3" s="16" t="inlineStr">
        <is>
          <t>KETERANGAN</t>
        </is>
      </c>
      <c r="E3" s="16" t="inlineStr">
        <is>
          <t>SOAL</t>
        </is>
      </c>
      <c r="F3" s="16" t="inlineStr">
        <is>
          <t>p (Kesukaran)</t>
        </is>
      </c>
      <c r="G3" s="16" t="inlineStr">
        <is>
          <t>p * q (Varians)</t>
        </is>
      </c>
    </row>
    <row r="4">
      <c r="A4" s="7" t="inlineStr">
        <is>
          <t>Jumlah Butir Soal (k)</t>
        </is>
      </c>
      <c r="B4" s="12">
        <f>COUNTA('Analisis Butir Soal'!A5:A24)</f>
        <v/>
      </c>
      <c r="C4" s="7" t="inlineStr">
        <is>
          <t>Total butir soal yang diuji</t>
        </is>
      </c>
      <c r="E4" s="13" t="inlineStr">
        <is>
          <t>Soal 1</t>
        </is>
      </c>
      <c r="F4" s="17">
        <f>'Analisis Butir Soal'!C5</f>
        <v/>
      </c>
      <c r="G4" s="17">
        <f>F4*(1-F4)</f>
        <v/>
      </c>
    </row>
    <row r="5">
      <c r="A5" s="7" t="inlineStr">
        <is>
          <t>Jumlah Varians Butir (∑pq)</t>
        </is>
      </c>
      <c r="B5" s="18">
        <f>SUM(G4:G23)</f>
        <v/>
      </c>
      <c r="C5" s="7" t="n"/>
      <c r="E5" s="13" t="inlineStr">
        <is>
          <t>Soal 2</t>
        </is>
      </c>
      <c r="F5" s="17">
        <f>'Analisis Butir Soal'!C6</f>
        <v/>
      </c>
      <c r="G5" s="17">
        <f>F5*(1-F5)</f>
        <v/>
      </c>
    </row>
    <row r="6">
      <c r="A6" s="7" t="inlineStr">
        <is>
          <t>Varians Total (S^2)</t>
        </is>
      </c>
      <c r="B6" s="18">
        <f>VAR.P('Data Jawaban &amp; Skor'!W28:W47)</f>
        <v/>
      </c>
      <c r="C6" s="7" t="n"/>
      <c r="E6" s="13" t="inlineStr">
        <is>
          <t>Soal 3</t>
        </is>
      </c>
      <c r="F6" s="17">
        <f>'Analisis Butir Soal'!C7</f>
        <v/>
      </c>
      <c r="G6" s="17">
        <f>F6*(1-F6)</f>
        <v/>
      </c>
    </row>
    <row r="7">
      <c r="A7" s="7" t="inlineStr">
        <is>
          <t>Koefisien Reliabilitas (r11)</t>
        </is>
      </c>
      <c r="B7" s="19">
        <f>(B4/(B4-1))*(1-(B5/B6))</f>
        <v/>
      </c>
      <c r="C7" s="7">
        <f>IF(B7&gt;0.7, "Reliabel (Tinggi)", IF(B7&gt;0.4, "Reliabel (Sedang)", "Tidak Reliabel"))</f>
        <v/>
      </c>
      <c r="E7" s="13" t="inlineStr">
        <is>
          <t>Soal 4</t>
        </is>
      </c>
      <c r="F7" s="17">
        <f>'Analisis Butir Soal'!C8</f>
        <v/>
      </c>
      <c r="G7" s="17">
        <f>F7*(1-F7)</f>
        <v/>
      </c>
    </row>
    <row r="8">
      <c r="E8" s="13" t="inlineStr">
        <is>
          <t>Soal 5</t>
        </is>
      </c>
      <c r="F8" s="17">
        <f>'Analisis Butir Soal'!C9</f>
        <v/>
      </c>
      <c r="G8" s="17">
        <f>F8*(1-F8)</f>
        <v/>
      </c>
    </row>
    <row r="9">
      <c r="E9" s="13" t="inlineStr">
        <is>
          <t>Soal 6</t>
        </is>
      </c>
      <c r="F9" s="17">
        <f>'Analisis Butir Soal'!C10</f>
        <v/>
      </c>
      <c r="G9" s="17">
        <f>F9*(1-F9)</f>
        <v/>
      </c>
    </row>
    <row r="10">
      <c r="A10" s="20" t="n"/>
      <c r="E10" s="13" t="inlineStr">
        <is>
          <t>Soal 7</t>
        </is>
      </c>
      <c r="F10" s="17">
        <f>'Analisis Butir Soal'!C11</f>
        <v/>
      </c>
      <c r="G10" s="17">
        <f>F10*(1-F10)</f>
        <v/>
      </c>
    </row>
    <row r="11">
      <c r="A11" s="20" t="inlineStr">
        <is>
          <t>1. Validitas Butir Soal</t>
        </is>
      </c>
      <c r="E11" s="13" t="inlineStr">
        <is>
          <t>Soal 8</t>
        </is>
      </c>
      <c r="F11" s="17">
        <f>'Analisis Butir Soal'!C12</f>
        <v/>
      </c>
      <c r="G11" s="17">
        <f>F11*(1-F11)</f>
        <v/>
      </c>
    </row>
    <row r="12">
      <c r="A12" s="21" t="inlineStr">
        <is>
          <t>Berfungsi untuk mengukur ketepatan suatu butir soal dalam mengukur apa yang seharusnya diukur. Soal dikatakan valid jika r-hitung &gt; r-tabel.</t>
        </is>
      </c>
      <c r="E12" s="13" t="inlineStr">
        <is>
          <t>Soal 9</t>
        </is>
      </c>
      <c r="F12" s="17">
        <f>'Analisis Butir Soal'!C13</f>
        <v/>
      </c>
      <c r="G12" s="17">
        <f>F12*(1-F12)</f>
        <v/>
      </c>
    </row>
    <row r="13">
      <c r="E13" s="13" t="inlineStr">
        <is>
          <t>Soal 10</t>
        </is>
      </c>
      <c r="F13" s="17">
        <f>'Analisis Butir Soal'!C14</f>
        <v/>
      </c>
      <c r="G13" s="17">
        <f>F13*(1-F13)</f>
        <v/>
      </c>
    </row>
    <row r="14">
      <c r="A14" s="20" t="inlineStr">
        <is>
          <t>2. Daya Pembeda (D)</t>
        </is>
      </c>
      <c r="E14" s="13" t="inlineStr">
        <is>
          <t>Soal 11</t>
        </is>
      </c>
      <c r="F14" s="17">
        <f>'Analisis Butir Soal'!C15</f>
        <v/>
      </c>
      <c r="G14" s="17">
        <f>F14*(1-F14)</f>
        <v/>
      </c>
    </row>
    <row r="15">
      <c r="A15" s="21" t="inlineStr">
        <is>
          <t>Berfungsi untuk membedakan antara peserta didik yang berkemampuan tinggi (kelompok atas) dengan peserta didik berkemampuan rendah (kelompok bawah).</t>
        </is>
      </c>
      <c r="E15" s="13" t="inlineStr">
        <is>
          <t>Soal 12</t>
        </is>
      </c>
      <c r="F15" s="17">
        <f>'Analisis Butir Soal'!C16</f>
        <v/>
      </c>
      <c r="G15" s="17">
        <f>F15*(1-F15)</f>
        <v/>
      </c>
    </row>
    <row r="16">
      <c r="E16" s="13" t="inlineStr">
        <is>
          <t>Soal 13</t>
        </is>
      </c>
      <c r="F16" s="17">
        <f>'Analisis Butir Soal'!C17</f>
        <v/>
      </c>
      <c r="G16" s="17">
        <f>F16*(1-F16)</f>
        <v/>
      </c>
    </row>
    <row r="17">
      <c r="A17" s="20" t="inlineStr">
        <is>
          <t>3. Tingkat Kesukaran (P)</t>
        </is>
      </c>
      <c r="E17" s="13" t="inlineStr">
        <is>
          <t>Soal 14</t>
        </is>
      </c>
      <c r="F17" s="17">
        <f>'Analisis Butir Soal'!C18</f>
        <v/>
      </c>
      <c r="G17" s="17">
        <f>F17*(1-F17)</f>
        <v/>
      </c>
    </row>
    <row r="18">
      <c r="A18" s="21" t="inlineStr">
        <is>
          <t>Berfungsi untuk mengetahui seberapa besar derajat kesukaran suatu soal (apakah terlalu sukar, sedang, atau mudah) sehingga proporsi soal ideal tercapai.</t>
        </is>
      </c>
      <c r="E18" s="13" t="inlineStr">
        <is>
          <t>Soal 15</t>
        </is>
      </c>
      <c r="F18" s="17">
        <f>'Analisis Butir Soal'!C19</f>
        <v/>
      </c>
      <c r="G18" s="17">
        <f>F18*(1-F18)</f>
        <v/>
      </c>
    </row>
    <row r="19">
      <c r="E19" s="13" t="inlineStr">
        <is>
          <t>Soal 16</t>
        </is>
      </c>
      <c r="F19" s="17">
        <f>'Analisis Butir Soal'!C20</f>
        <v/>
      </c>
      <c r="G19" s="17">
        <f>F19*(1-F19)</f>
        <v/>
      </c>
    </row>
    <row r="20">
      <c r="A20" s="20" t="inlineStr">
        <is>
          <t>4. Reliabilitas Tes</t>
        </is>
      </c>
      <c r="E20" s="13" t="inlineStr">
        <is>
          <t>Soal 17</t>
        </is>
      </c>
      <c r="F20" s="17">
        <f>'Analisis Butir Soal'!C21</f>
        <v/>
      </c>
      <c r="G20" s="17">
        <f>F20*(1-F20)</f>
        <v/>
      </c>
    </row>
    <row r="21">
      <c r="A21" s="21" t="inlineStr">
        <is>
          <t>Berfungsi untuk mengetahui tingkat konsistensi atau keajegan alat tes ketika digunakan berulang kali pada kelompok yang sama. Menggunakan rumus KR-20.</t>
        </is>
      </c>
      <c r="E21" s="13" t="inlineStr">
        <is>
          <t>Soal 18</t>
        </is>
      </c>
      <c r="F21" s="17">
        <f>'Analisis Butir Soal'!C22</f>
        <v/>
      </c>
      <c r="G21" s="17">
        <f>F21*(1-F21)</f>
        <v/>
      </c>
    </row>
    <row r="22">
      <c r="E22" s="13" t="inlineStr">
        <is>
          <t>Soal 19</t>
        </is>
      </c>
      <c r="F22" s="17">
        <f>'Analisis Butir Soal'!C23</f>
        <v/>
      </c>
      <c r="G22" s="17">
        <f>F22*(1-F22)</f>
        <v/>
      </c>
    </row>
    <row r="23">
      <c r="E23" s="13" t="inlineStr">
        <is>
          <t>Soal 20</t>
        </is>
      </c>
      <c r="F23" s="17">
        <f>'Analisis Butir Soal'!C24</f>
        <v/>
      </c>
      <c r="G23" s="17">
        <f>F23*(1-F23)</f>
        <v/>
      </c>
    </row>
    <row r="24"/>
    <row r="25"/>
    <row r="26">
      <c r="A26" t="inlineStr">
        <is>
          <t>PENJELASAN FUNGSI ANALISIS BUTIR SOAL: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2026-06-10T03:07:24Z</dcterms:created>
  <dcterms:modified xmlns:dcterms="http://purl.org/dc/terms/" xmlns:xsi="http://www.w3.org/2001/XMLSchema-instance" xsi:type="dcterms:W3CDTF">2026-06-10T03:07:25Z</dcterms:modified>
</cp:coreProperties>
</file>