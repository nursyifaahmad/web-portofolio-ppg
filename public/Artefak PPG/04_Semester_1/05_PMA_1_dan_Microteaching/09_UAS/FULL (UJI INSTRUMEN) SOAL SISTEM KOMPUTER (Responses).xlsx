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Erick\Desktop\SKRIPSI\SKRIPSI\1\julipie\UJI INSTRUMEN\60 Kedua\"/>
    </mc:Choice>
  </mc:AlternateContent>
  <xr:revisionPtr revIDLastSave="0" documentId="13_ncr:1_{C298255A-5E1F-482A-B74B-DB5A57C8A8D1}" xr6:coauthVersionLast="47" xr6:coauthVersionMax="47" xr10:uidLastSave="{00000000-0000-0000-0000-000000000000}"/>
  <bookViews>
    <workbookView xWindow="11424" yWindow="0" windowWidth="11712" windowHeight="12336" xr2:uid="{00000000-000D-0000-FFFF-FFFF00000000}"/>
  </bookViews>
  <sheets>
    <sheet name="Form Responses 1" sheetId="1" r:id="rId1"/>
    <sheet name="SORTING SCORE" sheetId="2" r:id="rId2"/>
    <sheet name="DAYA PEMBEDA" sheetId="3" r:id="rId3"/>
  </sheets>
  <definedNames>
    <definedName name="_xlnm._FilterDatabase" localSheetId="1" hidden="1">'SORTING SCORE'!$A$1:$BM$32</definedName>
  </definedNames>
  <calcPr calcId="191029"/>
</workbook>
</file>

<file path=xl/calcChain.xml><?xml version="1.0" encoding="utf-8"?>
<calcChain xmlns="http://schemas.openxmlformats.org/spreadsheetml/2006/main">
  <c r="E52" i="1" l="1"/>
  <c r="E51" i="1"/>
  <c r="D58" i="1"/>
  <c r="D57" i="1"/>
  <c r="E74" i="1"/>
  <c r="E73" i="1"/>
  <c r="E72" i="1"/>
  <c r="E71" i="1"/>
  <c r="E75" i="1"/>
  <c r="D68" i="1"/>
  <c r="E68" i="1" s="1"/>
  <c r="D75" i="1"/>
  <c r="D74" i="1"/>
  <c r="D73" i="1"/>
  <c r="D72" i="1"/>
  <c r="D71" i="1"/>
  <c r="E67" i="1"/>
  <c r="E66" i="1"/>
  <c r="E65" i="1"/>
  <c r="D65" i="1"/>
  <c r="D67" i="1"/>
  <c r="D66" i="1"/>
  <c r="AJ23" i="3"/>
  <c r="AK23" i="3"/>
  <c r="AL23" i="3"/>
  <c r="AM23" i="3"/>
  <c r="AN23" i="3"/>
  <c r="AO23" i="3"/>
  <c r="AP23" i="3"/>
  <c r="AQ23" i="3"/>
  <c r="AR23" i="3"/>
  <c r="AS23" i="3"/>
  <c r="AT23" i="3"/>
  <c r="AU23" i="3"/>
  <c r="AV23" i="3"/>
  <c r="AW23" i="3"/>
  <c r="AX23" i="3"/>
  <c r="AY23" i="3"/>
  <c r="AZ23" i="3"/>
  <c r="BA23" i="3"/>
  <c r="BB23" i="3"/>
  <c r="BC23" i="3"/>
  <c r="BD23" i="3"/>
  <c r="BE23" i="3"/>
  <c r="BF23" i="3"/>
  <c r="BG23" i="3"/>
  <c r="BH23" i="3"/>
  <c r="BI23" i="3"/>
  <c r="BJ23" i="3"/>
  <c r="U23" i="3"/>
  <c r="V23" i="3"/>
  <c r="W23" i="3"/>
  <c r="X23" i="3"/>
  <c r="Y23" i="3"/>
  <c r="Z23" i="3"/>
  <c r="AA23" i="3"/>
  <c r="AB23" i="3"/>
  <c r="AC23" i="3"/>
  <c r="AD23" i="3"/>
  <c r="AE23" i="3"/>
  <c r="AF23" i="3"/>
  <c r="AG23" i="3"/>
  <c r="AH23" i="3"/>
  <c r="AI23" i="3"/>
  <c r="D23" i="3"/>
  <c r="E23" i="3"/>
  <c r="F23" i="3"/>
  <c r="G23" i="3"/>
  <c r="H23" i="3"/>
  <c r="I23" i="3"/>
  <c r="J23" i="3"/>
  <c r="K23" i="3"/>
  <c r="L23" i="3"/>
  <c r="M23" i="3"/>
  <c r="N23" i="3"/>
  <c r="O23" i="3"/>
  <c r="P23" i="3"/>
  <c r="Q23" i="3"/>
  <c r="R23" i="3"/>
  <c r="S23" i="3"/>
  <c r="T23" i="3"/>
  <c r="C23" i="3"/>
  <c r="BD22" i="3"/>
  <c r="BE22" i="3"/>
  <c r="BF22" i="3"/>
  <c r="BG22" i="3"/>
  <c r="BH22" i="3"/>
  <c r="BI22" i="3"/>
  <c r="BJ22" i="3"/>
  <c r="BK22" i="3"/>
  <c r="BL22" i="3"/>
  <c r="AO22" i="3"/>
  <c r="AP22" i="3"/>
  <c r="AQ22" i="3"/>
  <c r="AR22" i="3"/>
  <c r="AS22" i="3"/>
  <c r="AT22" i="3"/>
  <c r="AU22" i="3"/>
  <c r="AV22" i="3"/>
  <c r="AW22" i="3"/>
  <c r="AX22" i="3"/>
  <c r="AY22" i="3"/>
  <c r="AZ22" i="3"/>
  <c r="BA22" i="3"/>
  <c r="BB22" i="3"/>
  <c r="BC22" i="3"/>
  <c r="U22" i="3"/>
  <c r="V22" i="3"/>
  <c r="W22" i="3"/>
  <c r="X22" i="3"/>
  <c r="Y22" i="3"/>
  <c r="Z22" i="3"/>
  <c r="AA22" i="3"/>
  <c r="AB22" i="3"/>
  <c r="AC22" i="3"/>
  <c r="AD22" i="3"/>
  <c r="AE22" i="3"/>
  <c r="AF22" i="3"/>
  <c r="AG22" i="3"/>
  <c r="AH22" i="3"/>
  <c r="AI22" i="3"/>
  <c r="AJ22" i="3"/>
  <c r="AK22" i="3"/>
  <c r="AL22" i="3"/>
  <c r="AM22" i="3"/>
  <c r="AN22" i="3"/>
  <c r="D22" i="3"/>
  <c r="E22" i="3"/>
  <c r="F22" i="3"/>
  <c r="G22" i="3"/>
  <c r="H22" i="3"/>
  <c r="I22" i="3"/>
  <c r="J22" i="3"/>
  <c r="K22" i="3"/>
  <c r="L22" i="3"/>
  <c r="M22" i="3"/>
  <c r="N22" i="3"/>
  <c r="O22" i="3"/>
  <c r="P22" i="3"/>
  <c r="Q22" i="3"/>
  <c r="R22" i="3"/>
  <c r="S22" i="3"/>
  <c r="T22" i="3"/>
  <c r="C22" i="3"/>
  <c r="BC20" i="3"/>
  <c r="BD20" i="3"/>
  <c r="BE20" i="3"/>
  <c r="BF20" i="3"/>
  <c r="BG20" i="3"/>
  <c r="BH20" i="3"/>
  <c r="BI20" i="3"/>
  <c r="BJ20" i="3"/>
  <c r="BK20" i="3"/>
  <c r="BL20" i="3"/>
  <c r="AE20" i="3"/>
  <c r="AF20" i="3"/>
  <c r="AG20" i="3"/>
  <c r="AH20" i="3"/>
  <c r="AI20" i="3"/>
  <c r="AJ20" i="3"/>
  <c r="AK20" i="3"/>
  <c r="AL20" i="3"/>
  <c r="AM20" i="3"/>
  <c r="AN20" i="3"/>
  <c r="AO20" i="3"/>
  <c r="AP20" i="3"/>
  <c r="AQ20" i="3"/>
  <c r="AR20" i="3"/>
  <c r="AS20" i="3"/>
  <c r="AT20" i="3"/>
  <c r="AU20" i="3"/>
  <c r="AV20" i="3"/>
  <c r="AW20" i="3"/>
  <c r="AX20" i="3"/>
  <c r="AY20" i="3"/>
  <c r="AZ20" i="3"/>
  <c r="BA20" i="3"/>
  <c r="BB20" i="3"/>
  <c r="D20" i="3"/>
  <c r="E20" i="3"/>
  <c r="F20" i="3"/>
  <c r="G20" i="3"/>
  <c r="H20" i="3"/>
  <c r="I20" i="3"/>
  <c r="J20" i="3"/>
  <c r="K20" i="3"/>
  <c r="L20" i="3"/>
  <c r="M20" i="3"/>
  <c r="N20" i="3"/>
  <c r="O20" i="3"/>
  <c r="P20" i="3"/>
  <c r="Q20" i="3"/>
  <c r="R20" i="3"/>
  <c r="S20" i="3"/>
  <c r="T20" i="3"/>
  <c r="U20" i="3"/>
  <c r="V20" i="3"/>
  <c r="W20" i="3"/>
  <c r="X20" i="3"/>
  <c r="Y20" i="3"/>
  <c r="Z20" i="3"/>
  <c r="AA20" i="3"/>
  <c r="AB20" i="3"/>
  <c r="AC20" i="3"/>
  <c r="AD20" i="3"/>
  <c r="C20" i="3"/>
  <c r="AT10" i="3"/>
  <c r="AU10" i="3"/>
  <c r="AV10" i="3"/>
  <c r="AW10" i="3"/>
  <c r="AX10" i="3"/>
  <c r="AY10" i="3"/>
  <c r="AZ10" i="3"/>
  <c r="BA10" i="3"/>
  <c r="BB10" i="3"/>
  <c r="BC10" i="3"/>
  <c r="BD10" i="3"/>
  <c r="BE10" i="3"/>
  <c r="BF10" i="3"/>
  <c r="BG10" i="3"/>
  <c r="BH10" i="3"/>
  <c r="BI10" i="3"/>
  <c r="BJ10" i="3"/>
  <c r="BK10" i="3"/>
  <c r="BL10" i="3"/>
  <c r="W10" i="3"/>
  <c r="X10" i="3"/>
  <c r="Y10" i="3"/>
  <c r="Z10" i="3"/>
  <c r="AA10" i="3"/>
  <c r="AB10" i="3"/>
  <c r="AC10" i="3"/>
  <c r="AD10" i="3"/>
  <c r="AE10" i="3"/>
  <c r="AF10" i="3"/>
  <c r="AG10" i="3"/>
  <c r="AH10" i="3"/>
  <c r="AI10" i="3"/>
  <c r="AJ10" i="3"/>
  <c r="AK10" i="3"/>
  <c r="AL10" i="3"/>
  <c r="AM10" i="3"/>
  <c r="AN10" i="3"/>
  <c r="AO10" i="3"/>
  <c r="AP10" i="3"/>
  <c r="AQ10" i="3"/>
  <c r="AR10" i="3"/>
  <c r="AS10" i="3"/>
  <c r="J10" i="3"/>
  <c r="K10" i="3"/>
  <c r="L10" i="3"/>
  <c r="M10" i="3"/>
  <c r="N10" i="3"/>
  <c r="O10" i="3"/>
  <c r="P10" i="3"/>
  <c r="Q10" i="3"/>
  <c r="R10" i="3"/>
  <c r="S10" i="3"/>
  <c r="T10" i="3"/>
  <c r="U10" i="3"/>
  <c r="V10" i="3"/>
  <c r="D10" i="3"/>
  <c r="E10" i="3"/>
  <c r="F10" i="3"/>
  <c r="G10" i="3"/>
  <c r="H10" i="3"/>
  <c r="I10" i="3"/>
  <c r="C10" i="3"/>
  <c r="BK19" i="3"/>
  <c r="BL19" i="3" s="1"/>
  <c r="BK18" i="3"/>
  <c r="BL18" i="3" s="1"/>
  <c r="BL17" i="3"/>
  <c r="BK17" i="3"/>
  <c r="BK16" i="3"/>
  <c r="BL16" i="3" s="1"/>
  <c r="BL15" i="3"/>
  <c r="BK15" i="3"/>
  <c r="BK14" i="3"/>
  <c r="BL14" i="3" s="1"/>
  <c r="BK13" i="3"/>
  <c r="BL13" i="3" s="1"/>
  <c r="BK12" i="3"/>
  <c r="BL12" i="3" s="1"/>
  <c r="BK9" i="3"/>
  <c r="BL9" i="3" s="1"/>
  <c r="BK8" i="3"/>
  <c r="BL8" i="3" s="1"/>
  <c r="BK7" i="3"/>
  <c r="BL7" i="3" s="1"/>
  <c r="BK6" i="3"/>
  <c r="BL6" i="3" s="1"/>
  <c r="BK5" i="3"/>
  <c r="BL5" i="3" s="1"/>
  <c r="BK4" i="3"/>
  <c r="BL4" i="3" s="1"/>
  <c r="BK3" i="3"/>
  <c r="BL3" i="3" s="1"/>
  <c r="BK2" i="3"/>
  <c r="BL2" i="3" s="1"/>
  <c r="BL5" i="2"/>
  <c r="BM5" i="2" s="1"/>
  <c r="BL22" i="2"/>
  <c r="BM22" i="2" s="1"/>
  <c r="BL3" i="2"/>
  <c r="BM3" i="2" s="1"/>
  <c r="BL1" i="2"/>
  <c r="BM1" i="2" s="1"/>
  <c r="BL18" i="2"/>
  <c r="BM18" i="2" s="1"/>
  <c r="BL17" i="2"/>
  <c r="BM17" i="2" s="1"/>
  <c r="BL31" i="2"/>
  <c r="BM31" i="2" s="1"/>
  <c r="BL14" i="2"/>
  <c r="BM14" i="2" s="1"/>
  <c r="BL30" i="2"/>
  <c r="BM30" i="2" s="1"/>
  <c r="BL29" i="2"/>
  <c r="BM29" i="2" s="1"/>
  <c r="BL8" i="2"/>
  <c r="BM8" i="2" s="1"/>
  <c r="BL4" i="2"/>
  <c r="BM4" i="2" s="1"/>
  <c r="BL2" i="2"/>
  <c r="BM2" i="2" s="1"/>
  <c r="BL13" i="2"/>
  <c r="BM13" i="2" s="1"/>
  <c r="BL16" i="2"/>
  <c r="BM16" i="2" s="1"/>
  <c r="BL27" i="2"/>
  <c r="BM27" i="2" s="1"/>
  <c r="BL24" i="2"/>
  <c r="BM24" i="2" s="1"/>
  <c r="BL11" i="2"/>
  <c r="BM11" i="2" s="1"/>
  <c r="BL10" i="2"/>
  <c r="BM10" i="2" s="1"/>
  <c r="BL15" i="2"/>
  <c r="BM15" i="2" s="1"/>
  <c r="BL28" i="2"/>
  <c r="BM28" i="2" s="1"/>
  <c r="BL9" i="2"/>
  <c r="BM9" i="2" s="1"/>
  <c r="BL7" i="2"/>
  <c r="BM7" i="2" s="1"/>
  <c r="BL12" i="2"/>
  <c r="BM12" i="2" s="1"/>
  <c r="BL19" i="2"/>
  <c r="BM19" i="2" s="1"/>
  <c r="BL21" i="2"/>
  <c r="BM21" i="2" s="1"/>
  <c r="BL6" i="2"/>
  <c r="BM6" i="2" s="1"/>
  <c r="BL26" i="2"/>
  <c r="BM26" i="2" s="1"/>
  <c r="BL25" i="2"/>
  <c r="BM25" i="2" s="1"/>
  <c r="BL20" i="2"/>
  <c r="BM20" i="2" s="1"/>
  <c r="BL23" i="2"/>
  <c r="BM23" i="2" s="1"/>
  <c r="BL32" i="2"/>
  <c r="BM32" i="2" s="1"/>
  <c r="BI44" i="1"/>
  <c r="BJ44" i="1"/>
  <c r="BK44" i="1"/>
  <c r="BD44" i="1"/>
  <c r="BE44" i="1"/>
  <c r="BF44" i="1"/>
  <c r="BG44" i="1"/>
  <c r="BH44" i="1"/>
  <c r="AZ44" i="1"/>
  <c r="BA44" i="1"/>
  <c r="BB44" i="1"/>
  <c r="BC44" i="1"/>
  <c r="AQ44" i="1"/>
  <c r="AR44" i="1"/>
  <c r="AS44" i="1"/>
  <c r="AT44" i="1"/>
  <c r="AU44" i="1"/>
  <c r="AV44" i="1"/>
  <c r="AW44" i="1"/>
  <c r="AX44" i="1"/>
  <c r="AY44" i="1"/>
  <c r="AI44" i="1"/>
  <c r="AJ44" i="1"/>
  <c r="AK44" i="1"/>
  <c r="AL44" i="1"/>
  <c r="AM44" i="1"/>
  <c r="AN44" i="1"/>
  <c r="AO44" i="1"/>
  <c r="AP44" i="1"/>
  <c r="AA44" i="1"/>
  <c r="AB44" i="1"/>
  <c r="AC44" i="1"/>
  <c r="AD44" i="1"/>
  <c r="AE44" i="1"/>
  <c r="AF44" i="1"/>
  <c r="AG44" i="1"/>
  <c r="AH44" i="1"/>
  <c r="R44" i="1"/>
  <c r="S44" i="1"/>
  <c r="T44" i="1"/>
  <c r="U44" i="1"/>
  <c r="V44" i="1"/>
  <c r="W44" i="1"/>
  <c r="X44" i="1"/>
  <c r="Y44" i="1"/>
  <c r="Z44" i="1"/>
  <c r="K44" i="1"/>
  <c r="L44" i="1"/>
  <c r="M44" i="1"/>
  <c r="N44" i="1"/>
  <c r="O44" i="1"/>
  <c r="P44" i="1"/>
  <c r="Q44" i="1"/>
  <c r="E44" i="1"/>
  <c r="F44" i="1"/>
  <c r="G44" i="1"/>
  <c r="H44" i="1"/>
  <c r="I44" i="1"/>
  <c r="J44" i="1"/>
  <c r="D44" i="1"/>
  <c r="BI40" i="1"/>
  <c r="BH35" i="1"/>
  <c r="BH40" i="1" s="1"/>
  <c r="BI35" i="1"/>
  <c r="BJ35" i="1"/>
  <c r="BJ40" i="1" s="1"/>
  <c r="BK35" i="1"/>
  <c r="BK40" i="1" s="1"/>
  <c r="AT35" i="1"/>
  <c r="AT40" i="1" s="1"/>
  <c r="AU35" i="1"/>
  <c r="AU40" i="1" s="1"/>
  <c r="AV35" i="1"/>
  <c r="AV40" i="1" s="1"/>
  <c r="AW35" i="1"/>
  <c r="AW40" i="1" s="1"/>
  <c r="AX35" i="1"/>
  <c r="AX40" i="1" s="1"/>
  <c r="AY35" i="1"/>
  <c r="AY40" i="1" s="1"/>
  <c r="AZ35" i="1"/>
  <c r="AZ40" i="1" s="1"/>
  <c r="BA35" i="1"/>
  <c r="BA40" i="1" s="1"/>
  <c r="BB35" i="1"/>
  <c r="BB40" i="1" s="1"/>
  <c r="BC35" i="1"/>
  <c r="BC40" i="1" s="1"/>
  <c r="BD35" i="1"/>
  <c r="BD40" i="1" s="1"/>
  <c r="BE35" i="1"/>
  <c r="BE40" i="1" s="1"/>
  <c r="BF35" i="1"/>
  <c r="BF40" i="1" s="1"/>
  <c r="BG35" i="1"/>
  <c r="BG40" i="1" s="1"/>
  <c r="AF35" i="1"/>
  <c r="AF40" i="1" s="1"/>
  <c r="AG35" i="1"/>
  <c r="AG40" i="1" s="1"/>
  <c r="AH35" i="1"/>
  <c r="AH40" i="1" s="1"/>
  <c r="AI35" i="1"/>
  <c r="AI40" i="1" s="1"/>
  <c r="AI41" i="1" s="1"/>
  <c r="AJ35" i="1"/>
  <c r="AJ40" i="1" s="1"/>
  <c r="AK35" i="1"/>
  <c r="AK40" i="1" s="1"/>
  <c r="AK41" i="1" s="1"/>
  <c r="AL35" i="1"/>
  <c r="AL40" i="1" s="1"/>
  <c r="AM35" i="1"/>
  <c r="AM40" i="1" s="1"/>
  <c r="AN35" i="1"/>
  <c r="AN40" i="1" s="1"/>
  <c r="AO35" i="1"/>
  <c r="AO40" i="1" s="1"/>
  <c r="AP35" i="1"/>
  <c r="AP40" i="1" s="1"/>
  <c r="AQ35" i="1"/>
  <c r="AQ40" i="1" s="1"/>
  <c r="AR35" i="1"/>
  <c r="AR40" i="1" s="1"/>
  <c r="AS35" i="1"/>
  <c r="AS40" i="1" s="1"/>
  <c r="Q35" i="1"/>
  <c r="Q40" i="1" s="1"/>
  <c r="R35" i="1"/>
  <c r="R40" i="1" s="1"/>
  <c r="S35" i="1"/>
  <c r="S40" i="1" s="1"/>
  <c r="T35" i="1"/>
  <c r="T40" i="1" s="1"/>
  <c r="U35" i="1"/>
  <c r="U40" i="1" s="1"/>
  <c r="U43" i="1" s="1"/>
  <c r="V35" i="1"/>
  <c r="V40" i="1" s="1"/>
  <c r="W35" i="1"/>
  <c r="W40" i="1" s="1"/>
  <c r="W43" i="1" s="1"/>
  <c r="X35" i="1"/>
  <c r="X40" i="1" s="1"/>
  <c r="Y35" i="1"/>
  <c r="Y40" i="1" s="1"/>
  <c r="Y43" i="1" s="1"/>
  <c r="Z35" i="1"/>
  <c r="Z40" i="1" s="1"/>
  <c r="AA35" i="1"/>
  <c r="AA40" i="1" s="1"/>
  <c r="AB35" i="1"/>
  <c r="AB40" i="1" s="1"/>
  <c r="AC35" i="1"/>
  <c r="AC40" i="1" s="1"/>
  <c r="AD35" i="1"/>
  <c r="AD40" i="1" s="1"/>
  <c r="AE35" i="1"/>
  <c r="AE40" i="1" s="1"/>
  <c r="E35" i="1"/>
  <c r="E40" i="1" s="1"/>
  <c r="F35" i="1"/>
  <c r="F40" i="1" s="1"/>
  <c r="G35" i="1"/>
  <c r="G40" i="1" s="1"/>
  <c r="H35" i="1"/>
  <c r="H40" i="1" s="1"/>
  <c r="I35" i="1"/>
  <c r="I40" i="1" s="1"/>
  <c r="J35" i="1"/>
  <c r="J40" i="1" s="1"/>
  <c r="K35" i="1"/>
  <c r="K40" i="1" s="1"/>
  <c r="L35" i="1"/>
  <c r="L40" i="1" s="1"/>
  <c r="M35" i="1"/>
  <c r="M40" i="1" s="1"/>
  <c r="N35" i="1"/>
  <c r="N40" i="1" s="1"/>
  <c r="O35" i="1"/>
  <c r="O40" i="1" s="1"/>
  <c r="P35" i="1"/>
  <c r="P40" i="1" s="1"/>
  <c r="D35" i="1"/>
  <c r="D40" i="1" s="1"/>
  <c r="BM6" i="1"/>
  <c r="BM8" i="1"/>
  <c r="BM9" i="1"/>
  <c r="BM33" i="1"/>
  <c r="BL3" i="1"/>
  <c r="BL4" i="1"/>
  <c r="BM4" i="1" s="1"/>
  <c r="BL5" i="1"/>
  <c r="BM5" i="1" s="1"/>
  <c r="BL6" i="1"/>
  <c r="BL7" i="1"/>
  <c r="BM7" i="1" s="1"/>
  <c r="BL8" i="1"/>
  <c r="BL9" i="1"/>
  <c r="BL10" i="1"/>
  <c r="BM10" i="1" s="1"/>
  <c r="BL11" i="1"/>
  <c r="BM11" i="1" s="1"/>
  <c r="BL12" i="1"/>
  <c r="BM12" i="1" s="1"/>
  <c r="BL13" i="1"/>
  <c r="BM13" i="1" s="1"/>
  <c r="BL14" i="1"/>
  <c r="BM14" i="1" s="1"/>
  <c r="BL15" i="1"/>
  <c r="BL16" i="1"/>
  <c r="BM16" i="1" s="1"/>
  <c r="BL17" i="1"/>
  <c r="BM17" i="1" s="1"/>
  <c r="BL18" i="1"/>
  <c r="BM18" i="1" s="1"/>
  <c r="BL19" i="1"/>
  <c r="BM19" i="1" s="1"/>
  <c r="BL20" i="1"/>
  <c r="BM20" i="1" s="1"/>
  <c r="BL21" i="1"/>
  <c r="BM21" i="1" s="1"/>
  <c r="BL22" i="1"/>
  <c r="BM22" i="1" s="1"/>
  <c r="BL23" i="1"/>
  <c r="BM23" i="1" s="1"/>
  <c r="BL24" i="1"/>
  <c r="BM24" i="1" s="1"/>
  <c r="BL25" i="1"/>
  <c r="BM25" i="1" s="1"/>
  <c r="BL26" i="1"/>
  <c r="BM26" i="1" s="1"/>
  <c r="BL27" i="1"/>
  <c r="BM27" i="1" s="1"/>
  <c r="BL28" i="1"/>
  <c r="BM28" i="1" s="1"/>
  <c r="BL29" i="1"/>
  <c r="BM29" i="1" s="1"/>
  <c r="BL30" i="1"/>
  <c r="BM30" i="1" s="1"/>
  <c r="BL31" i="1"/>
  <c r="BM31" i="1" s="1"/>
  <c r="BL32" i="1"/>
  <c r="BM32" i="1" s="1"/>
  <c r="BL33" i="1"/>
  <c r="BL2" i="1"/>
  <c r="BM2" i="1" s="1"/>
  <c r="D45" i="1" l="1"/>
  <c r="D37" i="1"/>
  <c r="D39" i="1" s="1"/>
  <c r="Z37" i="1"/>
  <c r="Z39" i="1" s="1"/>
  <c r="BD43" i="1"/>
  <c r="BD41" i="1"/>
  <c r="BD42" i="1" s="1"/>
  <c r="BC43" i="1"/>
  <c r="BC41" i="1"/>
  <c r="BC42" i="1" s="1"/>
  <c r="BB43" i="1"/>
  <c r="BB42" i="1"/>
  <c r="BB41" i="1"/>
  <c r="T41" i="1"/>
  <c r="T42" i="1" s="1"/>
  <c r="T43" i="1"/>
  <c r="O43" i="1"/>
  <c r="O41" i="1"/>
  <c r="O42" i="1" s="1"/>
  <c r="AD43" i="1"/>
  <c r="AD41" i="1"/>
  <c r="AD42" i="1" s="1"/>
  <c r="R43" i="1"/>
  <c r="R41" i="1"/>
  <c r="R42" i="1" s="1"/>
  <c r="AY41" i="1"/>
  <c r="AY42" i="1"/>
  <c r="AY43" i="1"/>
  <c r="M43" i="1"/>
  <c r="M41" i="1"/>
  <c r="M42" i="1" s="1"/>
  <c r="AG41" i="1"/>
  <c r="AG42" i="1" s="1"/>
  <c r="AG43" i="1"/>
  <c r="AR41" i="1"/>
  <c r="AR42" i="1" s="1"/>
  <c r="AR43" i="1"/>
  <c r="K41" i="1"/>
  <c r="K42" i="1"/>
  <c r="K43" i="1"/>
  <c r="BG41" i="1"/>
  <c r="BG42" i="1" s="1"/>
  <c r="BG43" i="1"/>
  <c r="H43" i="1"/>
  <c r="H41" i="1"/>
  <c r="H42" i="1" s="1"/>
  <c r="BJ41" i="1"/>
  <c r="BJ42" i="1" s="1"/>
  <c r="BJ43" i="1"/>
  <c r="AM43" i="1"/>
  <c r="AM41" i="1"/>
  <c r="AM42" i="1"/>
  <c r="AL41" i="1"/>
  <c r="AL42" i="1" s="1"/>
  <c r="AL43" i="1"/>
  <c r="N43" i="1"/>
  <c r="N41" i="1"/>
  <c r="N42" i="1" s="1"/>
  <c r="AC41" i="1"/>
  <c r="AC42" i="1" s="1"/>
  <c r="AC43" i="1"/>
  <c r="Q41" i="1"/>
  <c r="Q42" i="1" s="1"/>
  <c r="Q43" i="1"/>
  <c r="AH41" i="1"/>
  <c r="AH42" i="1" s="1"/>
  <c r="AH43" i="1"/>
  <c r="AX41" i="1"/>
  <c r="AX42" i="1" s="1"/>
  <c r="AX43" i="1"/>
  <c r="AV43" i="1"/>
  <c r="AV41" i="1"/>
  <c r="AV42" i="1" s="1"/>
  <c r="AB43" i="1"/>
  <c r="AB41" i="1"/>
  <c r="AB42" i="1" s="1"/>
  <c r="AF41" i="1"/>
  <c r="AF42" i="1" s="1"/>
  <c r="AF43" i="1"/>
  <c r="AQ41" i="1"/>
  <c r="AQ42" i="1" s="1"/>
  <c r="AQ43" i="1"/>
  <c r="J41" i="1"/>
  <c r="J42" i="1" s="1"/>
  <c r="J43" i="1"/>
  <c r="AP43" i="1"/>
  <c r="AP41" i="1"/>
  <c r="AP42" i="1" s="1"/>
  <c r="BF43" i="1"/>
  <c r="BF41" i="1"/>
  <c r="BF42" i="1" s="1"/>
  <c r="AT42" i="1"/>
  <c r="AT41" i="1"/>
  <c r="AT43" i="1"/>
  <c r="I41" i="1"/>
  <c r="I42" i="1" s="1"/>
  <c r="I43" i="1"/>
  <c r="X43" i="1"/>
  <c r="X41" i="1"/>
  <c r="X42" i="1" s="1"/>
  <c r="AO43" i="1"/>
  <c r="AO42" i="1"/>
  <c r="AO41" i="1"/>
  <c r="BE43" i="1"/>
  <c r="BE41" i="1"/>
  <c r="BE42" i="1" s="1"/>
  <c r="BK43" i="1"/>
  <c r="BK41" i="1"/>
  <c r="BK42" i="1"/>
  <c r="V43" i="1"/>
  <c r="V41" i="1"/>
  <c r="V42" i="1" s="1"/>
  <c r="AA43" i="1"/>
  <c r="AA42" i="1"/>
  <c r="AA41" i="1"/>
  <c r="BH42" i="1"/>
  <c r="BH41" i="1"/>
  <c r="BH43" i="1"/>
  <c r="AW41" i="1"/>
  <c r="AW42" i="1" s="1"/>
  <c r="AW43" i="1"/>
  <c r="AU41" i="1"/>
  <c r="AU42" i="1"/>
  <c r="AU43" i="1"/>
  <c r="G42" i="1"/>
  <c r="G43" i="1"/>
  <c r="G41" i="1"/>
  <c r="AS41" i="1"/>
  <c r="AS42" i="1" s="1"/>
  <c r="AS43" i="1"/>
  <c r="L43" i="1"/>
  <c r="L41" i="1"/>
  <c r="L42" i="1" s="1"/>
  <c r="Z43" i="1"/>
  <c r="Z42" i="1"/>
  <c r="Z41" i="1"/>
  <c r="AN43" i="1"/>
  <c r="AN41" i="1"/>
  <c r="AN42" i="1" s="1"/>
  <c r="F43" i="1"/>
  <c r="F41" i="1"/>
  <c r="F42" i="1" s="1"/>
  <c r="D43" i="1"/>
  <c r="D41" i="1"/>
  <c r="D42" i="1" s="1"/>
  <c r="E43" i="1"/>
  <c r="E41" i="1"/>
  <c r="E42" i="1" s="1"/>
  <c r="BA43" i="1"/>
  <c r="BA41" i="1"/>
  <c r="BA42" i="1" s="1"/>
  <c r="P43" i="1"/>
  <c r="P41" i="1"/>
  <c r="P42" i="1" s="1"/>
  <c r="AE41" i="1"/>
  <c r="AE42" i="1" s="1"/>
  <c r="AE43" i="1"/>
  <c r="S43" i="1"/>
  <c r="S41" i="1"/>
  <c r="S42" i="1" s="1"/>
  <c r="AJ41" i="1"/>
  <c r="AJ42" i="1" s="1"/>
  <c r="AJ43" i="1"/>
  <c r="AZ43" i="1"/>
  <c r="AZ41" i="1"/>
  <c r="AZ42" i="1"/>
  <c r="AK42" i="1"/>
  <c r="AK43" i="1"/>
  <c r="BI43" i="1"/>
  <c r="E37" i="1"/>
  <c r="AI42" i="1"/>
  <c r="D38" i="1"/>
  <c r="BM3" i="1"/>
  <c r="BM44" i="1" s="1"/>
  <c r="Y41" i="1"/>
  <c r="Y42" i="1" s="1"/>
  <c r="AI43" i="1"/>
  <c r="BL44" i="1"/>
  <c r="W41" i="1"/>
  <c r="W42" i="1" s="1"/>
  <c r="U41" i="1"/>
  <c r="U42" i="1" s="1"/>
  <c r="BI41" i="1"/>
  <c r="BI42" i="1" s="1"/>
  <c r="Y37" i="1"/>
  <c r="BL35" i="1"/>
  <c r="X37" i="1"/>
  <c r="G37" i="1"/>
  <c r="T37" i="1"/>
  <c r="F37" i="1"/>
  <c r="S37" i="1"/>
  <c r="P37" i="1"/>
  <c r="AN37" i="1"/>
  <c r="V37" i="1"/>
  <c r="O37" i="1"/>
  <c r="AK37" i="1"/>
  <c r="H37" i="1"/>
  <c r="M37" i="1"/>
  <c r="AI37" i="1"/>
  <c r="L37" i="1"/>
  <c r="BC37" i="1"/>
  <c r="BM15" i="1"/>
  <c r="K37" i="1"/>
  <c r="AZ37" i="1"/>
  <c r="J37" i="1"/>
  <c r="AX37" i="1"/>
  <c r="AC37" i="1"/>
  <c r="Q37" i="1"/>
  <c r="AF37" i="1"/>
  <c r="AU37" i="1"/>
  <c r="AB37" i="1"/>
  <c r="AQ37" i="1"/>
  <c r="AE37" i="1"/>
  <c r="AT37" i="1"/>
  <c r="AA37" i="1"/>
  <c r="AP37" i="1"/>
  <c r="AD37" i="1"/>
  <c r="AS37" i="1"/>
  <c r="AO37" i="1"/>
  <c r="BD37" i="1"/>
  <c r="AR37" i="1"/>
  <c r="BK37" i="1"/>
  <c r="BB37" i="1"/>
  <c r="BJ37" i="1"/>
  <c r="AM37" i="1"/>
  <c r="N37" i="1"/>
  <c r="W37" i="1"/>
  <c r="AL37" i="1"/>
  <c r="BA37" i="1"/>
  <c r="BI37" i="1"/>
  <c r="BH37" i="1"/>
  <c r="U37" i="1"/>
  <c r="AJ37" i="1"/>
  <c r="AY37" i="1"/>
  <c r="BG37" i="1"/>
  <c r="BF37" i="1"/>
  <c r="AH37" i="1"/>
  <c r="AW37" i="1"/>
  <c r="BE37" i="1"/>
  <c r="I37" i="1"/>
  <c r="R37" i="1"/>
  <c r="AG37" i="1"/>
  <c r="AV37" i="1"/>
  <c r="Z38" i="1" l="1"/>
  <c r="AM39" i="1"/>
  <c r="AM38" i="1"/>
  <c r="AE38" i="1"/>
  <c r="AE39" i="1"/>
  <c r="BC38" i="1"/>
  <c r="BC39" i="1"/>
  <c r="T38" i="1"/>
  <c r="T39" i="1"/>
  <c r="U38" i="1"/>
  <c r="U39" i="1"/>
  <c r="AH38" i="1"/>
  <c r="AH39" i="1"/>
  <c r="BF38" i="1"/>
  <c r="BF39" i="1"/>
  <c r="BJ39" i="1"/>
  <c r="BJ38" i="1"/>
  <c r="AQ38" i="1"/>
  <c r="AQ39" i="1"/>
  <c r="L39" i="1"/>
  <c r="L38" i="1"/>
  <c r="G38" i="1"/>
  <c r="G39" i="1"/>
  <c r="BG38" i="1"/>
  <c r="BG39" i="1"/>
  <c r="BB39" i="1"/>
  <c r="BB38" i="1"/>
  <c r="AB38" i="1"/>
  <c r="AB39" i="1"/>
  <c r="AI39" i="1"/>
  <c r="AI38" i="1"/>
  <c r="X39" i="1"/>
  <c r="X38" i="1"/>
  <c r="AY39" i="1"/>
  <c r="AY38" i="1"/>
  <c r="BK38" i="1"/>
  <c r="BK39" i="1"/>
  <c r="AU38" i="1"/>
  <c r="AU39" i="1"/>
  <c r="M38" i="1"/>
  <c r="M39" i="1"/>
  <c r="AR38" i="1"/>
  <c r="AR39" i="1"/>
  <c r="AF38" i="1"/>
  <c r="AF39" i="1"/>
  <c r="H38" i="1"/>
  <c r="H39" i="1"/>
  <c r="Y39" i="1"/>
  <c r="Y38" i="1"/>
  <c r="BD38" i="1"/>
  <c r="BD39" i="1"/>
  <c r="Q39" i="1"/>
  <c r="Q38" i="1"/>
  <c r="AK38" i="1"/>
  <c r="AK39" i="1"/>
  <c r="E39" i="1"/>
  <c r="E38" i="1"/>
  <c r="AV38" i="1"/>
  <c r="AV39" i="1"/>
  <c r="BH38" i="1"/>
  <c r="BH39" i="1"/>
  <c r="AO38" i="1"/>
  <c r="AO39" i="1"/>
  <c r="AC38" i="1"/>
  <c r="AC39" i="1"/>
  <c r="O39" i="1"/>
  <c r="O38" i="1"/>
  <c r="AG38" i="1"/>
  <c r="AG39" i="1"/>
  <c r="AX38" i="1"/>
  <c r="AX39" i="1"/>
  <c r="V38" i="1"/>
  <c r="V39" i="1"/>
  <c r="BI39" i="1"/>
  <c r="BI38" i="1"/>
  <c r="BA39" i="1"/>
  <c r="BA38" i="1"/>
  <c r="AD38" i="1"/>
  <c r="AD39" i="1"/>
  <c r="J39" i="1"/>
  <c r="J38" i="1"/>
  <c r="AN38" i="1"/>
  <c r="AN39" i="1"/>
  <c r="AL39" i="1"/>
  <c r="AL38" i="1"/>
  <c r="P39" i="1"/>
  <c r="P38" i="1"/>
  <c r="I39" i="1"/>
  <c r="I38" i="1"/>
  <c r="BE38" i="1"/>
  <c r="BE39" i="1"/>
  <c r="S38" i="1"/>
  <c r="S39" i="1"/>
  <c r="D46" i="1"/>
  <c r="AJ39" i="1"/>
  <c r="AJ38" i="1"/>
  <c r="AS38" i="1"/>
  <c r="AS39" i="1"/>
  <c r="R39" i="1"/>
  <c r="R38" i="1"/>
  <c r="AP38" i="1"/>
  <c r="AP39" i="1"/>
  <c r="AZ38" i="1"/>
  <c r="AZ39" i="1"/>
  <c r="W38" i="1"/>
  <c r="W39" i="1"/>
  <c r="AA38" i="1"/>
  <c r="AA39" i="1"/>
  <c r="K39" i="1"/>
  <c r="K38" i="1"/>
  <c r="AW38" i="1"/>
  <c r="AW39" i="1"/>
  <c r="N39" i="1"/>
  <c r="N38" i="1"/>
  <c r="AT38" i="1"/>
  <c r="AT39" i="1"/>
  <c r="BM35" i="1"/>
  <c r="F39" i="1"/>
  <c r="F38" i="1"/>
  <c r="D61" i="1" l="1"/>
  <c r="D60" i="1"/>
  <c r="D59" i="1"/>
  <c r="D62" i="1" l="1"/>
  <c r="E59" i="1" s="1"/>
  <c r="E60" i="1" l="1"/>
  <c r="E62" i="1"/>
  <c r="E57" i="1"/>
  <c r="E61" i="1"/>
  <c r="E56" i="1"/>
  <c r="E58" i="1"/>
</calcChain>
</file>

<file path=xl/sharedStrings.xml><?xml version="1.0" encoding="utf-8"?>
<sst xmlns="http://schemas.openxmlformats.org/spreadsheetml/2006/main" count="256" uniqueCount="138">
  <si>
    <t>Timestamp</t>
  </si>
  <si>
    <t>Score</t>
  </si>
  <si>
    <t>Nama Lengkap</t>
  </si>
  <si>
    <t>Komputer adalah peralatan elektronik yang menerima masukan data, mengolah data, dan memberikan hasil keluaran dalam bentuk informasi, baik itu berupa gambar, teks, suara, maupun video. 
Berdasarkan kalimat di atas, manakah pernyataan yang paling tepat mengenai fungsi komputer?</t>
  </si>
  <si>
    <t>Mengambil informasi, menyimpan informasi, mengolah informasi, dan mengeluarkan hasil informasi merupakan empat kerja utama dalam sistem komputer.
Berdasarkan kalimat di atas, manakah pernyataan yang paling tepat mengenai empat kerja utama sistem komputer?</t>
  </si>
  <si>
    <t>Berikut yang merupakan bagian-bagian dari sistem komputer yaitu?</t>
  </si>
  <si>
    <t>Komponen penting dalam sistem komputer yang bertugas untuk mengirimkan data ke perangkat luar atau ke lingkungan lainnya adalah</t>
  </si>
  <si>
    <t>Komputer pertama yang dikembangkan bernama ENIAC (Electronic Numerical Integrator and Computer). Komputer ini dikembangkan pada tahun 1946 dengan tujuan militer, yaitu untuk membantu menghitung tabel tembakan senjata. Kata “komputer” berasal dari kata “to compute” yang bermakna?</t>
  </si>
  <si>
    <t>Kapasitas penyimpanan data pada komputer zaman dulu jauh lebih kecil dibandingkan komputer zaman sekarang.
Pernyataan berikut yang paling tepat untuk menggambarkan perbedaan tersebut adalah</t>
  </si>
  <si>
    <t>Apa yang dimaksud dengan perangkat keras komputer (Hardware)?</t>
  </si>
  <si>
    <t>Berdasarkan gambar di bawah ini, manakah jawaban yang paling tepat untuk perangkat tersebut?</t>
  </si>
  <si>
    <t>Manakah yang BUKAN termasuk bagian perangkat keras (Hardware) pada komputer?</t>
  </si>
  <si>
    <t>Motherboard atau dikenal sebagai papan induk atau papan sirkuit adalah komponen utama dalam sebuah komputer. Peran utama dari Motherboard dalam sebuah komputer adalah</t>
  </si>
  <si>
    <t>Mouse, Keyboard, dan Joystick merupakan perangkat keras komputer yang digunakan untuk memasukkan data dan instruksi ke dalam komputer.
Berdasarkan informasi di atas, manakah pernyataan yang paling tepat untuk perangkat keras tersebut?</t>
  </si>
  <si>
    <t>Penyimpanan yang dapat diakses langsung oleh CPU. Lalu CPU membaca instruksi yang disimpan di sana dan menjalankannya sesuai kebutuhan. Penyimpanan yang melakukan instruksi ini disebut?</t>
  </si>
  <si>
    <t>Penyimpanan yang digunakan untuk menyimpan program dan data yang tidak sedang digunakan dalam proses aktif pada suatu waktu. Perangkat ini biasanya terletak di luar atau terpisah dari memori utama. Penyimpanan yang melakukan instruksi ini disebut?</t>
  </si>
  <si>
    <t>Adit merupakan seorang teknisi di sebuah Service Center komputer di kota Bandung. Annisa merupakan teman Adit yang ingin melakukan perbaikan terhadap komputernya.  Jika komputer Annisa tidak bisa hidup dan tidak memiliki daya. Komponen mana yang harus Adit periksa dan perbaiki?</t>
  </si>
  <si>
    <t>Rina merupakan seorang editor video di sebuah perusahaan digital. Ia tidak pernah terlepas dari yang namanya proses editing. Suatu hari Rina merasakan kecepatan export videonya terasa lambat, bahkan seringkali mati tiba-tiba. Anthon teman kerja Rina menyarankan Rina untuk meningkatkan perangkat keras pada komputer Rina.
Berdasarkan persoalan diatas, komponen apa yang seharusnya Rina tingkatkan agar proses editing videonya jadi lebih baik?</t>
  </si>
  <si>
    <t>Suatu hari, Rafael pergi ke sebuah toko sparepart komputer untuk membeli Hardisk (HDD) komputernya yang sedang rusak. Namun, setelah tiba di toko sparepart komputer. pegawai toko tersebut menyarankan Rafael untuk menggunakan Solid State Drive (SSD).
Berdasarkan persoalan di atas, manakah perbedaan Hardisk dan Solid State Drive yang paling tepat untuk perangkat keras tersebut?</t>
  </si>
  <si>
    <t>Saya merupakan komponen yang berfungsi sebagai alat untuk menampilkan hasil dari proses yang dilakukan oleh sebuah processor. Saya memainkan peran penting dalam menampilkan informasi kepada pengguna setelah data diproses oleh CPU.
Berdasarkan kalimat di atas, manakah pernyataan yang paling tepat untuk menggambarkan siapa “saya”?</t>
  </si>
  <si>
    <t>Andi merupakan seorang siswa yang senang menonton film sejarah dinosaurus. Ia suka mengunduh berbagai film dinosaurus. Hingga suatu saat komputer Andi tidak bisa menyimpan film maupun file di komputernya.
Berdasarkan permasalahan di atas, apa yang seharusnya Andi lakukan agar bisa kembali menyimpan film dinosaurus dan file di komputernya?</t>
  </si>
  <si>
    <t>Manakah yang BUKAN termasuk jenis perangkat lunak (Software)?</t>
  </si>
  <si>
    <t>Perangkat lunak terbagi menjadi beberapa bagian.
Berdasarkan informasi di atas, manakah jawaban yang tepat untuk menyebutkan bagian-bagian tersebut?</t>
  </si>
  <si>
    <t>Dalam perakitan komputer, komputer memerlukan pemasangan beberapa komponen perangkat keras maupun perangkat lunak. Perangkat lunak yang pertama kali dipasang dalam sebuah komputer yaitu?</t>
  </si>
  <si>
    <t>Contoh sistem operasi komputer yang populer adalah</t>
  </si>
  <si>
    <t xml:space="preserve">Sistem operasi adalah perangkat lunak yang mendasar dan penting dalam sebuah komputer yang mengelola semua sumber daya perangkat keras dan perangkat lunak. Fungsi utama dari sistem operasi adalah? </t>
  </si>
  <si>
    <t xml:space="preserve">Program aplikasi adalah perangkat lunak yang dirancang untuk membantu pengguna melakukan tugas-tugas tertentu. Fungsi utama dari program aplikasi adalah? </t>
  </si>
  <si>
    <t xml:space="preserve">Apa yang dimaksud dengan perangkat lunak komputer (Software)? </t>
  </si>
  <si>
    <t xml:space="preserve">Sistem operasi dan program aplikasi adalah dua komponen penting dalam sebuah komputer. Meskipun sama-sama perangkat lunak, keduanya memiliki fungsi dan karakteristik yang berbeda.
Berdasarkan informasi di atas, apa yang membedakan sistem operasi dengan program aplikasi? </t>
  </si>
  <si>
    <t>Program aplikasi merupakan perangkat lunak yang diciptakan dengan tujuan meningkatkan produktivitas pengguna. Umumnya, program aplikasi ini bertanggung jawab atas pemrosesan informasi bagi pengguna.
Berdasarkan pengertian di atas, apa alasan yang tepat untuk menjawab mengapa program aplikasi meningkatkan produktivitas pengguna dan bertanggung jawab atas pemrosesan informasi bagi pengguna?</t>
  </si>
  <si>
    <t>Bagaimana perangkat lunak (software) mengendalikan proses kerja perangkat keras (hardware) dalam sebuah sistem komputer?</t>
  </si>
  <si>
    <t>Jika sebuah sistem komputer diibaratkan manusia, perangkat keras adalah “otak” dan perangkat lunak adalah “pikiran”.
Berdasarkan informasi di atas, mengapa analogi tersebut menjelaskan hubungan antara perangkat keras dan perangkat lunak dalam sistem komputer?</t>
  </si>
  <si>
    <t>Seorang pengguna mengeluh bahwa perangkat mouse yang dimilikinya sering tidak responsif atau bahkan tidak bisa digunakan. Namun setelah diperiksa tempat kejadian menunjukkan bahwa permukaan tempat mouse digunakan bersih dan tidak bermasalah.
Berdasarkan informasi di atas, apa penyebab lain yang harus diperiksa?</t>
  </si>
  <si>
    <t>Tanpa adanya perangkat lunak, kinerja optimal dari perangkat keras yang telah dibuat tidak akan dapat dicapai atau dimanfaatkan sepenuhnya.
Berdasarkan informasi di atas, apa alasan yang paling tepat untuk menjelaskan pentingnya perangkat lunak untuk mencapai kinerja optimal dari perangkat keras?</t>
  </si>
  <si>
    <t>Apa yang dimaksud dengan pengguna (Brainware)?</t>
  </si>
  <si>
    <t xml:space="preserve">Berdasarkan tingkat pengoperasian komputer, brainware digolongkan menjadi beberapa bagian yaitu, kecuali? </t>
  </si>
  <si>
    <t>Orang yang menguasai berbagai macam bahasa pemrograman sehingga ia mampu menciptakan sebuah program komputer
Berdasarkan kalimat di atas, manakah jawaban yang paling tepat untuk menggambarkan kalimat di atas?</t>
  </si>
  <si>
    <t>Orang yang bertanggung jawab dalam merencanakan, menentukan, serta memberikan rekomendasi sistem atau software yang cocok untuk kebutuhan bisnis perusahaan.
Berdasarkan kalimat di atas, manakah jawaban yang paling tepat untuk menggambarkan kalimat di atas?</t>
  </si>
  <si>
    <t>Orang yang bertanggung jawab mengatur serta mengendalikan program komputer dan jaringan komputer.
Berdasarkan kalimat di atas, manakah jawaban yang paling tepat untuk menggambarkan kalimat di atas?</t>
  </si>
  <si>
    <t>Orang yang bertanggung jawab memelihara komponen hardware memperbaiki jika ada kerusakan hardware dalam sistem komputer.
Berdasarkan kalimat di atas, manakah jawaban yang paling tepat untuk menggambarkan kalimat di atas?</t>
  </si>
  <si>
    <t>Ridho memiliki ide untuk membuat aplikasi yang membantu siswa lain dalam mengorganisir waktu belajar mereka. Namun, setelah mengujicobakan aplikasi tersebut, sebagian besar siswa merasa kesulitan menggunakannya.
Berdasarkan informasi di atas, apa yang seharusnya siswa tersebut lakukan?</t>
  </si>
  <si>
    <t>Peran brainware dalam sistem informasi manajemen sangat penting.
Bagaimana brainware dapat memengaruhi efektivitas suatu sistem informasi manajemen?</t>
  </si>
  <si>
    <t>Brainware termasuk bagian penting dari sebuah sistem komputer. Hardware komputer tidak akan dapat bekerja tanpa adanya software, lalu software dan hardware tidak akan bekerja tanpa adanya brainware.
Berdasarkan kalimat di atas, manakah pernyataan yang paling tepat mengenai keterkaitan antara brainware, hardware, dan software dalam sebuah sistem komputer?</t>
  </si>
  <si>
    <t>Tanpa adanya pengguna, kinerja optimal dari perangkat keras yang telah dibuat tidak akan dapat dicapai atau dimanfaatkan sepenuhnya.
Berdasarkan informasi di atas, manakah alasan yang paling tepat untuk menjelaskan mengapa kinerja optimal perangkat keras tidak dapat dicapai tanpa adanya pengguna?</t>
  </si>
  <si>
    <t>Apa yang seringkali digunakan untuk menghubungkan perangkat satu dengan perangkat lainnya?</t>
  </si>
  <si>
    <t>Komponen apa yang dapat ditambahkan setelah menghubungkan Input Device dan Output Device melalui interaksi antarmuka?</t>
  </si>
  <si>
    <t>Desain antarmuka pada sistem komputer adalah proses merancang tata letak dan interaksi visual yang memungkinkan pengguna untuk berinteraksi dengan perangkat lunak atau perangkat keras komputer secara efektif dan efisien. 
Tujuan utama dari desain antarmuka yang baik adalah</t>
  </si>
  <si>
    <t>Peran utama dari interaksi antarmuka dalam konteks perangkat komputer adalah?</t>
  </si>
  <si>
    <t>Seorang teknisi ingin memastikan bahwa semua perangkat keras di komputer bekerja dengan baik. Langkah mana yang seharusnya dilakukan teknisi tersebut terlebih dahulu?</t>
  </si>
  <si>
    <t>Berbagai macam jenis interaksi dapat dilakukan oleh pengguna dengan sistem komputer, di antaranya sebagai berikut yaitu?</t>
  </si>
  <si>
    <t>Seorang pengguna ingin menambahkan aplikasi baru pada sistem operasinya.
Langkah pertama yang harus dilakukan pengguna tersebut berdasarkan kalimat di atas adalah</t>
  </si>
  <si>
    <t>Interaksi antarmuka seringkali digunakan untuk menghubungkan perangkat satu dengan perangkat lainnya, mulai dari perangkat masukan dan keluaran yang dikendalikan oleh sistem operasi, dan kemudian dapat ditambahkan berbagai aplikasi yang dapat dipakai oleh pengguna.
Berdasarkan kalimat di atas, manakah dari berikut ini yang merupakan contoh dari perangkat yang dikendalikan oleh sistem operasi melalui interaksi antarmuka?</t>
  </si>
  <si>
    <t>Hubungan antara manusia, komputer, dan interaksinya itu sendiri adalah serangkaian proses serta kegiatan yang dilakukan oleh manusia untuk berinteraksi dengan komputer secara interaktif untuk dapat melaksanakan serta menyelesaikan tugas yang diinginkan.
Berdasarkan informasi di atas, manakah pernyataan berikut yang paling tepat menjelaskan hubungan antara manusia, komputer, dan interaksinya?</t>
  </si>
  <si>
    <t>Interaksi antara pengguna dengan sistem melibatkan tiga komponen utama: pengguna, sistem, dan interaksi itu sendiri.
Jika Anda diminta untuk mengevaluasi efektifitas sebuah sistem interaktif baru yang diperkenalkan dalam sebuah perusahaan, tindakan mana yang paling sesuai untuk dilakukan?</t>
  </si>
  <si>
    <t>Manakah dari berikut ini yang paling tepat menggambarkan pengertian dari kolaborasi sistem komputer?</t>
  </si>
  <si>
    <t>Sebuah tim IT diminta untuk mengimplementasikan sistem kolaborasi yang memungkinkan berbagi dokumen secara real-time (langsung). Perangkat lunak mana yang paling cocok untuk memenuhi kebutuhan ini?</t>
  </si>
  <si>
    <t>Bentuk kolaborasi antar perangkat di dalam sebuah sistem komputer dapat dilihat dari cara kerja komputer.
Pernyataan berikut yang paling tepat untuk menggambarkan kolaborasi tersebut adalah</t>
  </si>
  <si>
    <t>Maya merupakan seorang penulis. Suatu hari, Maya duduk di depan komputernya. Setiap kali dia mengetik di keyboard, monitor dengan setia menampilkan kata-kata yang Maya ketik. Mereka bekerja sama untuk menciptakan tulisan-tulisan Maya dengan lancar dan jelas. Kolaborasi antara keyboard dan monitor membuat Maya dapat menyelesaikan pekerjaannya dengan efisien.
Berdasarkan informasi di atas, bagaimana pola kolaborasi sistem komputer tersebut?</t>
  </si>
  <si>
    <t>Kolaborasi sistem komputer berupa Software dengan software yaitu</t>
  </si>
  <si>
    <t>Julia menjadi seorang operator pada sebuah acara seminar online. Pada akhir sesi, Julia mengambil tangkapan layar pada komputernya sebagai dokumentasi kegiatan dan kemudian hasilnya akan dicetak menggunakan printer.
Berdasarkan informasi di atas, bagaimana pola kolaborasi sistem komputer tersebut?</t>
  </si>
  <si>
    <t>alka aditya rahman</t>
  </si>
  <si>
    <t>Nadien Naura Azzahra</t>
  </si>
  <si>
    <t>Geubrina Syahira</t>
  </si>
  <si>
    <t xml:space="preserve">Desita Putri Salim </t>
  </si>
  <si>
    <t xml:space="preserve">Nastiti Sekar Ningtyas </t>
  </si>
  <si>
    <t xml:space="preserve">Sultan Yusuf Pratama </t>
  </si>
  <si>
    <t>Adinda Dhiya Aprilia</t>
  </si>
  <si>
    <t>Widia Kartika Gandhi</t>
  </si>
  <si>
    <t xml:space="preserve">Viska Ramadhania Gunawan </t>
  </si>
  <si>
    <t xml:space="preserve">Firyal Zalfa Nailah Arifah </t>
  </si>
  <si>
    <t>Sitorus, Rani Rianti</t>
  </si>
  <si>
    <t>Neisha Nathalia Ammanda</t>
  </si>
  <si>
    <t>Zahra Dwikha Putri</t>
  </si>
  <si>
    <t>Rivana Ramadhani</t>
  </si>
  <si>
    <t xml:space="preserve">Fadhlul Aziz Furqan </t>
  </si>
  <si>
    <t>Rahma Amalia Putri</t>
  </si>
  <si>
    <t xml:space="preserve">Abdah Latifah </t>
  </si>
  <si>
    <t>Ammara Zahra Aziza</t>
  </si>
  <si>
    <t>Rangga Maldini Pratama</t>
  </si>
  <si>
    <t xml:space="preserve">Suci Amalia Ramdhani </t>
  </si>
  <si>
    <t>Nabila Ayesha</t>
  </si>
  <si>
    <t>Putri Nabila</t>
  </si>
  <si>
    <t>Luthfi Akmal Prajadinata</t>
  </si>
  <si>
    <t>nayla avriliya</t>
  </si>
  <si>
    <t xml:space="preserve">Rizky Widihartomo </t>
  </si>
  <si>
    <t xml:space="preserve">Adam Duta Iskandar </t>
  </si>
  <si>
    <t>Tyara khairani aahari</t>
  </si>
  <si>
    <t>Annisa Fauziyyah</t>
  </si>
  <si>
    <t>Kafa Billahi Syahid</t>
  </si>
  <si>
    <t>Mochamad Abhierama Firzatulloh</t>
  </si>
  <si>
    <t>keizia diandra</t>
  </si>
  <si>
    <t>Kalila Permata Putri</t>
  </si>
  <si>
    <t>Fauzi sangat suka bermain game di komputernya. Suatu saat, Fauzi menambahkan permainan baru yang sedang 1ai dimainkan teman sekelasnya. Namun, setelah dipasang dan dimainkan ternyata terdapat masalah, yaitu game yang dimainkan terasa berat dan patah-patah.
Berdasarkan persoalan diatas, komponen apa yang seharusnya Fauzi tingkatkan agar pengalaman bermain game nya jadi lebih baik?</t>
  </si>
  <si>
    <t>HASIL</t>
  </si>
  <si>
    <t>HASIL^2</t>
  </si>
  <si>
    <t>JAWABAN BENAR</t>
  </si>
  <si>
    <t>R TABEL</t>
  </si>
  <si>
    <t>R HITUNG</t>
  </si>
  <si>
    <t>KETERANGAN</t>
  </si>
  <si>
    <t>INTERPRETASI</t>
  </si>
  <si>
    <t>P</t>
  </si>
  <si>
    <t>Q</t>
  </si>
  <si>
    <t>P*Q</t>
  </si>
  <si>
    <t>VARIANS</t>
  </si>
  <si>
    <t>JUMLAH VARIANS</t>
  </si>
  <si>
    <t>KR20</t>
  </si>
  <si>
    <t>DAYA PEMBEDA</t>
  </si>
  <si>
    <t>JUMLAH</t>
  </si>
  <si>
    <t>jelek</t>
  </si>
  <si>
    <t>cukup</t>
  </si>
  <si>
    <t>baik</t>
  </si>
  <si>
    <t>sangat baik</t>
  </si>
  <si>
    <t>VALID</t>
  </si>
  <si>
    <t>KURANG VALID</t>
  </si>
  <si>
    <t>TIDAK VALID</t>
  </si>
  <si>
    <t>8 TERATAS</t>
  </si>
  <si>
    <t>8 TERBAWAH</t>
  </si>
  <si>
    <t>Rendah</t>
  </si>
  <si>
    <t>Sangat Rendah</t>
  </si>
  <si>
    <t>Cukup Tinggi</t>
  </si>
  <si>
    <t>Tinggi</t>
  </si>
  <si>
    <t>Sangat Baik</t>
  </si>
  <si>
    <t>Tidak Valid</t>
  </si>
  <si>
    <t>Kriteria</t>
  </si>
  <si>
    <t>Jumlah Butir</t>
  </si>
  <si>
    <t>Persentase</t>
  </si>
  <si>
    <t>Total</t>
  </si>
  <si>
    <t>Sangat Tinggi</t>
  </si>
  <si>
    <t>Uji Validitas</t>
  </si>
  <si>
    <t>Kesukaran</t>
  </si>
  <si>
    <t>MUDAH</t>
  </si>
  <si>
    <t>SEDANG</t>
  </si>
  <si>
    <t>SUKAR</t>
  </si>
  <si>
    <t>TOTAL</t>
  </si>
  <si>
    <t>Daya Pembeda</t>
  </si>
  <si>
    <t>Jelek</t>
  </si>
  <si>
    <t>Cukup</t>
  </si>
  <si>
    <t>Baik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</si>
</sst>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h:mm:ss"/>
    <numFmt numFmtId="165" formatCode="0&quot; / 60&quot;"/>
    <numFmt numFmtId="169" formatCode="0.0%"/>
    <numFmt numFmtId="178" formatCode="0.000"/>
  </numFmts>
  <fonts count="5" x14ac:knownFonts="1">
    <font>
      <sz val="10"/>
      <color rgb="FF000000"/>
      <name val="Arial"/>
      <scheme val="minor"/>
    </font>
    <font>
      <sz val="10"/>
      <color theme="1"/>
      <name val="Arial"/>
      <family val="2"/>
      <scheme val="minor"/>
    </font>
    <font>
      <sz val="10"/>
      <color rgb="FF000000"/>
      <name val="Times New Roman"/>
      <family val="1"/>
    </font>
    <font>
      <sz val="10"/>
      <color rgb="FF000000"/>
      <name val="Arial"/>
      <family val="2"/>
      <scheme val="minor"/>
    </font>
    <font>
      <sz val="10"/>
      <color theme="1"/>
      <name val="Arial"/>
      <family val="2"/>
      <scheme val="minor"/>
    </font>
  </fonts>
  <fills count="6">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7" tint="0.39997558519241921"/>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0" xfId="0" applyFont="1"/>
    <xf numFmtId="164" fontId="1" fillId="0" borderId="0" xfId="0" applyNumberFormat="1" applyFont="1"/>
    <xf numFmtId="165" fontId="1" fillId="0" borderId="0" xfId="0" applyNumberFormat="1" applyFont="1"/>
    <xf numFmtId="0" fontId="1" fillId="0" borderId="0" xfId="0" applyFont="1" applyAlignment="1">
      <alignment wrapText="1"/>
    </xf>
    <xf numFmtId="0" fontId="2" fillId="0" borderId="0" xfId="0" applyFont="1" applyAlignment="1">
      <alignment vertical="center" wrapText="1"/>
    </xf>
    <xf numFmtId="0" fontId="1" fillId="2" borderId="0" xfId="0" applyFont="1" applyFill="1"/>
    <xf numFmtId="0" fontId="0" fillId="2" borderId="0" xfId="0" applyFill="1"/>
    <xf numFmtId="0" fontId="1" fillId="3" borderId="0" xfId="0" applyFont="1" applyFill="1"/>
    <xf numFmtId="0" fontId="0" fillId="3" borderId="0" xfId="0" applyFill="1"/>
    <xf numFmtId="0" fontId="3" fillId="0" borderId="0" xfId="0" applyFont="1"/>
    <xf numFmtId="0" fontId="4" fillId="0" borderId="0" xfId="0" applyFont="1"/>
    <xf numFmtId="0" fontId="0" fillId="4" borderId="0" xfId="0" applyFill="1"/>
    <xf numFmtId="0" fontId="0" fillId="5" borderId="0" xfId="0" applyFill="1"/>
    <xf numFmtId="0" fontId="1" fillId="0" borderId="1" xfId="0" applyFont="1" applyBorder="1"/>
    <xf numFmtId="0" fontId="0" fillId="0" borderId="1" xfId="0" applyBorder="1"/>
    <xf numFmtId="0" fontId="1" fillId="0" borderId="1" xfId="0" applyFont="1" applyFill="1" applyBorder="1"/>
    <xf numFmtId="169" fontId="0" fillId="0" borderId="1" xfId="0" applyNumberFormat="1" applyBorder="1"/>
    <xf numFmtId="0" fontId="1" fillId="0" borderId="2" xfId="0" applyFont="1" applyFill="1" applyBorder="1"/>
    <xf numFmtId="0" fontId="0" fillId="0" borderId="2" xfId="0" applyBorder="1"/>
    <xf numFmtId="169" fontId="0" fillId="0" borderId="2" xfId="0" applyNumberFormat="1" applyBorder="1"/>
    <xf numFmtId="0" fontId="0" fillId="2" borderId="1" xfId="0" applyFill="1" applyBorder="1"/>
    <xf numFmtId="0" fontId="1" fillId="2" borderId="1" xfId="0" applyFont="1" applyFill="1" applyBorder="1"/>
    <xf numFmtId="178" fontId="0" fillId="0" borderId="0" xfId="0" applyNumberFormat="1"/>
    <xf numFmtId="0" fontId="0" fillId="0" borderId="0" xfId="0" applyBorder="1"/>
    <xf numFmtId="169" fontId="0" fillId="0" borderId="0"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M75"/>
  <sheetViews>
    <sheetView tabSelected="1" zoomScale="74" zoomScaleNormal="74" workbookViewId="0">
      <pane ySplit="1" topLeftCell="A32" activePane="bottomLeft" state="frozen"/>
      <selection pane="bottomLeft" activeCell="D48" sqref="D48"/>
    </sheetView>
  </sheetViews>
  <sheetFormatPr defaultColWidth="12.6640625" defaultRowHeight="15.75" customHeight="1" x14ac:dyDescent="0.25"/>
  <cols>
    <col min="1" max="63" width="18.88671875" customWidth="1"/>
    <col min="64" max="64" width="18.88671875" style="7" customWidth="1"/>
    <col min="65" max="65" width="18.88671875" style="9" customWidth="1"/>
    <col min="66" max="69" width="18.88671875" customWidth="1"/>
  </cols>
  <sheetData>
    <row r="1" spans="1:65" ht="36.6" customHeight="1" x14ac:dyDescent="0.25">
      <c r="A1" s="1" t="s">
        <v>0</v>
      </c>
      <c r="B1" s="1" t="s">
        <v>1</v>
      </c>
      <c r="C1" s="1" t="s">
        <v>2</v>
      </c>
      <c r="D1" s="1" t="s">
        <v>3</v>
      </c>
      <c r="E1" s="1" t="s">
        <v>4</v>
      </c>
      <c r="F1" s="1" t="s">
        <v>5</v>
      </c>
      <c r="G1" s="1" t="s">
        <v>6</v>
      </c>
      <c r="H1" s="1" t="s">
        <v>7</v>
      </c>
      <c r="I1" s="1" t="s">
        <v>8</v>
      </c>
      <c r="J1" s="1" t="s">
        <v>9</v>
      </c>
      <c r="K1" s="1" t="s">
        <v>10</v>
      </c>
      <c r="L1" s="1" t="s">
        <v>10</v>
      </c>
      <c r="M1" s="1" t="s">
        <v>10</v>
      </c>
      <c r="N1" s="1" t="s">
        <v>11</v>
      </c>
      <c r="O1" s="1" t="s">
        <v>12</v>
      </c>
      <c r="P1" s="1" t="s">
        <v>13</v>
      </c>
      <c r="Q1" s="1" t="s">
        <v>14</v>
      </c>
      <c r="R1" s="1" t="s">
        <v>15</v>
      </c>
      <c r="S1" s="1" t="s">
        <v>16</v>
      </c>
      <c r="T1" s="4" t="s">
        <v>92</v>
      </c>
      <c r="U1" s="1" t="s">
        <v>17</v>
      </c>
      <c r="V1" s="4"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4" t="s">
        <v>42</v>
      </c>
      <c r="AU1" s="1" t="s">
        <v>43</v>
      </c>
      <c r="AV1" s="1" t="s">
        <v>44</v>
      </c>
      <c r="AW1" s="1" t="s">
        <v>45</v>
      </c>
      <c r="AX1" s="1" t="s">
        <v>46</v>
      </c>
      <c r="AY1" s="1" t="s">
        <v>47</v>
      </c>
      <c r="AZ1" s="1" t="s">
        <v>48</v>
      </c>
      <c r="BA1" s="1" t="s">
        <v>49</v>
      </c>
      <c r="BB1" s="1" t="s">
        <v>50</v>
      </c>
      <c r="BC1" s="1" t="s">
        <v>51</v>
      </c>
      <c r="BD1" s="4" t="s">
        <v>52</v>
      </c>
      <c r="BE1" s="1" t="s">
        <v>53</v>
      </c>
      <c r="BF1" s="1" t="s">
        <v>54</v>
      </c>
      <c r="BG1" s="1" t="s">
        <v>55</v>
      </c>
      <c r="BH1" s="1" t="s">
        <v>56</v>
      </c>
      <c r="BI1" s="4" t="s">
        <v>57</v>
      </c>
      <c r="BJ1" s="1" t="s">
        <v>58</v>
      </c>
      <c r="BK1" s="4" t="s">
        <v>59</v>
      </c>
      <c r="BL1" s="6" t="s">
        <v>93</v>
      </c>
      <c r="BM1" s="8" t="s">
        <v>94</v>
      </c>
    </row>
    <row r="2" spans="1:65" ht="13.2" x14ac:dyDescent="0.25">
      <c r="A2" s="2">
        <v>45434.384032233793</v>
      </c>
      <c r="B2" s="3">
        <v>20</v>
      </c>
      <c r="C2" s="1" t="s">
        <v>60</v>
      </c>
      <c r="D2" s="1">
        <v>1</v>
      </c>
      <c r="E2" s="1">
        <v>0</v>
      </c>
      <c r="F2" s="1">
        <v>0</v>
      </c>
      <c r="G2" s="1">
        <v>0</v>
      </c>
      <c r="H2" s="1">
        <v>1</v>
      </c>
      <c r="I2" s="1">
        <v>0</v>
      </c>
      <c r="J2" s="1">
        <v>0</v>
      </c>
      <c r="K2" s="1">
        <v>0</v>
      </c>
      <c r="L2" s="1">
        <v>1</v>
      </c>
      <c r="M2" s="1">
        <v>1</v>
      </c>
      <c r="N2" s="1">
        <v>0</v>
      </c>
      <c r="O2" s="1">
        <v>0</v>
      </c>
      <c r="P2" s="1">
        <v>0</v>
      </c>
      <c r="Q2" s="1">
        <v>0</v>
      </c>
      <c r="R2" s="1">
        <v>1</v>
      </c>
      <c r="S2" s="1">
        <v>1</v>
      </c>
      <c r="T2" s="1">
        <v>1</v>
      </c>
      <c r="U2" s="1">
        <v>1</v>
      </c>
      <c r="V2" s="1">
        <v>0</v>
      </c>
      <c r="W2" s="1">
        <v>0</v>
      </c>
      <c r="X2" s="1">
        <v>0</v>
      </c>
      <c r="Y2" s="1">
        <v>0</v>
      </c>
      <c r="Z2" s="1">
        <v>1</v>
      </c>
      <c r="AA2" s="1">
        <v>1</v>
      </c>
      <c r="AB2" s="1">
        <v>1</v>
      </c>
      <c r="AC2" s="1">
        <v>0</v>
      </c>
      <c r="AD2" s="1">
        <v>0</v>
      </c>
      <c r="AE2" s="1">
        <v>1</v>
      </c>
      <c r="AF2" s="1">
        <v>0</v>
      </c>
      <c r="AG2" s="1">
        <v>0</v>
      </c>
      <c r="AH2" s="1">
        <v>0</v>
      </c>
      <c r="AI2" s="1">
        <v>1</v>
      </c>
      <c r="AJ2" s="1">
        <v>0</v>
      </c>
      <c r="AK2" s="1">
        <v>0</v>
      </c>
      <c r="AL2" s="1">
        <v>0</v>
      </c>
      <c r="AM2" s="1">
        <v>0</v>
      </c>
      <c r="AN2" s="1">
        <v>1</v>
      </c>
      <c r="AO2" s="1">
        <v>0</v>
      </c>
      <c r="AP2" s="1">
        <v>0</v>
      </c>
      <c r="AQ2" s="1">
        <v>1</v>
      </c>
      <c r="AR2" s="1">
        <v>0</v>
      </c>
      <c r="AS2" s="1">
        <v>0</v>
      </c>
      <c r="AT2" s="1">
        <v>0</v>
      </c>
      <c r="AU2" s="1">
        <v>0</v>
      </c>
      <c r="AV2" s="1">
        <v>1</v>
      </c>
      <c r="AW2" s="1">
        <v>0</v>
      </c>
      <c r="AX2" s="1">
        <v>0</v>
      </c>
      <c r="AY2" s="1">
        <v>0</v>
      </c>
      <c r="AZ2" s="1">
        <v>0</v>
      </c>
      <c r="BA2" s="1">
        <v>0</v>
      </c>
      <c r="BB2" s="1">
        <v>1</v>
      </c>
      <c r="BC2" s="1">
        <v>1</v>
      </c>
      <c r="BD2" s="1">
        <v>0</v>
      </c>
      <c r="BE2" s="1">
        <v>0</v>
      </c>
      <c r="BF2" s="1">
        <v>0</v>
      </c>
      <c r="BG2" s="1">
        <v>0</v>
      </c>
      <c r="BH2" s="1">
        <v>1</v>
      </c>
      <c r="BI2" s="1">
        <v>0</v>
      </c>
      <c r="BJ2" s="1">
        <v>0</v>
      </c>
      <c r="BK2" s="1">
        <v>1</v>
      </c>
      <c r="BL2" s="7">
        <f>SUM(D2:BK2)</f>
        <v>20</v>
      </c>
      <c r="BM2" s="9">
        <f>BL2*BL2</f>
        <v>400</v>
      </c>
    </row>
    <row r="3" spans="1:65" ht="13.2" x14ac:dyDescent="0.25">
      <c r="A3" s="2">
        <v>45434.386339050921</v>
      </c>
      <c r="B3" s="3">
        <v>41</v>
      </c>
      <c r="C3" s="1" t="s">
        <v>61</v>
      </c>
      <c r="D3" s="1">
        <v>1</v>
      </c>
      <c r="E3" s="1">
        <v>1</v>
      </c>
      <c r="F3" s="1">
        <v>1</v>
      </c>
      <c r="G3" s="1">
        <v>1</v>
      </c>
      <c r="H3" s="1">
        <v>1</v>
      </c>
      <c r="I3" s="1">
        <v>1</v>
      </c>
      <c r="J3" s="1">
        <v>1</v>
      </c>
      <c r="K3" s="1">
        <v>0</v>
      </c>
      <c r="L3" s="1">
        <v>1</v>
      </c>
      <c r="M3" s="1">
        <v>1</v>
      </c>
      <c r="N3" s="1">
        <v>0</v>
      </c>
      <c r="O3" s="1">
        <v>1</v>
      </c>
      <c r="P3" s="1">
        <v>1</v>
      </c>
      <c r="Q3" s="1">
        <v>1</v>
      </c>
      <c r="R3" s="1">
        <v>1</v>
      </c>
      <c r="S3" s="1">
        <v>1</v>
      </c>
      <c r="T3" s="1">
        <v>1</v>
      </c>
      <c r="U3" s="1">
        <v>1</v>
      </c>
      <c r="V3" s="1">
        <v>1</v>
      </c>
      <c r="W3" s="1">
        <v>0</v>
      </c>
      <c r="X3" s="1">
        <v>0</v>
      </c>
      <c r="Y3" s="1">
        <v>1</v>
      </c>
      <c r="Z3" s="1">
        <v>1</v>
      </c>
      <c r="AA3" s="1">
        <v>1</v>
      </c>
      <c r="AB3" s="1">
        <v>0</v>
      </c>
      <c r="AC3" s="1">
        <v>0</v>
      </c>
      <c r="AD3" s="1">
        <v>0</v>
      </c>
      <c r="AE3" s="1">
        <v>1</v>
      </c>
      <c r="AF3" s="1">
        <v>1</v>
      </c>
      <c r="AG3" s="1">
        <v>1</v>
      </c>
      <c r="AH3" s="1">
        <v>1</v>
      </c>
      <c r="AI3" s="1">
        <v>0</v>
      </c>
      <c r="AJ3" s="1">
        <v>1</v>
      </c>
      <c r="AK3" s="1">
        <v>1</v>
      </c>
      <c r="AL3" s="1">
        <v>1</v>
      </c>
      <c r="AM3" s="1">
        <v>0</v>
      </c>
      <c r="AN3" s="1">
        <v>1</v>
      </c>
      <c r="AO3" s="1">
        <v>0</v>
      </c>
      <c r="AP3" s="1">
        <v>0</v>
      </c>
      <c r="AQ3" s="1">
        <v>1</v>
      </c>
      <c r="AR3" s="1">
        <v>0</v>
      </c>
      <c r="AS3" s="1">
        <v>0</v>
      </c>
      <c r="AT3" s="1">
        <v>1</v>
      </c>
      <c r="AU3" s="1">
        <v>0</v>
      </c>
      <c r="AV3" s="1">
        <v>0</v>
      </c>
      <c r="AW3" s="1">
        <v>0</v>
      </c>
      <c r="AX3" s="1">
        <v>1</v>
      </c>
      <c r="AY3" s="1">
        <v>1</v>
      </c>
      <c r="AZ3" s="1">
        <v>1</v>
      </c>
      <c r="BA3" s="1">
        <v>1</v>
      </c>
      <c r="BB3" s="1">
        <v>1</v>
      </c>
      <c r="BC3" s="1">
        <v>1</v>
      </c>
      <c r="BD3" s="1">
        <v>0</v>
      </c>
      <c r="BE3" s="1">
        <v>1</v>
      </c>
      <c r="BF3" s="1">
        <v>1</v>
      </c>
      <c r="BG3" s="1">
        <v>1</v>
      </c>
      <c r="BH3" s="1">
        <v>1</v>
      </c>
      <c r="BI3" s="1">
        <v>0</v>
      </c>
      <c r="BJ3" s="1">
        <v>0</v>
      </c>
      <c r="BK3" s="1">
        <v>1</v>
      </c>
      <c r="BL3" s="7">
        <f t="shared" ref="BL3:BL33" si="0">SUM(D3:BK3)</f>
        <v>41</v>
      </c>
      <c r="BM3" s="9">
        <f t="shared" ref="BM3:BM33" si="1">BL3*BL3</f>
        <v>1681</v>
      </c>
    </row>
    <row r="4" spans="1:65" ht="13.2" x14ac:dyDescent="0.25">
      <c r="A4" s="2">
        <v>45434.387413761579</v>
      </c>
      <c r="B4" s="3">
        <v>44</v>
      </c>
      <c r="C4" s="1" t="s">
        <v>62</v>
      </c>
      <c r="D4" s="1">
        <v>1</v>
      </c>
      <c r="E4" s="1">
        <v>0</v>
      </c>
      <c r="F4" s="1">
        <v>1</v>
      </c>
      <c r="G4" s="1">
        <v>1</v>
      </c>
      <c r="H4" s="1">
        <v>1</v>
      </c>
      <c r="I4" s="1">
        <v>1</v>
      </c>
      <c r="J4" s="1">
        <v>1</v>
      </c>
      <c r="K4" s="1">
        <v>0</v>
      </c>
      <c r="L4" s="1">
        <v>0</v>
      </c>
      <c r="M4" s="1">
        <v>0</v>
      </c>
      <c r="N4" s="1">
        <v>1</v>
      </c>
      <c r="O4" s="1">
        <v>1</v>
      </c>
      <c r="P4" s="1">
        <v>1</v>
      </c>
      <c r="Q4" s="1">
        <v>1</v>
      </c>
      <c r="R4" s="1">
        <v>1</v>
      </c>
      <c r="S4" s="1">
        <v>1</v>
      </c>
      <c r="T4" s="1">
        <v>1</v>
      </c>
      <c r="U4" s="1">
        <v>0</v>
      </c>
      <c r="V4" s="1">
        <v>1</v>
      </c>
      <c r="W4" s="1">
        <v>0</v>
      </c>
      <c r="X4" s="1">
        <v>1</v>
      </c>
      <c r="Y4" s="1">
        <v>0</v>
      </c>
      <c r="Z4" s="1">
        <v>1</v>
      </c>
      <c r="AA4" s="1">
        <v>1</v>
      </c>
      <c r="AB4" s="1">
        <v>1</v>
      </c>
      <c r="AC4" s="1">
        <v>1</v>
      </c>
      <c r="AD4" s="1">
        <v>0</v>
      </c>
      <c r="AE4" s="1">
        <v>1</v>
      </c>
      <c r="AF4" s="1">
        <v>1</v>
      </c>
      <c r="AG4" s="1">
        <v>1</v>
      </c>
      <c r="AH4" s="1">
        <v>1</v>
      </c>
      <c r="AI4" s="1">
        <v>1</v>
      </c>
      <c r="AJ4" s="1">
        <v>1</v>
      </c>
      <c r="AK4" s="1">
        <v>0</v>
      </c>
      <c r="AL4" s="1">
        <v>1</v>
      </c>
      <c r="AM4" s="1">
        <v>1</v>
      </c>
      <c r="AN4" s="1">
        <v>1</v>
      </c>
      <c r="AO4" s="1">
        <v>1</v>
      </c>
      <c r="AP4" s="1">
        <v>0</v>
      </c>
      <c r="AQ4" s="1">
        <v>1</v>
      </c>
      <c r="AR4" s="1">
        <v>0</v>
      </c>
      <c r="AS4" s="1">
        <v>0</v>
      </c>
      <c r="AT4" s="1">
        <v>1</v>
      </c>
      <c r="AU4" s="1">
        <v>1</v>
      </c>
      <c r="AV4" s="1">
        <v>0</v>
      </c>
      <c r="AW4" s="1">
        <v>0</v>
      </c>
      <c r="AX4" s="1">
        <v>1</v>
      </c>
      <c r="AY4" s="1">
        <v>1</v>
      </c>
      <c r="AZ4" s="1">
        <v>1</v>
      </c>
      <c r="BA4" s="1">
        <v>1</v>
      </c>
      <c r="BB4" s="1">
        <v>1</v>
      </c>
      <c r="BC4" s="1">
        <v>0</v>
      </c>
      <c r="BD4" s="1">
        <v>1</v>
      </c>
      <c r="BE4" s="1">
        <v>1</v>
      </c>
      <c r="BF4" s="1">
        <v>1</v>
      </c>
      <c r="BG4" s="1">
        <v>1</v>
      </c>
      <c r="BH4" s="1">
        <v>1</v>
      </c>
      <c r="BI4" s="1">
        <v>0</v>
      </c>
      <c r="BJ4" s="1">
        <v>1</v>
      </c>
      <c r="BK4" s="1">
        <v>1</v>
      </c>
      <c r="BL4" s="7">
        <f t="shared" si="0"/>
        <v>44</v>
      </c>
      <c r="BM4" s="9">
        <f t="shared" si="1"/>
        <v>1936</v>
      </c>
    </row>
    <row r="5" spans="1:65" ht="13.2" x14ac:dyDescent="0.25">
      <c r="A5" s="2">
        <v>45434.388523414353</v>
      </c>
      <c r="B5" s="3">
        <v>34</v>
      </c>
      <c r="C5" s="1" t="s">
        <v>63</v>
      </c>
      <c r="D5" s="1">
        <v>1</v>
      </c>
      <c r="E5" s="1">
        <v>1</v>
      </c>
      <c r="F5" s="1">
        <v>1</v>
      </c>
      <c r="G5" s="1">
        <v>1</v>
      </c>
      <c r="H5" s="1">
        <v>1</v>
      </c>
      <c r="I5" s="1">
        <v>0</v>
      </c>
      <c r="J5" s="1">
        <v>0</v>
      </c>
      <c r="K5" s="1">
        <v>0</v>
      </c>
      <c r="L5" s="1">
        <v>0</v>
      </c>
      <c r="M5" s="1">
        <v>1</v>
      </c>
      <c r="N5" s="1">
        <v>0</v>
      </c>
      <c r="O5" s="1">
        <v>1</v>
      </c>
      <c r="P5" s="1">
        <v>1</v>
      </c>
      <c r="Q5" s="1">
        <v>0</v>
      </c>
      <c r="R5" s="1">
        <v>0</v>
      </c>
      <c r="S5" s="1">
        <v>1</v>
      </c>
      <c r="T5" s="1">
        <v>0</v>
      </c>
      <c r="U5" s="1">
        <v>0</v>
      </c>
      <c r="V5" s="1">
        <v>1</v>
      </c>
      <c r="W5" s="1">
        <v>1</v>
      </c>
      <c r="X5" s="1">
        <v>0</v>
      </c>
      <c r="Y5" s="1">
        <v>1</v>
      </c>
      <c r="Z5" s="1">
        <v>0</v>
      </c>
      <c r="AA5" s="1">
        <v>1</v>
      </c>
      <c r="AB5" s="1">
        <v>1</v>
      </c>
      <c r="AC5" s="1">
        <v>1</v>
      </c>
      <c r="AD5" s="1">
        <v>1</v>
      </c>
      <c r="AE5" s="1">
        <v>1</v>
      </c>
      <c r="AF5" s="1">
        <v>1</v>
      </c>
      <c r="AG5" s="1">
        <v>1</v>
      </c>
      <c r="AH5" s="1">
        <v>1</v>
      </c>
      <c r="AI5" s="1">
        <v>0</v>
      </c>
      <c r="AJ5" s="1">
        <v>0</v>
      </c>
      <c r="AK5" s="1">
        <v>1</v>
      </c>
      <c r="AL5" s="1">
        <v>1</v>
      </c>
      <c r="AM5" s="1">
        <v>0</v>
      </c>
      <c r="AN5" s="1">
        <v>0</v>
      </c>
      <c r="AO5" s="1">
        <v>1</v>
      </c>
      <c r="AP5" s="1">
        <v>0</v>
      </c>
      <c r="AQ5" s="1">
        <v>0</v>
      </c>
      <c r="AR5" s="1">
        <v>0</v>
      </c>
      <c r="AS5" s="1">
        <v>0</v>
      </c>
      <c r="AT5" s="1">
        <v>1</v>
      </c>
      <c r="AU5" s="1">
        <v>0</v>
      </c>
      <c r="AV5" s="1">
        <v>0</v>
      </c>
      <c r="AW5" s="1">
        <v>0</v>
      </c>
      <c r="AX5" s="1">
        <v>1</v>
      </c>
      <c r="AY5" s="1">
        <v>0</v>
      </c>
      <c r="AZ5" s="1">
        <v>1</v>
      </c>
      <c r="BA5" s="1">
        <v>1</v>
      </c>
      <c r="BB5" s="1">
        <v>0</v>
      </c>
      <c r="BC5" s="1">
        <v>1</v>
      </c>
      <c r="BD5" s="1">
        <v>1</v>
      </c>
      <c r="BE5" s="1">
        <v>1</v>
      </c>
      <c r="BF5" s="1">
        <v>1</v>
      </c>
      <c r="BG5" s="1">
        <v>1</v>
      </c>
      <c r="BH5" s="1">
        <v>1</v>
      </c>
      <c r="BI5" s="1">
        <v>0</v>
      </c>
      <c r="BJ5" s="1">
        <v>1</v>
      </c>
      <c r="BK5" s="1">
        <v>0</v>
      </c>
      <c r="BL5" s="7">
        <f t="shared" si="0"/>
        <v>34</v>
      </c>
      <c r="BM5" s="9">
        <f t="shared" si="1"/>
        <v>1156</v>
      </c>
    </row>
    <row r="6" spans="1:65" ht="13.2" x14ac:dyDescent="0.25">
      <c r="A6" s="2">
        <v>45434.390434814813</v>
      </c>
      <c r="B6" s="3">
        <v>34</v>
      </c>
      <c r="C6" s="1" t="s">
        <v>64</v>
      </c>
      <c r="D6" s="1">
        <v>1</v>
      </c>
      <c r="E6" s="1">
        <v>1</v>
      </c>
      <c r="F6" s="1">
        <v>0</v>
      </c>
      <c r="G6" s="1">
        <v>1</v>
      </c>
      <c r="H6" s="1">
        <v>0</v>
      </c>
      <c r="I6" s="1">
        <v>0</v>
      </c>
      <c r="J6" s="1">
        <v>1</v>
      </c>
      <c r="K6" s="1">
        <v>1</v>
      </c>
      <c r="L6" s="1">
        <v>0</v>
      </c>
      <c r="M6" s="1">
        <v>0</v>
      </c>
      <c r="N6" s="1">
        <v>0</v>
      </c>
      <c r="O6" s="1">
        <v>0</v>
      </c>
      <c r="P6" s="1">
        <v>0</v>
      </c>
      <c r="Q6" s="1">
        <v>1</v>
      </c>
      <c r="R6" s="1">
        <v>1</v>
      </c>
      <c r="S6" s="1">
        <v>1</v>
      </c>
      <c r="T6" s="1">
        <v>1</v>
      </c>
      <c r="U6" s="1">
        <v>0</v>
      </c>
      <c r="V6" s="1">
        <v>0</v>
      </c>
      <c r="W6" s="1">
        <v>0</v>
      </c>
      <c r="X6" s="1">
        <v>0</v>
      </c>
      <c r="Y6" s="1">
        <v>1</v>
      </c>
      <c r="Z6" s="1">
        <v>1</v>
      </c>
      <c r="AA6" s="1">
        <v>1</v>
      </c>
      <c r="AB6" s="1">
        <v>1</v>
      </c>
      <c r="AC6" s="1">
        <v>0</v>
      </c>
      <c r="AD6" s="1">
        <v>0</v>
      </c>
      <c r="AE6" s="1">
        <v>1</v>
      </c>
      <c r="AF6" s="1">
        <v>0</v>
      </c>
      <c r="AG6" s="1">
        <v>1</v>
      </c>
      <c r="AH6" s="1">
        <v>1</v>
      </c>
      <c r="AI6" s="1">
        <v>0</v>
      </c>
      <c r="AJ6" s="1">
        <v>0</v>
      </c>
      <c r="AK6" s="1">
        <v>1</v>
      </c>
      <c r="AL6" s="1">
        <v>1</v>
      </c>
      <c r="AM6" s="1">
        <v>0</v>
      </c>
      <c r="AN6" s="1">
        <v>1</v>
      </c>
      <c r="AO6" s="1">
        <v>1</v>
      </c>
      <c r="AP6" s="1">
        <v>0</v>
      </c>
      <c r="AQ6" s="1">
        <v>0</v>
      </c>
      <c r="AR6" s="1">
        <v>1</v>
      </c>
      <c r="AS6" s="1">
        <v>1</v>
      </c>
      <c r="AT6" s="1">
        <v>1</v>
      </c>
      <c r="AU6" s="1">
        <v>0</v>
      </c>
      <c r="AV6" s="1">
        <v>1</v>
      </c>
      <c r="AW6" s="1">
        <v>0</v>
      </c>
      <c r="AX6" s="1">
        <v>0</v>
      </c>
      <c r="AY6" s="1">
        <v>1</v>
      </c>
      <c r="AZ6" s="1">
        <v>1</v>
      </c>
      <c r="BA6" s="1">
        <v>1</v>
      </c>
      <c r="BB6" s="1">
        <v>0</v>
      </c>
      <c r="BC6" s="1">
        <v>1</v>
      </c>
      <c r="BD6" s="1">
        <v>1</v>
      </c>
      <c r="BE6" s="1">
        <v>1</v>
      </c>
      <c r="BF6" s="1">
        <v>1</v>
      </c>
      <c r="BG6" s="1">
        <v>1</v>
      </c>
      <c r="BH6" s="1">
        <v>1</v>
      </c>
      <c r="BI6" s="1">
        <v>0</v>
      </c>
      <c r="BJ6" s="1">
        <v>1</v>
      </c>
      <c r="BK6" s="1">
        <v>0</v>
      </c>
      <c r="BL6" s="7">
        <f t="shared" si="0"/>
        <v>34</v>
      </c>
      <c r="BM6" s="9">
        <f t="shared" si="1"/>
        <v>1156</v>
      </c>
    </row>
    <row r="7" spans="1:65" ht="13.2" x14ac:dyDescent="0.25">
      <c r="A7" s="2">
        <v>45434.391435578698</v>
      </c>
      <c r="B7" s="3">
        <v>53</v>
      </c>
      <c r="C7" s="1" t="s">
        <v>65</v>
      </c>
      <c r="D7" s="1">
        <v>1</v>
      </c>
      <c r="E7" s="1">
        <v>1</v>
      </c>
      <c r="F7" s="1">
        <v>0</v>
      </c>
      <c r="G7" s="1">
        <v>1</v>
      </c>
      <c r="H7" s="1">
        <v>1</v>
      </c>
      <c r="I7" s="1">
        <v>1</v>
      </c>
      <c r="J7" s="1">
        <v>1</v>
      </c>
      <c r="K7" s="1">
        <v>1</v>
      </c>
      <c r="L7" s="1">
        <v>1</v>
      </c>
      <c r="M7" s="1">
        <v>1</v>
      </c>
      <c r="N7" s="1">
        <v>1</v>
      </c>
      <c r="O7" s="1">
        <v>1</v>
      </c>
      <c r="P7" s="1">
        <v>1</v>
      </c>
      <c r="Q7" s="1">
        <v>1</v>
      </c>
      <c r="R7" s="1">
        <v>1</v>
      </c>
      <c r="S7" s="1">
        <v>1</v>
      </c>
      <c r="T7" s="1">
        <v>1</v>
      </c>
      <c r="U7" s="1">
        <v>1</v>
      </c>
      <c r="V7" s="1">
        <v>1</v>
      </c>
      <c r="W7" s="1">
        <v>1</v>
      </c>
      <c r="X7" s="1">
        <v>1</v>
      </c>
      <c r="Y7" s="1">
        <v>0</v>
      </c>
      <c r="Z7" s="1">
        <v>1</v>
      </c>
      <c r="AA7" s="1">
        <v>1</v>
      </c>
      <c r="AB7" s="1">
        <v>1</v>
      </c>
      <c r="AC7" s="1">
        <v>1</v>
      </c>
      <c r="AD7" s="1">
        <v>0</v>
      </c>
      <c r="AE7" s="1">
        <v>1</v>
      </c>
      <c r="AF7" s="1">
        <v>1</v>
      </c>
      <c r="AG7" s="1">
        <v>1</v>
      </c>
      <c r="AH7" s="1">
        <v>1</v>
      </c>
      <c r="AI7" s="1">
        <v>1</v>
      </c>
      <c r="AJ7" s="1">
        <v>1</v>
      </c>
      <c r="AK7" s="1">
        <v>1</v>
      </c>
      <c r="AL7" s="1">
        <v>1</v>
      </c>
      <c r="AM7" s="1">
        <v>0</v>
      </c>
      <c r="AN7" s="1">
        <v>1</v>
      </c>
      <c r="AO7" s="1">
        <v>0</v>
      </c>
      <c r="AP7" s="1">
        <v>1</v>
      </c>
      <c r="AQ7" s="1">
        <v>1</v>
      </c>
      <c r="AR7" s="1">
        <v>1</v>
      </c>
      <c r="AS7" s="1">
        <v>1</v>
      </c>
      <c r="AT7" s="1">
        <v>1</v>
      </c>
      <c r="AU7" s="1">
        <v>1</v>
      </c>
      <c r="AV7" s="1">
        <v>1</v>
      </c>
      <c r="AW7" s="1">
        <v>1</v>
      </c>
      <c r="AX7" s="1">
        <v>1</v>
      </c>
      <c r="AY7" s="1">
        <v>1</v>
      </c>
      <c r="AZ7" s="1">
        <v>1</v>
      </c>
      <c r="BA7" s="1">
        <v>1</v>
      </c>
      <c r="BB7" s="1">
        <v>1</v>
      </c>
      <c r="BC7" s="1">
        <v>0</v>
      </c>
      <c r="BD7" s="1">
        <v>1</v>
      </c>
      <c r="BE7" s="1">
        <v>1</v>
      </c>
      <c r="BF7" s="1">
        <v>1</v>
      </c>
      <c r="BG7" s="1">
        <v>1</v>
      </c>
      <c r="BH7" s="1">
        <v>1</v>
      </c>
      <c r="BI7" s="1">
        <v>0</v>
      </c>
      <c r="BJ7" s="1">
        <v>1</v>
      </c>
      <c r="BK7" s="1">
        <v>1</v>
      </c>
      <c r="BL7" s="7">
        <f t="shared" si="0"/>
        <v>53</v>
      </c>
      <c r="BM7" s="9">
        <f t="shared" si="1"/>
        <v>2809</v>
      </c>
    </row>
    <row r="8" spans="1:65" ht="13.2" x14ac:dyDescent="0.25">
      <c r="A8" s="2">
        <v>45434.391979722219</v>
      </c>
      <c r="B8" s="3">
        <v>43</v>
      </c>
      <c r="C8" s="1" t="s">
        <v>66</v>
      </c>
      <c r="D8" s="1">
        <v>1</v>
      </c>
      <c r="E8" s="1">
        <v>1</v>
      </c>
      <c r="F8" s="1">
        <v>0</v>
      </c>
      <c r="G8" s="1">
        <v>1</v>
      </c>
      <c r="H8" s="1">
        <v>0</v>
      </c>
      <c r="I8" s="1">
        <v>1</v>
      </c>
      <c r="J8" s="1">
        <v>1</v>
      </c>
      <c r="K8" s="1">
        <v>1</v>
      </c>
      <c r="L8" s="1">
        <v>0</v>
      </c>
      <c r="M8" s="1">
        <v>0</v>
      </c>
      <c r="N8" s="1">
        <v>1</v>
      </c>
      <c r="O8" s="1">
        <v>1</v>
      </c>
      <c r="P8" s="1">
        <v>0</v>
      </c>
      <c r="Q8" s="1">
        <v>1</v>
      </c>
      <c r="R8" s="1">
        <v>0</v>
      </c>
      <c r="S8" s="1">
        <v>1</v>
      </c>
      <c r="T8" s="1">
        <v>1</v>
      </c>
      <c r="U8" s="1">
        <v>0</v>
      </c>
      <c r="V8" s="1">
        <v>1</v>
      </c>
      <c r="W8" s="1">
        <v>1</v>
      </c>
      <c r="X8" s="1">
        <v>1</v>
      </c>
      <c r="Y8" s="1">
        <v>1</v>
      </c>
      <c r="Z8" s="1">
        <v>1</v>
      </c>
      <c r="AA8" s="1">
        <v>1</v>
      </c>
      <c r="AB8" s="1">
        <v>1</v>
      </c>
      <c r="AC8" s="1">
        <v>0</v>
      </c>
      <c r="AD8" s="1">
        <v>0</v>
      </c>
      <c r="AE8" s="1">
        <v>1</v>
      </c>
      <c r="AF8" s="1">
        <v>1</v>
      </c>
      <c r="AG8" s="1">
        <v>1</v>
      </c>
      <c r="AH8" s="1">
        <v>1</v>
      </c>
      <c r="AI8" s="1">
        <v>1</v>
      </c>
      <c r="AJ8" s="1">
        <v>0</v>
      </c>
      <c r="AK8" s="1">
        <v>1</v>
      </c>
      <c r="AL8" s="1">
        <v>1</v>
      </c>
      <c r="AM8" s="1">
        <v>1</v>
      </c>
      <c r="AN8" s="1">
        <v>1</v>
      </c>
      <c r="AO8" s="1">
        <v>1</v>
      </c>
      <c r="AP8" s="1">
        <v>0</v>
      </c>
      <c r="AQ8" s="1">
        <v>1</v>
      </c>
      <c r="AR8" s="1">
        <v>1</v>
      </c>
      <c r="AS8" s="1">
        <v>0</v>
      </c>
      <c r="AT8" s="1">
        <v>1</v>
      </c>
      <c r="AU8" s="1">
        <v>0</v>
      </c>
      <c r="AV8" s="1">
        <v>0</v>
      </c>
      <c r="AW8" s="1">
        <v>0</v>
      </c>
      <c r="AX8" s="1">
        <v>1</v>
      </c>
      <c r="AY8" s="1">
        <v>1</v>
      </c>
      <c r="AZ8" s="1">
        <v>1</v>
      </c>
      <c r="BA8" s="1">
        <v>1</v>
      </c>
      <c r="BB8" s="1">
        <v>1</v>
      </c>
      <c r="BC8" s="1">
        <v>1</v>
      </c>
      <c r="BD8" s="1">
        <v>1</v>
      </c>
      <c r="BE8" s="1">
        <v>1</v>
      </c>
      <c r="BF8" s="1">
        <v>1</v>
      </c>
      <c r="BG8" s="1">
        <v>1</v>
      </c>
      <c r="BH8" s="1">
        <v>1</v>
      </c>
      <c r="BI8" s="1">
        <v>0</v>
      </c>
      <c r="BJ8" s="1">
        <v>1</v>
      </c>
      <c r="BK8" s="1">
        <v>0</v>
      </c>
      <c r="BL8" s="7">
        <f t="shared" si="0"/>
        <v>43</v>
      </c>
      <c r="BM8" s="9">
        <f t="shared" si="1"/>
        <v>1849</v>
      </c>
    </row>
    <row r="9" spans="1:65" ht="13.2" x14ac:dyDescent="0.25">
      <c r="A9" s="2">
        <v>45434.393166226851</v>
      </c>
      <c r="B9" s="3">
        <v>46</v>
      </c>
      <c r="C9" s="1" t="s">
        <v>67</v>
      </c>
      <c r="D9" s="1">
        <v>1</v>
      </c>
      <c r="E9" s="1">
        <v>0</v>
      </c>
      <c r="F9" s="1">
        <v>1</v>
      </c>
      <c r="G9" s="1">
        <v>1</v>
      </c>
      <c r="H9" s="1">
        <v>1</v>
      </c>
      <c r="I9" s="1">
        <v>1</v>
      </c>
      <c r="J9" s="1">
        <v>1</v>
      </c>
      <c r="K9" s="1">
        <v>1</v>
      </c>
      <c r="L9" s="1">
        <v>0</v>
      </c>
      <c r="M9" s="1">
        <v>1</v>
      </c>
      <c r="N9" s="1">
        <v>1</v>
      </c>
      <c r="O9" s="1">
        <v>1</v>
      </c>
      <c r="P9" s="1">
        <v>1</v>
      </c>
      <c r="Q9" s="1">
        <v>1</v>
      </c>
      <c r="R9" s="1">
        <v>1</v>
      </c>
      <c r="S9" s="1">
        <v>1</v>
      </c>
      <c r="T9" s="1">
        <v>1</v>
      </c>
      <c r="U9" s="1">
        <v>0</v>
      </c>
      <c r="V9" s="1">
        <v>0</v>
      </c>
      <c r="W9" s="1">
        <v>0</v>
      </c>
      <c r="X9" s="1">
        <v>1</v>
      </c>
      <c r="Y9" s="1">
        <v>1</v>
      </c>
      <c r="Z9" s="1">
        <v>1</v>
      </c>
      <c r="AA9" s="1">
        <v>1</v>
      </c>
      <c r="AB9" s="1">
        <v>1</v>
      </c>
      <c r="AC9" s="1">
        <v>1</v>
      </c>
      <c r="AD9" s="1">
        <v>0</v>
      </c>
      <c r="AE9" s="1">
        <v>1</v>
      </c>
      <c r="AF9" s="1">
        <v>1</v>
      </c>
      <c r="AG9" s="1">
        <v>1</v>
      </c>
      <c r="AH9" s="1">
        <v>1</v>
      </c>
      <c r="AI9" s="1">
        <v>1</v>
      </c>
      <c r="AJ9" s="1">
        <v>1</v>
      </c>
      <c r="AK9" s="1">
        <v>1</v>
      </c>
      <c r="AL9" s="1">
        <v>1</v>
      </c>
      <c r="AM9" s="1">
        <v>1</v>
      </c>
      <c r="AN9" s="1">
        <v>1</v>
      </c>
      <c r="AO9" s="1">
        <v>0</v>
      </c>
      <c r="AP9" s="1">
        <v>0</v>
      </c>
      <c r="AQ9" s="1">
        <v>0</v>
      </c>
      <c r="AR9" s="1">
        <v>1</v>
      </c>
      <c r="AS9" s="1">
        <v>1</v>
      </c>
      <c r="AT9" s="1">
        <v>0</v>
      </c>
      <c r="AU9" s="1">
        <v>0</v>
      </c>
      <c r="AV9" s="1">
        <v>0</v>
      </c>
      <c r="AW9" s="1">
        <v>1</v>
      </c>
      <c r="AX9" s="1">
        <v>1</v>
      </c>
      <c r="AY9" s="1">
        <v>1</v>
      </c>
      <c r="AZ9" s="1">
        <v>1</v>
      </c>
      <c r="BA9" s="1">
        <v>1</v>
      </c>
      <c r="BB9" s="1">
        <v>1</v>
      </c>
      <c r="BC9" s="1">
        <v>0</v>
      </c>
      <c r="BD9" s="1">
        <v>1</v>
      </c>
      <c r="BE9" s="1">
        <v>1</v>
      </c>
      <c r="BF9" s="1">
        <v>1</v>
      </c>
      <c r="BG9" s="1">
        <v>1</v>
      </c>
      <c r="BH9" s="1">
        <v>1</v>
      </c>
      <c r="BI9" s="1">
        <v>1</v>
      </c>
      <c r="BJ9" s="1">
        <v>1</v>
      </c>
      <c r="BK9" s="1">
        <v>0</v>
      </c>
      <c r="BL9" s="7">
        <f t="shared" si="0"/>
        <v>46</v>
      </c>
      <c r="BM9" s="9">
        <f t="shared" si="1"/>
        <v>2116</v>
      </c>
    </row>
    <row r="10" spans="1:65" ht="13.2" x14ac:dyDescent="0.25">
      <c r="A10" s="2">
        <v>45434.394093750001</v>
      </c>
      <c r="B10" s="3">
        <v>50</v>
      </c>
      <c r="C10" s="1" t="s">
        <v>68</v>
      </c>
      <c r="D10" s="1">
        <v>1</v>
      </c>
      <c r="E10" s="1">
        <v>0</v>
      </c>
      <c r="F10" s="1">
        <v>1</v>
      </c>
      <c r="G10" s="1">
        <v>1</v>
      </c>
      <c r="H10" s="1">
        <v>1</v>
      </c>
      <c r="I10" s="1">
        <v>1</v>
      </c>
      <c r="J10" s="1">
        <v>1</v>
      </c>
      <c r="K10" s="1">
        <v>0</v>
      </c>
      <c r="L10" s="1">
        <v>1</v>
      </c>
      <c r="M10" s="1">
        <v>0</v>
      </c>
      <c r="N10" s="1">
        <v>1</v>
      </c>
      <c r="O10" s="1">
        <v>1</v>
      </c>
      <c r="P10" s="1">
        <v>1</v>
      </c>
      <c r="Q10" s="1">
        <v>1</v>
      </c>
      <c r="R10" s="1">
        <v>1</v>
      </c>
      <c r="S10" s="1">
        <v>1</v>
      </c>
      <c r="T10" s="1">
        <v>1</v>
      </c>
      <c r="U10" s="1">
        <v>0</v>
      </c>
      <c r="V10" s="1">
        <v>0</v>
      </c>
      <c r="W10" s="1">
        <v>0</v>
      </c>
      <c r="X10" s="1">
        <v>1</v>
      </c>
      <c r="Y10" s="1">
        <v>1</v>
      </c>
      <c r="Z10" s="1">
        <v>0</v>
      </c>
      <c r="AA10" s="1">
        <v>1</v>
      </c>
      <c r="AB10" s="1">
        <v>1</v>
      </c>
      <c r="AC10" s="1">
        <v>1</v>
      </c>
      <c r="AD10" s="1">
        <v>1</v>
      </c>
      <c r="AE10" s="1">
        <v>1</v>
      </c>
      <c r="AF10" s="1">
        <v>1</v>
      </c>
      <c r="AG10" s="1">
        <v>1</v>
      </c>
      <c r="AH10" s="1">
        <v>1</v>
      </c>
      <c r="AI10" s="1">
        <v>1</v>
      </c>
      <c r="AJ10" s="1">
        <v>1</v>
      </c>
      <c r="AK10" s="1">
        <v>1</v>
      </c>
      <c r="AL10" s="1">
        <v>1</v>
      </c>
      <c r="AM10" s="1">
        <v>1</v>
      </c>
      <c r="AN10" s="1">
        <v>1</v>
      </c>
      <c r="AO10" s="1">
        <v>1</v>
      </c>
      <c r="AP10" s="1">
        <v>1</v>
      </c>
      <c r="AQ10" s="1">
        <v>1</v>
      </c>
      <c r="AR10" s="1">
        <v>1</v>
      </c>
      <c r="AS10" s="1">
        <v>1</v>
      </c>
      <c r="AT10" s="1">
        <v>1</v>
      </c>
      <c r="AU10" s="1">
        <v>0</v>
      </c>
      <c r="AV10" s="1">
        <v>0</v>
      </c>
      <c r="AW10" s="1">
        <v>1</v>
      </c>
      <c r="AX10" s="1">
        <v>1</v>
      </c>
      <c r="AY10" s="1">
        <v>1</v>
      </c>
      <c r="AZ10" s="1">
        <v>1</v>
      </c>
      <c r="BA10" s="1">
        <v>1</v>
      </c>
      <c r="BB10" s="1">
        <v>1</v>
      </c>
      <c r="BC10" s="1">
        <v>0</v>
      </c>
      <c r="BD10" s="1">
        <v>1</v>
      </c>
      <c r="BE10" s="1">
        <v>1</v>
      </c>
      <c r="BF10" s="1">
        <v>1</v>
      </c>
      <c r="BG10" s="1">
        <v>1</v>
      </c>
      <c r="BH10" s="1">
        <v>1</v>
      </c>
      <c r="BI10" s="1">
        <v>1</v>
      </c>
      <c r="BJ10" s="1">
        <v>1</v>
      </c>
      <c r="BK10" s="1">
        <v>1</v>
      </c>
      <c r="BL10" s="7">
        <f t="shared" si="0"/>
        <v>50</v>
      </c>
      <c r="BM10" s="9">
        <f t="shared" si="1"/>
        <v>2500</v>
      </c>
    </row>
    <row r="11" spans="1:65" ht="13.2" x14ac:dyDescent="0.25">
      <c r="A11" s="2">
        <v>45434.396486724538</v>
      </c>
      <c r="B11" s="3">
        <v>53</v>
      </c>
      <c r="C11" s="1" t="s">
        <v>69</v>
      </c>
      <c r="D11" s="1">
        <v>1</v>
      </c>
      <c r="E11" s="1">
        <v>1</v>
      </c>
      <c r="F11" s="1">
        <v>1</v>
      </c>
      <c r="G11" s="1">
        <v>1</v>
      </c>
      <c r="H11" s="1">
        <v>1</v>
      </c>
      <c r="I11" s="1">
        <v>1</v>
      </c>
      <c r="J11" s="1">
        <v>1</v>
      </c>
      <c r="K11" s="1">
        <v>1</v>
      </c>
      <c r="L11" s="1">
        <v>0</v>
      </c>
      <c r="M11" s="1">
        <v>1</v>
      </c>
      <c r="N11" s="1">
        <v>1</v>
      </c>
      <c r="O11" s="1">
        <v>1</v>
      </c>
      <c r="P11" s="1">
        <v>1</v>
      </c>
      <c r="Q11" s="1">
        <v>1</v>
      </c>
      <c r="R11" s="1">
        <v>1</v>
      </c>
      <c r="S11" s="1">
        <v>1</v>
      </c>
      <c r="T11" s="1">
        <v>1</v>
      </c>
      <c r="U11" s="1">
        <v>0</v>
      </c>
      <c r="V11" s="1">
        <v>1</v>
      </c>
      <c r="W11" s="1">
        <v>0</v>
      </c>
      <c r="X11" s="1">
        <v>1</v>
      </c>
      <c r="Y11" s="1">
        <v>1</v>
      </c>
      <c r="Z11" s="1">
        <v>1</v>
      </c>
      <c r="AA11" s="1">
        <v>1</v>
      </c>
      <c r="AB11" s="1">
        <v>1</v>
      </c>
      <c r="AC11" s="1">
        <v>1</v>
      </c>
      <c r="AD11" s="1">
        <v>0</v>
      </c>
      <c r="AE11" s="1">
        <v>1</v>
      </c>
      <c r="AF11" s="1">
        <v>1</v>
      </c>
      <c r="AG11" s="1">
        <v>1</v>
      </c>
      <c r="AH11" s="1">
        <v>1</v>
      </c>
      <c r="AI11" s="1">
        <v>1</v>
      </c>
      <c r="AJ11" s="1">
        <v>1</v>
      </c>
      <c r="AK11" s="1">
        <v>1</v>
      </c>
      <c r="AL11" s="1">
        <v>1</v>
      </c>
      <c r="AM11" s="1">
        <v>1</v>
      </c>
      <c r="AN11" s="1">
        <v>1</v>
      </c>
      <c r="AO11" s="1">
        <v>1</v>
      </c>
      <c r="AP11" s="1">
        <v>1</v>
      </c>
      <c r="AQ11" s="1">
        <v>1</v>
      </c>
      <c r="AR11" s="1">
        <v>1</v>
      </c>
      <c r="AS11" s="1">
        <v>0</v>
      </c>
      <c r="AT11" s="1">
        <v>1</v>
      </c>
      <c r="AU11" s="1">
        <v>1</v>
      </c>
      <c r="AV11" s="1">
        <v>0</v>
      </c>
      <c r="AW11" s="1">
        <v>1</v>
      </c>
      <c r="AX11" s="1">
        <v>1</v>
      </c>
      <c r="AY11" s="1">
        <v>1</v>
      </c>
      <c r="AZ11" s="1">
        <v>1</v>
      </c>
      <c r="BA11" s="1">
        <v>1</v>
      </c>
      <c r="BB11" s="1">
        <v>1</v>
      </c>
      <c r="BC11" s="1">
        <v>1</v>
      </c>
      <c r="BD11" s="1">
        <v>1</v>
      </c>
      <c r="BE11" s="1">
        <v>1</v>
      </c>
      <c r="BF11" s="1">
        <v>1</v>
      </c>
      <c r="BG11" s="1">
        <v>1</v>
      </c>
      <c r="BH11" s="1">
        <v>1</v>
      </c>
      <c r="BI11" s="1">
        <v>0</v>
      </c>
      <c r="BJ11" s="1">
        <v>1</v>
      </c>
      <c r="BK11" s="1">
        <v>1</v>
      </c>
      <c r="BL11" s="7">
        <f t="shared" si="0"/>
        <v>53</v>
      </c>
      <c r="BM11" s="9">
        <f t="shared" si="1"/>
        <v>2809</v>
      </c>
    </row>
    <row r="12" spans="1:65" ht="13.2" x14ac:dyDescent="0.25">
      <c r="A12" s="2">
        <v>45434.396546342592</v>
      </c>
      <c r="B12" s="3">
        <v>52</v>
      </c>
      <c r="C12" s="1" t="s">
        <v>70</v>
      </c>
      <c r="D12" s="1">
        <v>1</v>
      </c>
      <c r="E12" s="1">
        <v>1</v>
      </c>
      <c r="F12" s="1">
        <v>1</v>
      </c>
      <c r="G12" s="1">
        <v>0</v>
      </c>
      <c r="H12" s="1">
        <v>1</v>
      </c>
      <c r="I12" s="1">
        <v>1</v>
      </c>
      <c r="J12" s="1">
        <v>1</v>
      </c>
      <c r="K12" s="1">
        <v>1</v>
      </c>
      <c r="L12" s="1">
        <v>1</v>
      </c>
      <c r="M12" s="1">
        <v>1</v>
      </c>
      <c r="N12" s="1">
        <v>1</v>
      </c>
      <c r="O12" s="1">
        <v>1</v>
      </c>
      <c r="P12" s="1">
        <v>1</v>
      </c>
      <c r="Q12" s="1">
        <v>0</v>
      </c>
      <c r="R12" s="1">
        <v>0</v>
      </c>
      <c r="S12" s="1">
        <v>1</v>
      </c>
      <c r="T12" s="1">
        <v>1</v>
      </c>
      <c r="U12" s="1">
        <v>1</v>
      </c>
      <c r="V12" s="1">
        <v>1</v>
      </c>
      <c r="W12" s="1">
        <v>1</v>
      </c>
      <c r="X12" s="1">
        <v>1</v>
      </c>
      <c r="Y12" s="1">
        <v>1</v>
      </c>
      <c r="Z12" s="1">
        <v>1</v>
      </c>
      <c r="AA12" s="1">
        <v>1</v>
      </c>
      <c r="AB12" s="1">
        <v>1</v>
      </c>
      <c r="AC12" s="1">
        <v>1</v>
      </c>
      <c r="AD12" s="1">
        <v>0</v>
      </c>
      <c r="AE12" s="1">
        <v>1</v>
      </c>
      <c r="AF12" s="1">
        <v>1</v>
      </c>
      <c r="AG12" s="1">
        <v>1</v>
      </c>
      <c r="AH12" s="1">
        <v>1</v>
      </c>
      <c r="AI12" s="1">
        <v>1</v>
      </c>
      <c r="AJ12" s="1">
        <v>0</v>
      </c>
      <c r="AK12" s="1">
        <v>1</v>
      </c>
      <c r="AL12" s="1">
        <v>1</v>
      </c>
      <c r="AM12" s="1">
        <v>1</v>
      </c>
      <c r="AN12" s="1">
        <v>1</v>
      </c>
      <c r="AO12" s="1">
        <v>1</v>
      </c>
      <c r="AP12" s="1">
        <v>1</v>
      </c>
      <c r="AQ12" s="1">
        <v>1</v>
      </c>
      <c r="AR12" s="1">
        <v>1</v>
      </c>
      <c r="AS12" s="1">
        <v>1</v>
      </c>
      <c r="AT12" s="1">
        <v>1</v>
      </c>
      <c r="AU12" s="1">
        <v>0</v>
      </c>
      <c r="AV12" s="1">
        <v>1</v>
      </c>
      <c r="AW12" s="1">
        <v>1</v>
      </c>
      <c r="AX12" s="1">
        <v>1</v>
      </c>
      <c r="AY12" s="1">
        <v>1</v>
      </c>
      <c r="AZ12" s="1">
        <v>1</v>
      </c>
      <c r="BA12" s="1">
        <v>1</v>
      </c>
      <c r="BB12" s="1">
        <v>1</v>
      </c>
      <c r="BC12" s="1">
        <v>0</v>
      </c>
      <c r="BD12" s="1">
        <v>1</v>
      </c>
      <c r="BE12" s="1">
        <v>1</v>
      </c>
      <c r="BF12" s="1">
        <v>1</v>
      </c>
      <c r="BG12" s="1">
        <v>1</v>
      </c>
      <c r="BH12" s="1">
        <v>1</v>
      </c>
      <c r="BI12" s="1">
        <v>0</v>
      </c>
      <c r="BJ12" s="1">
        <v>1</v>
      </c>
      <c r="BK12" s="1">
        <v>1</v>
      </c>
      <c r="BL12" s="7">
        <f t="shared" si="0"/>
        <v>52</v>
      </c>
      <c r="BM12" s="9">
        <f t="shared" si="1"/>
        <v>2704</v>
      </c>
    </row>
    <row r="13" spans="1:65" ht="13.2" x14ac:dyDescent="0.25">
      <c r="A13" s="2">
        <v>45434.396568310185</v>
      </c>
      <c r="B13" s="3">
        <v>33</v>
      </c>
      <c r="C13" s="1" t="s">
        <v>71</v>
      </c>
      <c r="D13" s="1">
        <v>1</v>
      </c>
      <c r="E13" s="1">
        <v>1</v>
      </c>
      <c r="F13" s="1">
        <v>1</v>
      </c>
      <c r="G13" s="1">
        <v>0</v>
      </c>
      <c r="H13" s="1">
        <v>0</v>
      </c>
      <c r="I13" s="1">
        <v>1</v>
      </c>
      <c r="J13" s="1">
        <v>0</v>
      </c>
      <c r="K13" s="1">
        <v>1</v>
      </c>
      <c r="L13" s="1">
        <v>0</v>
      </c>
      <c r="M13" s="1">
        <v>0</v>
      </c>
      <c r="N13" s="1">
        <v>1</v>
      </c>
      <c r="O13" s="1">
        <v>0</v>
      </c>
      <c r="P13" s="1">
        <v>1</v>
      </c>
      <c r="Q13" s="1">
        <v>0</v>
      </c>
      <c r="R13" s="1">
        <v>1</v>
      </c>
      <c r="S13" s="1">
        <v>1</v>
      </c>
      <c r="T13" s="1">
        <v>1</v>
      </c>
      <c r="U13" s="1">
        <v>0</v>
      </c>
      <c r="V13" s="1">
        <v>1</v>
      </c>
      <c r="W13" s="1">
        <v>1</v>
      </c>
      <c r="X13" s="1">
        <v>0</v>
      </c>
      <c r="Y13" s="1">
        <v>1</v>
      </c>
      <c r="Z13" s="1">
        <v>1</v>
      </c>
      <c r="AA13" s="1">
        <v>1</v>
      </c>
      <c r="AB13" s="1">
        <v>1</v>
      </c>
      <c r="AC13" s="1">
        <v>1</v>
      </c>
      <c r="AD13" s="1">
        <v>0</v>
      </c>
      <c r="AE13" s="1">
        <v>1</v>
      </c>
      <c r="AF13" s="1">
        <v>1</v>
      </c>
      <c r="AG13" s="1">
        <v>1</v>
      </c>
      <c r="AH13" s="1">
        <v>1</v>
      </c>
      <c r="AI13" s="1">
        <v>1</v>
      </c>
      <c r="AJ13" s="1">
        <v>1</v>
      </c>
      <c r="AK13" s="1">
        <v>1</v>
      </c>
      <c r="AL13" s="1">
        <v>1</v>
      </c>
      <c r="AM13" s="1">
        <v>1</v>
      </c>
      <c r="AN13" s="1">
        <v>1</v>
      </c>
      <c r="AO13" s="1">
        <v>0</v>
      </c>
      <c r="AP13" s="1">
        <v>0</v>
      </c>
      <c r="AQ13" s="1">
        <v>0</v>
      </c>
      <c r="AR13" s="1">
        <v>0</v>
      </c>
      <c r="AS13" s="1">
        <v>0</v>
      </c>
      <c r="AT13" s="1">
        <v>0</v>
      </c>
      <c r="AU13" s="1">
        <v>0</v>
      </c>
      <c r="AV13" s="1">
        <v>1</v>
      </c>
      <c r="AW13" s="1">
        <v>0</v>
      </c>
      <c r="AX13" s="1">
        <v>0</v>
      </c>
      <c r="AY13" s="1">
        <v>0</v>
      </c>
      <c r="AZ13" s="1">
        <v>0</v>
      </c>
      <c r="BA13" s="1">
        <v>0</v>
      </c>
      <c r="BB13" s="1">
        <v>0</v>
      </c>
      <c r="BC13" s="1">
        <v>1</v>
      </c>
      <c r="BD13" s="1">
        <v>0</v>
      </c>
      <c r="BE13" s="1">
        <v>1</v>
      </c>
      <c r="BF13" s="1">
        <v>1</v>
      </c>
      <c r="BG13" s="1">
        <v>1</v>
      </c>
      <c r="BH13" s="1">
        <v>0</v>
      </c>
      <c r="BI13" s="1">
        <v>0</v>
      </c>
      <c r="BJ13" s="1">
        <v>1</v>
      </c>
      <c r="BK13" s="1">
        <v>0</v>
      </c>
      <c r="BL13" s="7">
        <f t="shared" si="0"/>
        <v>33</v>
      </c>
      <c r="BM13" s="9">
        <f t="shared" si="1"/>
        <v>1089</v>
      </c>
    </row>
    <row r="14" spans="1:65" ht="13.2" x14ac:dyDescent="0.25">
      <c r="A14" s="2">
        <v>45434.398584282404</v>
      </c>
      <c r="B14" s="3">
        <v>47</v>
      </c>
      <c r="C14" s="1" t="s">
        <v>72</v>
      </c>
      <c r="D14" s="1">
        <v>1</v>
      </c>
      <c r="E14" s="1">
        <v>1</v>
      </c>
      <c r="F14" s="1">
        <v>1</v>
      </c>
      <c r="G14" s="1">
        <v>1</v>
      </c>
      <c r="H14" s="1">
        <v>1</v>
      </c>
      <c r="I14" s="1">
        <v>1</v>
      </c>
      <c r="J14" s="1">
        <v>1</v>
      </c>
      <c r="K14" s="1">
        <v>0</v>
      </c>
      <c r="L14" s="1">
        <v>1</v>
      </c>
      <c r="M14" s="1">
        <v>1</v>
      </c>
      <c r="N14" s="1">
        <v>1</v>
      </c>
      <c r="O14" s="1">
        <v>0</v>
      </c>
      <c r="P14" s="1">
        <v>1</v>
      </c>
      <c r="Q14" s="1">
        <v>1</v>
      </c>
      <c r="R14" s="1">
        <v>1</v>
      </c>
      <c r="S14" s="1">
        <v>1</v>
      </c>
      <c r="T14" s="1">
        <v>1</v>
      </c>
      <c r="U14" s="1">
        <v>0</v>
      </c>
      <c r="V14" s="1">
        <v>1</v>
      </c>
      <c r="W14" s="1">
        <v>0</v>
      </c>
      <c r="X14" s="1">
        <v>0</v>
      </c>
      <c r="Y14" s="1">
        <v>1</v>
      </c>
      <c r="Z14" s="1">
        <v>0</v>
      </c>
      <c r="AA14" s="1">
        <v>1</v>
      </c>
      <c r="AB14" s="1">
        <v>1</v>
      </c>
      <c r="AC14" s="1">
        <v>1</v>
      </c>
      <c r="AD14" s="1">
        <v>0</v>
      </c>
      <c r="AE14" s="1">
        <v>1</v>
      </c>
      <c r="AF14" s="1">
        <v>1</v>
      </c>
      <c r="AG14" s="1">
        <v>1</v>
      </c>
      <c r="AH14" s="1">
        <v>1</v>
      </c>
      <c r="AI14" s="1">
        <v>1</v>
      </c>
      <c r="AJ14" s="1">
        <v>1</v>
      </c>
      <c r="AK14" s="1">
        <v>1</v>
      </c>
      <c r="AL14" s="1">
        <v>1</v>
      </c>
      <c r="AM14" s="1">
        <v>1</v>
      </c>
      <c r="AN14" s="1">
        <v>1</v>
      </c>
      <c r="AO14" s="1">
        <v>1</v>
      </c>
      <c r="AP14" s="1">
        <v>1</v>
      </c>
      <c r="AQ14" s="1">
        <v>1</v>
      </c>
      <c r="AR14" s="1">
        <v>0</v>
      </c>
      <c r="AS14" s="1">
        <v>1</v>
      </c>
      <c r="AT14" s="1">
        <v>1</v>
      </c>
      <c r="AU14" s="1">
        <v>0</v>
      </c>
      <c r="AV14" s="1">
        <v>1</v>
      </c>
      <c r="AW14" s="1">
        <v>1</v>
      </c>
      <c r="AX14" s="1">
        <v>0</v>
      </c>
      <c r="AY14" s="1">
        <v>1</v>
      </c>
      <c r="AZ14" s="1">
        <v>1</v>
      </c>
      <c r="BA14" s="1">
        <v>1</v>
      </c>
      <c r="BB14" s="1">
        <v>1</v>
      </c>
      <c r="BC14" s="1">
        <v>1</v>
      </c>
      <c r="BD14" s="1">
        <v>1</v>
      </c>
      <c r="BE14" s="1">
        <v>1</v>
      </c>
      <c r="BF14" s="1">
        <v>1</v>
      </c>
      <c r="BG14" s="1">
        <v>1</v>
      </c>
      <c r="BH14" s="1">
        <v>1</v>
      </c>
      <c r="BI14" s="1">
        <v>0</v>
      </c>
      <c r="BJ14" s="1">
        <v>0</v>
      </c>
      <c r="BK14" s="1">
        <v>0</v>
      </c>
      <c r="BL14" s="7">
        <f t="shared" si="0"/>
        <v>47</v>
      </c>
      <c r="BM14" s="9">
        <f t="shared" si="1"/>
        <v>2209</v>
      </c>
    </row>
    <row r="15" spans="1:65" ht="13.2" x14ac:dyDescent="0.25">
      <c r="A15" s="2">
        <v>45434.398857048611</v>
      </c>
      <c r="B15" s="3">
        <v>52</v>
      </c>
      <c r="C15" s="1" t="s">
        <v>73</v>
      </c>
      <c r="D15" s="1">
        <v>1</v>
      </c>
      <c r="E15" s="1">
        <v>1</v>
      </c>
      <c r="F15" s="1">
        <v>1</v>
      </c>
      <c r="G15" s="1">
        <v>1</v>
      </c>
      <c r="H15" s="1">
        <v>1</v>
      </c>
      <c r="I15" s="1">
        <v>1</v>
      </c>
      <c r="J15" s="1">
        <v>1</v>
      </c>
      <c r="K15" s="1">
        <v>1</v>
      </c>
      <c r="L15" s="1">
        <v>1</v>
      </c>
      <c r="M15" s="1">
        <v>1</v>
      </c>
      <c r="N15" s="1">
        <v>1</v>
      </c>
      <c r="O15" s="1">
        <v>1</v>
      </c>
      <c r="P15" s="1">
        <v>1</v>
      </c>
      <c r="Q15" s="1">
        <v>1</v>
      </c>
      <c r="R15" s="1">
        <v>0</v>
      </c>
      <c r="S15" s="1">
        <v>0</v>
      </c>
      <c r="T15" s="1">
        <v>1</v>
      </c>
      <c r="U15" s="1">
        <v>1</v>
      </c>
      <c r="V15" s="1">
        <v>0</v>
      </c>
      <c r="W15" s="1">
        <v>1</v>
      </c>
      <c r="X15" s="1">
        <v>1</v>
      </c>
      <c r="Y15" s="1">
        <v>1</v>
      </c>
      <c r="Z15" s="1">
        <v>1</v>
      </c>
      <c r="AA15" s="1">
        <v>1</v>
      </c>
      <c r="AB15" s="1">
        <v>1</v>
      </c>
      <c r="AC15" s="1">
        <v>0</v>
      </c>
      <c r="AD15" s="1">
        <v>0</v>
      </c>
      <c r="AE15" s="1">
        <v>1</v>
      </c>
      <c r="AF15" s="1">
        <v>1</v>
      </c>
      <c r="AG15" s="1">
        <v>1</v>
      </c>
      <c r="AH15" s="1">
        <v>1</v>
      </c>
      <c r="AI15" s="1">
        <v>1</v>
      </c>
      <c r="AJ15" s="1">
        <v>0</v>
      </c>
      <c r="AK15" s="1">
        <v>1</v>
      </c>
      <c r="AL15" s="1">
        <v>1</v>
      </c>
      <c r="AM15" s="1">
        <v>1</v>
      </c>
      <c r="AN15" s="1">
        <v>1</v>
      </c>
      <c r="AO15" s="1">
        <v>1</v>
      </c>
      <c r="AP15" s="1">
        <v>1</v>
      </c>
      <c r="AQ15" s="1">
        <v>1</v>
      </c>
      <c r="AR15" s="1">
        <v>0</v>
      </c>
      <c r="AS15" s="1">
        <v>1</v>
      </c>
      <c r="AT15" s="1">
        <v>1</v>
      </c>
      <c r="AU15" s="1">
        <v>1</v>
      </c>
      <c r="AV15" s="1">
        <v>1</v>
      </c>
      <c r="AW15" s="1">
        <v>1</v>
      </c>
      <c r="AX15" s="1">
        <v>1</v>
      </c>
      <c r="AY15" s="1">
        <v>1</v>
      </c>
      <c r="AZ15" s="1">
        <v>1</v>
      </c>
      <c r="BA15" s="1">
        <v>1</v>
      </c>
      <c r="BB15" s="1">
        <v>1</v>
      </c>
      <c r="BC15" s="1">
        <v>1</v>
      </c>
      <c r="BD15" s="1">
        <v>1</v>
      </c>
      <c r="BE15" s="1">
        <v>1</v>
      </c>
      <c r="BF15" s="1">
        <v>1</v>
      </c>
      <c r="BG15" s="1">
        <v>1</v>
      </c>
      <c r="BH15" s="1">
        <v>1</v>
      </c>
      <c r="BI15" s="1">
        <v>0</v>
      </c>
      <c r="BJ15" s="1">
        <v>1</v>
      </c>
      <c r="BK15" s="1">
        <v>1</v>
      </c>
      <c r="BL15" s="7">
        <f t="shared" si="0"/>
        <v>52</v>
      </c>
      <c r="BM15" s="9">
        <f t="shared" si="1"/>
        <v>2704</v>
      </c>
    </row>
    <row r="16" spans="1:65" ht="13.2" x14ac:dyDescent="0.25">
      <c r="A16" s="2">
        <v>45434.40006630787</v>
      </c>
      <c r="B16" s="3">
        <v>51</v>
      </c>
      <c r="C16" s="1" t="s">
        <v>74</v>
      </c>
      <c r="D16" s="1">
        <v>1</v>
      </c>
      <c r="E16" s="1">
        <v>1</v>
      </c>
      <c r="F16" s="1">
        <v>1</v>
      </c>
      <c r="G16" s="1">
        <v>0</v>
      </c>
      <c r="H16" s="1">
        <v>1</v>
      </c>
      <c r="I16" s="1">
        <v>0</v>
      </c>
      <c r="J16" s="1">
        <v>1</v>
      </c>
      <c r="K16" s="1">
        <v>1</v>
      </c>
      <c r="L16" s="1">
        <v>1</v>
      </c>
      <c r="M16" s="1">
        <v>1</v>
      </c>
      <c r="N16" s="1">
        <v>1</v>
      </c>
      <c r="O16" s="1">
        <v>1</v>
      </c>
      <c r="P16" s="1">
        <v>1</v>
      </c>
      <c r="Q16" s="1">
        <v>0</v>
      </c>
      <c r="R16" s="1">
        <v>1</v>
      </c>
      <c r="S16" s="1">
        <v>1</v>
      </c>
      <c r="T16" s="1">
        <v>1</v>
      </c>
      <c r="U16" s="1">
        <v>1</v>
      </c>
      <c r="V16" s="1">
        <v>1</v>
      </c>
      <c r="W16" s="1">
        <v>1</v>
      </c>
      <c r="X16" s="1">
        <v>1</v>
      </c>
      <c r="Y16" s="1">
        <v>1</v>
      </c>
      <c r="Z16" s="1">
        <v>1</v>
      </c>
      <c r="AA16" s="1">
        <v>1</v>
      </c>
      <c r="AB16" s="1">
        <v>1</v>
      </c>
      <c r="AC16" s="1">
        <v>1</v>
      </c>
      <c r="AD16" s="1">
        <v>0</v>
      </c>
      <c r="AE16" s="1">
        <v>1</v>
      </c>
      <c r="AF16" s="1">
        <v>1</v>
      </c>
      <c r="AG16" s="1">
        <v>1</v>
      </c>
      <c r="AH16" s="1">
        <v>1</v>
      </c>
      <c r="AI16" s="1">
        <v>0</v>
      </c>
      <c r="AJ16" s="1">
        <v>1</v>
      </c>
      <c r="AK16" s="1">
        <v>1</v>
      </c>
      <c r="AL16" s="1">
        <v>1</v>
      </c>
      <c r="AM16" s="1">
        <v>0</v>
      </c>
      <c r="AN16" s="1">
        <v>1</v>
      </c>
      <c r="AO16" s="1">
        <v>1</v>
      </c>
      <c r="AP16" s="1">
        <v>0</v>
      </c>
      <c r="AQ16" s="1">
        <v>1</v>
      </c>
      <c r="AR16" s="1">
        <v>1</v>
      </c>
      <c r="AS16" s="1">
        <v>0</v>
      </c>
      <c r="AT16" s="1">
        <v>1</v>
      </c>
      <c r="AU16" s="1">
        <v>0</v>
      </c>
      <c r="AV16" s="1">
        <v>1</v>
      </c>
      <c r="AW16" s="1">
        <v>1</v>
      </c>
      <c r="AX16" s="1">
        <v>1</v>
      </c>
      <c r="AY16" s="1">
        <v>1</v>
      </c>
      <c r="AZ16" s="1">
        <v>1</v>
      </c>
      <c r="BA16" s="1">
        <v>1</v>
      </c>
      <c r="BB16" s="1">
        <v>1</v>
      </c>
      <c r="BC16" s="1">
        <v>1</v>
      </c>
      <c r="BD16" s="1">
        <v>1</v>
      </c>
      <c r="BE16" s="1">
        <v>1</v>
      </c>
      <c r="BF16" s="1">
        <v>1</v>
      </c>
      <c r="BG16" s="1">
        <v>1</v>
      </c>
      <c r="BH16" s="1">
        <v>1</v>
      </c>
      <c r="BI16" s="1">
        <v>1</v>
      </c>
      <c r="BJ16" s="1">
        <v>1</v>
      </c>
      <c r="BK16" s="1">
        <v>1</v>
      </c>
      <c r="BL16" s="7">
        <f t="shared" si="0"/>
        <v>51</v>
      </c>
      <c r="BM16" s="9">
        <f t="shared" si="1"/>
        <v>2601</v>
      </c>
    </row>
    <row r="17" spans="1:65" ht="13.2" x14ac:dyDescent="0.25">
      <c r="A17" s="2">
        <v>45434.4014665625</v>
      </c>
      <c r="B17" s="3">
        <v>35</v>
      </c>
      <c r="C17" s="1" t="s">
        <v>75</v>
      </c>
      <c r="D17" s="1">
        <v>1</v>
      </c>
      <c r="E17" s="1">
        <v>1</v>
      </c>
      <c r="F17" s="1">
        <v>1</v>
      </c>
      <c r="G17" s="1">
        <v>0</v>
      </c>
      <c r="H17" s="1">
        <v>1</v>
      </c>
      <c r="I17" s="1">
        <v>0</v>
      </c>
      <c r="J17" s="1">
        <v>1</v>
      </c>
      <c r="K17" s="1">
        <v>1</v>
      </c>
      <c r="L17" s="1">
        <v>0</v>
      </c>
      <c r="M17" s="1">
        <v>0</v>
      </c>
      <c r="N17" s="1">
        <v>0</v>
      </c>
      <c r="O17" s="1">
        <v>1</v>
      </c>
      <c r="P17" s="1">
        <v>1</v>
      </c>
      <c r="Q17" s="1">
        <v>0</v>
      </c>
      <c r="R17" s="1">
        <v>0</v>
      </c>
      <c r="S17" s="1">
        <v>1</v>
      </c>
      <c r="T17" s="1">
        <v>1</v>
      </c>
      <c r="U17" s="1">
        <v>0</v>
      </c>
      <c r="V17" s="1">
        <v>1</v>
      </c>
      <c r="W17" s="1">
        <v>0</v>
      </c>
      <c r="X17" s="1">
        <v>0</v>
      </c>
      <c r="Y17" s="1">
        <v>1</v>
      </c>
      <c r="Z17" s="1">
        <v>1</v>
      </c>
      <c r="AA17" s="1">
        <v>1</v>
      </c>
      <c r="AB17" s="1">
        <v>1</v>
      </c>
      <c r="AC17" s="1">
        <v>1</v>
      </c>
      <c r="AD17" s="1">
        <v>0</v>
      </c>
      <c r="AE17" s="1">
        <v>1</v>
      </c>
      <c r="AF17" s="1">
        <v>1</v>
      </c>
      <c r="AG17" s="1">
        <v>1</v>
      </c>
      <c r="AH17" s="1">
        <v>0</v>
      </c>
      <c r="AI17" s="1">
        <v>0</v>
      </c>
      <c r="AJ17" s="1">
        <v>0</v>
      </c>
      <c r="AK17" s="1">
        <v>1</v>
      </c>
      <c r="AL17" s="1">
        <v>1</v>
      </c>
      <c r="AM17" s="1">
        <v>1</v>
      </c>
      <c r="AN17" s="1">
        <v>1</v>
      </c>
      <c r="AO17" s="1">
        <v>1</v>
      </c>
      <c r="AP17" s="1">
        <v>0</v>
      </c>
      <c r="AQ17" s="1">
        <v>0</v>
      </c>
      <c r="AR17" s="1">
        <v>0</v>
      </c>
      <c r="AS17" s="1">
        <v>0</v>
      </c>
      <c r="AT17" s="1">
        <v>1</v>
      </c>
      <c r="AU17" s="1">
        <v>1</v>
      </c>
      <c r="AV17" s="1">
        <v>0</v>
      </c>
      <c r="AW17" s="1">
        <v>0</v>
      </c>
      <c r="AX17" s="1">
        <v>0</v>
      </c>
      <c r="AY17" s="1">
        <v>1</v>
      </c>
      <c r="AZ17" s="1">
        <v>1</v>
      </c>
      <c r="BA17" s="1">
        <v>1</v>
      </c>
      <c r="BB17" s="1">
        <v>1</v>
      </c>
      <c r="BC17" s="1">
        <v>0</v>
      </c>
      <c r="BD17" s="1">
        <v>0</v>
      </c>
      <c r="BE17" s="1">
        <v>1</v>
      </c>
      <c r="BF17" s="1">
        <v>1</v>
      </c>
      <c r="BG17" s="1">
        <v>0</v>
      </c>
      <c r="BH17" s="1">
        <v>1</v>
      </c>
      <c r="BI17" s="1">
        <v>0</v>
      </c>
      <c r="BJ17" s="1">
        <v>1</v>
      </c>
      <c r="BK17" s="1">
        <v>1</v>
      </c>
      <c r="BL17" s="7">
        <f t="shared" si="0"/>
        <v>35</v>
      </c>
      <c r="BM17" s="9">
        <f t="shared" si="1"/>
        <v>1225</v>
      </c>
    </row>
    <row r="18" spans="1:65" ht="13.2" x14ac:dyDescent="0.25">
      <c r="A18" s="2">
        <v>45434.401543749998</v>
      </c>
      <c r="B18" s="3">
        <v>34</v>
      </c>
      <c r="C18" s="1" t="s">
        <v>76</v>
      </c>
      <c r="D18" s="1">
        <v>1</v>
      </c>
      <c r="E18" s="1">
        <v>1</v>
      </c>
      <c r="F18" s="1">
        <v>1</v>
      </c>
      <c r="G18" s="1">
        <v>1</v>
      </c>
      <c r="H18" s="1">
        <v>0</v>
      </c>
      <c r="I18" s="1">
        <v>1</v>
      </c>
      <c r="J18" s="1">
        <v>1</v>
      </c>
      <c r="K18" s="1">
        <v>0</v>
      </c>
      <c r="L18" s="1">
        <v>0</v>
      </c>
      <c r="M18" s="1">
        <v>1</v>
      </c>
      <c r="N18" s="1">
        <v>0</v>
      </c>
      <c r="O18" s="1">
        <v>1</v>
      </c>
      <c r="P18" s="1">
        <v>1</v>
      </c>
      <c r="Q18" s="1">
        <v>1</v>
      </c>
      <c r="R18" s="1">
        <v>0</v>
      </c>
      <c r="S18" s="1">
        <v>1</v>
      </c>
      <c r="T18" s="1">
        <v>1</v>
      </c>
      <c r="U18" s="1">
        <v>0</v>
      </c>
      <c r="V18" s="1">
        <v>0</v>
      </c>
      <c r="W18" s="1">
        <v>0</v>
      </c>
      <c r="X18" s="1">
        <v>0</v>
      </c>
      <c r="Y18" s="1">
        <v>1</v>
      </c>
      <c r="Z18" s="1">
        <v>0</v>
      </c>
      <c r="AA18" s="1">
        <v>1</v>
      </c>
      <c r="AB18" s="1">
        <v>1</v>
      </c>
      <c r="AC18" s="1">
        <v>0</v>
      </c>
      <c r="AD18" s="1">
        <v>0</v>
      </c>
      <c r="AE18" s="1">
        <v>1</v>
      </c>
      <c r="AF18" s="1">
        <v>1</v>
      </c>
      <c r="AG18" s="1">
        <v>1</v>
      </c>
      <c r="AH18" s="1">
        <v>0</v>
      </c>
      <c r="AI18" s="1">
        <v>1</v>
      </c>
      <c r="AJ18" s="1">
        <v>1</v>
      </c>
      <c r="AK18" s="1">
        <v>1</v>
      </c>
      <c r="AL18" s="1">
        <v>1</v>
      </c>
      <c r="AM18" s="1">
        <v>1</v>
      </c>
      <c r="AN18" s="1">
        <v>1</v>
      </c>
      <c r="AO18" s="1">
        <v>0</v>
      </c>
      <c r="AP18" s="1">
        <v>1</v>
      </c>
      <c r="AQ18" s="1">
        <v>1</v>
      </c>
      <c r="AR18" s="1">
        <v>0</v>
      </c>
      <c r="AS18" s="1">
        <v>1</v>
      </c>
      <c r="AT18" s="1">
        <v>1</v>
      </c>
      <c r="AU18" s="1">
        <v>0</v>
      </c>
      <c r="AV18" s="1">
        <v>0</v>
      </c>
      <c r="AW18" s="1">
        <v>0</v>
      </c>
      <c r="AX18" s="1">
        <v>0</v>
      </c>
      <c r="AY18" s="1">
        <v>1</v>
      </c>
      <c r="AZ18" s="1">
        <v>1</v>
      </c>
      <c r="BA18" s="1">
        <v>0</v>
      </c>
      <c r="BB18" s="1">
        <v>1</v>
      </c>
      <c r="BC18" s="1">
        <v>0</v>
      </c>
      <c r="BD18" s="1">
        <v>0</v>
      </c>
      <c r="BE18" s="1">
        <v>0</v>
      </c>
      <c r="BF18" s="1">
        <v>0</v>
      </c>
      <c r="BG18" s="1">
        <v>0</v>
      </c>
      <c r="BH18" s="1">
        <v>0</v>
      </c>
      <c r="BI18" s="1">
        <v>1</v>
      </c>
      <c r="BJ18" s="1">
        <v>1</v>
      </c>
      <c r="BK18" s="1">
        <v>1</v>
      </c>
      <c r="BL18" s="7">
        <f t="shared" si="0"/>
        <v>34</v>
      </c>
      <c r="BM18" s="9">
        <f t="shared" si="1"/>
        <v>1156</v>
      </c>
    </row>
    <row r="19" spans="1:65" ht="13.2" x14ac:dyDescent="0.25">
      <c r="A19" s="2">
        <v>45434.402329965276</v>
      </c>
      <c r="B19" s="3">
        <v>47</v>
      </c>
      <c r="C19" s="1" t="s">
        <v>77</v>
      </c>
      <c r="D19" s="1">
        <v>1</v>
      </c>
      <c r="E19" s="1">
        <v>1</v>
      </c>
      <c r="F19" s="1">
        <v>1</v>
      </c>
      <c r="G19" s="1">
        <v>1</v>
      </c>
      <c r="H19" s="1">
        <v>1</v>
      </c>
      <c r="I19" s="1">
        <v>0</v>
      </c>
      <c r="J19" s="1">
        <v>1</v>
      </c>
      <c r="K19" s="1">
        <v>0</v>
      </c>
      <c r="L19" s="1">
        <v>1</v>
      </c>
      <c r="M19" s="1">
        <v>1</v>
      </c>
      <c r="N19" s="1">
        <v>1</v>
      </c>
      <c r="O19" s="1">
        <v>1</v>
      </c>
      <c r="P19" s="1">
        <v>1</v>
      </c>
      <c r="Q19" s="1">
        <v>1</v>
      </c>
      <c r="R19" s="1">
        <v>0</v>
      </c>
      <c r="S19" s="1">
        <v>1</v>
      </c>
      <c r="T19" s="1">
        <v>1</v>
      </c>
      <c r="U19" s="1">
        <v>1</v>
      </c>
      <c r="V19" s="1">
        <v>1</v>
      </c>
      <c r="W19" s="1">
        <v>0</v>
      </c>
      <c r="X19" s="1">
        <v>1</v>
      </c>
      <c r="Y19" s="1">
        <v>1</v>
      </c>
      <c r="Z19" s="1">
        <v>1</v>
      </c>
      <c r="AA19" s="1">
        <v>1</v>
      </c>
      <c r="AB19" s="1">
        <v>1</v>
      </c>
      <c r="AC19" s="1">
        <v>0</v>
      </c>
      <c r="AD19" s="1">
        <v>0</v>
      </c>
      <c r="AE19" s="1">
        <v>1</v>
      </c>
      <c r="AF19" s="1">
        <v>1</v>
      </c>
      <c r="AG19" s="1">
        <v>1</v>
      </c>
      <c r="AH19" s="1">
        <v>1</v>
      </c>
      <c r="AI19" s="1">
        <v>1</v>
      </c>
      <c r="AJ19" s="1">
        <v>1</v>
      </c>
      <c r="AK19" s="1">
        <v>1</v>
      </c>
      <c r="AL19" s="1">
        <v>1</v>
      </c>
      <c r="AM19" s="1">
        <v>1</v>
      </c>
      <c r="AN19" s="1">
        <v>1</v>
      </c>
      <c r="AO19" s="1">
        <v>1</v>
      </c>
      <c r="AP19" s="1">
        <v>0</v>
      </c>
      <c r="AQ19" s="1">
        <v>1</v>
      </c>
      <c r="AR19" s="1">
        <v>0</v>
      </c>
      <c r="AS19" s="1">
        <v>0</v>
      </c>
      <c r="AT19" s="1">
        <v>1</v>
      </c>
      <c r="AU19" s="1">
        <v>1</v>
      </c>
      <c r="AV19" s="1">
        <v>1</v>
      </c>
      <c r="AW19" s="1">
        <v>0</v>
      </c>
      <c r="AX19" s="1">
        <v>1</v>
      </c>
      <c r="AY19" s="1">
        <v>1</v>
      </c>
      <c r="AZ19" s="1">
        <v>1</v>
      </c>
      <c r="BA19" s="1">
        <v>1</v>
      </c>
      <c r="BB19" s="1">
        <v>1</v>
      </c>
      <c r="BC19" s="1">
        <v>1</v>
      </c>
      <c r="BD19" s="1">
        <v>1</v>
      </c>
      <c r="BE19" s="1">
        <v>1</v>
      </c>
      <c r="BF19" s="1">
        <v>1</v>
      </c>
      <c r="BG19" s="1">
        <v>0</v>
      </c>
      <c r="BH19" s="1">
        <v>1</v>
      </c>
      <c r="BI19" s="1">
        <v>0</v>
      </c>
      <c r="BJ19" s="1">
        <v>1</v>
      </c>
      <c r="BK19" s="1">
        <v>0</v>
      </c>
      <c r="BL19" s="7">
        <f t="shared" si="0"/>
        <v>47</v>
      </c>
      <c r="BM19" s="9">
        <f t="shared" si="1"/>
        <v>2209</v>
      </c>
    </row>
    <row r="20" spans="1:65" ht="13.2" x14ac:dyDescent="0.25">
      <c r="A20" s="2">
        <v>45434.402655428239</v>
      </c>
      <c r="B20" s="3">
        <v>50</v>
      </c>
      <c r="C20" s="1" t="s">
        <v>78</v>
      </c>
      <c r="D20" s="1">
        <v>1</v>
      </c>
      <c r="E20" s="1">
        <v>1</v>
      </c>
      <c r="F20" s="1">
        <v>1</v>
      </c>
      <c r="G20" s="1">
        <v>1</v>
      </c>
      <c r="H20" s="1">
        <v>1</v>
      </c>
      <c r="I20" s="1">
        <v>1</v>
      </c>
      <c r="J20" s="1">
        <v>1</v>
      </c>
      <c r="K20" s="1">
        <v>1</v>
      </c>
      <c r="L20" s="1">
        <v>1</v>
      </c>
      <c r="M20" s="1">
        <v>1</v>
      </c>
      <c r="N20" s="1">
        <v>1</v>
      </c>
      <c r="O20" s="1">
        <v>1</v>
      </c>
      <c r="P20" s="1">
        <v>1</v>
      </c>
      <c r="Q20" s="1">
        <v>1</v>
      </c>
      <c r="R20" s="1">
        <v>1</v>
      </c>
      <c r="S20" s="1">
        <v>1</v>
      </c>
      <c r="T20" s="1">
        <v>1</v>
      </c>
      <c r="U20" s="1">
        <v>0</v>
      </c>
      <c r="V20" s="1">
        <v>1</v>
      </c>
      <c r="W20" s="1">
        <v>0</v>
      </c>
      <c r="X20" s="1">
        <v>1</v>
      </c>
      <c r="Y20" s="1">
        <v>1</v>
      </c>
      <c r="Z20" s="1">
        <v>1</v>
      </c>
      <c r="AA20" s="1">
        <v>1</v>
      </c>
      <c r="AB20" s="1">
        <v>1</v>
      </c>
      <c r="AC20" s="1">
        <v>1</v>
      </c>
      <c r="AD20" s="1">
        <v>0</v>
      </c>
      <c r="AE20" s="1">
        <v>1</v>
      </c>
      <c r="AF20" s="1">
        <v>1</v>
      </c>
      <c r="AG20" s="1">
        <v>1</v>
      </c>
      <c r="AH20" s="1">
        <v>1</v>
      </c>
      <c r="AI20" s="1">
        <v>0</v>
      </c>
      <c r="AJ20" s="1">
        <v>1</v>
      </c>
      <c r="AK20" s="1">
        <v>1</v>
      </c>
      <c r="AL20" s="1">
        <v>1</v>
      </c>
      <c r="AM20" s="1">
        <v>1</v>
      </c>
      <c r="AN20" s="1">
        <v>1</v>
      </c>
      <c r="AO20" s="1">
        <v>1</v>
      </c>
      <c r="AP20" s="1">
        <v>1</v>
      </c>
      <c r="AQ20" s="1">
        <v>1</v>
      </c>
      <c r="AR20" s="1">
        <v>0</v>
      </c>
      <c r="AS20" s="1">
        <v>1</v>
      </c>
      <c r="AT20" s="1">
        <v>1</v>
      </c>
      <c r="AU20" s="1">
        <v>1</v>
      </c>
      <c r="AV20" s="1">
        <v>0</v>
      </c>
      <c r="AW20" s="1">
        <v>0</v>
      </c>
      <c r="AX20" s="1">
        <v>1</v>
      </c>
      <c r="AY20" s="1">
        <v>1</v>
      </c>
      <c r="AZ20" s="1">
        <v>1</v>
      </c>
      <c r="BA20" s="1">
        <v>1</v>
      </c>
      <c r="BB20" s="1">
        <v>0</v>
      </c>
      <c r="BC20" s="1">
        <v>1</v>
      </c>
      <c r="BD20" s="1">
        <v>1</v>
      </c>
      <c r="BE20" s="1">
        <v>1</v>
      </c>
      <c r="BF20" s="1">
        <v>1</v>
      </c>
      <c r="BG20" s="1">
        <v>1</v>
      </c>
      <c r="BH20" s="1">
        <v>1</v>
      </c>
      <c r="BI20" s="1">
        <v>0</v>
      </c>
      <c r="BJ20" s="1">
        <v>1</v>
      </c>
      <c r="BK20" s="1">
        <v>0</v>
      </c>
      <c r="BL20" s="7">
        <f t="shared" si="0"/>
        <v>50</v>
      </c>
      <c r="BM20" s="9">
        <f t="shared" si="1"/>
        <v>2500</v>
      </c>
    </row>
    <row r="21" spans="1:65" ht="13.2" x14ac:dyDescent="0.25">
      <c r="A21" s="2">
        <v>45434.403245439811</v>
      </c>
      <c r="B21" s="3">
        <v>59</v>
      </c>
      <c r="C21" s="1" t="s">
        <v>79</v>
      </c>
      <c r="D21" s="1">
        <v>1</v>
      </c>
      <c r="E21" s="1">
        <v>1</v>
      </c>
      <c r="F21" s="1">
        <v>1</v>
      </c>
      <c r="G21" s="1">
        <v>1</v>
      </c>
      <c r="H21" s="1">
        <v>1</v>
      </c>
      <c r="I21" s="1">
        <v>1</v>
      </c>
      <c r="J21" s="1">
        <v>1</v>
      </c>
      <c r="K21" s="1">
        <v>1</v>
      </c>
      <c r="L21" s="1">
        <v>1</v>
      </c>
      <c r="M21" s="1">
        <v>1</v>
      </c>
      <c r="N21" s="1">
        <v>1</v>
      </c>
      <c r="O21" s="1">
        <v>1</v>
      </c>
      <c r="P21" s="1">
        <v>1</v>
      </c>
      <c r="Q21" s="1">
        <v>1</v>
      </c>
      <c r="R21" s="1">
        <v>1</v>
      </c>
      <c r="S21" s="1">
        <v>1</v>
      </c>
      <c r="T21" s="1">
        <v>1</v>
      </c>
      <c r="U21" s="1">
        <v>1</v>
      </c>
      <c r="V21" s="1">
        <v>1</v>
      </c>
      <c r="W21" s="1">
        <v>1</v>
      </c>
      <c r="X21" s="1">
        <v>1</v>
      </c>
      <c r="Y21" s="1">
        <v>1</v>
      </c>
      <c r="Z21" s="1">
        <v>1</v>
      </c>
      <c r="AA21" s="1">
        <v>1</v>
      </c>
      <c r="AB21" s="1">
        <v>1</v>
      </c>
      <c r="AC21" s="1">
        <v>1</v>
      </c>
      <c r="AD21" s="1">
        <v>1</v>
      </c>
      <c r="AE21" s="1">
        <v>1</v>
      </c>
      <c r="AF21" s="1">
        <v>1</v>
      </c>
      <c r="AG21" s="1">
        <v>1</v>
      </c>
      <c r="AH21" s="1">
        <v>1</v>
      </c>
      <c r="AI21" s="1">
        <v>0</v>
      </c>
      <c r="AJ21" s="1">
        <v>1</v>
      </c>
      <c r="AK21" s="1">
        <v>1</v>
      </c>
      <c r="AL21" s="1">
        <v>1</v>
      </c>
      <c r="AM21" s="1">
        <v>1</v>
      </c>
      <c r="AN21" s="1">
        <v>1</v>
      </c>
      <c r="AO21" s="1">
        <v>1</v>
      </c>
      <c r="AP21" s="1">
        <v>1</v>
      </c>
      <c r="AQ21" s="1">
        <v>1</v>
      </c>
      <c r="AR21" s="1">
        <v>1</v>
      </c>
      <c r="AS21" s="1">
        <v>1</v>
      </c>
      <c r="AT21" s="1">
        <v>1</v>
      </c>
      <c r="AU21" s="1">
        <v>1</v>
      </c>
      <c r="AV21" s="1">
        <v>1</v>
      </c>
      <c r="AW21" s="1">
        <v>1</v>
      </c>
      <c r="AX21" s="1">
        <v>1</v>
      </c>
      <c r="AY21" s="1">
        <v>1</v>
      </c>
      <c r="AZ21" s="1">
        <v>1</v>
      </c>
      <c r="BA21" s="1">
        <v>1</v>
      </c>
      <c r="BB21" s="1">
        <v>1</v>
      </c>
      <c r="BC21" s="1">
        <v>1</v>
      </c>
      <c r="BD21" s="1">
        <v>1</v>
      </c>
      <c r="BE21" s="1">
        <v>1</v>
      </c>
      <c r="BF21" s="1">
        <v>1</v>
      </c>
      <c r="BG21" s="1">
        <v>1</v>
      </c>
      <c r="BH21" s="1">
        <v>1</v>
      </c>
      <c r="BI21" s="1">
        <v>1</v>
      </c>
      <c r="BJ21" s="1">
        <v>1</v>
      </c>
      <c r="BK21" s="1">
        <v>1</v>
      </c>
      <c r="BL21" s="7">
        <f t="shared" si="0"/>
        <v>59</v>
      </c>
      <c r="BM21" s="9">
        <f t="shared" si="1"/>
        <v>3481</v>
      </c>
    </row>
    <row r="22" spans="1:65" ht="13.2" x14ac:dyDescent="0.25">
      <c r="A22" s="2">
        <v>45434.404048333337</v>
      </c>
      <c r="B22" s="3">
        <v>56</v>
      </c>
      <c r="C22" s="1" t="s">
        <v>80</v>
      </c>
      <c r="D22" s="1">
        <v>1</v>
      </c>
      <c r="E22" s="1">
        <v>0</v>
      </c>
      <c r="F22" s="1">
        <v>1</v>
      </c>
      <c r="G22" s="1">
        <v>0</v>
      </c>
      <c r="H22" s="1">
        <v>1</v>
      </c>
      <c r="I22" s="1">
        <v>1</v>
      </c>
      <c r="J22" s="1">
        <v>1</v>
      </c>
      <c r="K22" s="1">
        <v>1</v>
      </c>
      <c r="L22" s="1">
        <v>1</v>
      </c>
      <c r="M22" s="1">
        <v>1</v>
      </c>
      <c r="N22" s="1">
        <v>1</v>
      </c>
      <c r="O22" s="1">
        <v>1</v>
      </c>
      <c r="P22" s="1">
        <v>1</v>
      </c>
      <c r="Q22" s="1">
        <v>0</v>
      </c>
      <c r="R22" s="1">
        <v>1</v>
      </c>
      <c r="S22" s="1">
        <v>1</v>
      </c>
      <c r="T22" s="1">
        <v>1</v>
      </c>
      <c r="U22" s="1">
        <v>1</v>
      </c>
      <c r="V22" s="1">
        <v>1</v>
      </c>
      <c r="W22" s="1">
        <v>1</v>
      </c>
      <c r="X22" s="1">
        <v>1</v>
      </c>
      <c r="Y22" s="1">
        <v>1</v>
      </c>
      <c r="Z22" s="1">
        <v>0</v>
      </c>
      <c r="AA22" s="1">
        <v>1</v>
      </c>
      <c r="AB22" s="1">
        <v>1</v>
      </c>
      <c r="AC22" s="1">
        <v>1</v>
      </c>
      <c r="AD22" s="1">
        <v>1</v>
      </c>
      <c r="AE22" s="1">
        <v>1</v>
      </c>
      <c r="AF22" s="1">
        <v>1</v>
      </c>
      <c r="AG22" s="1">
        <v>1</v>
      </c>
      <c r="AH22" s="1">
        <v>1</v>
      </c>
      <c r="AI22" s="1">
        <v>1</v>
      </c>
      <c r="AJ22" s="1">
        <v>1</v>
      </c>
      <c r="AK22" s="1">
        <v>1</v>
      </c>
      <c r="AL22" s="1">
        <v>1</v>
      </c>
      <c r="AM22" s="1">
        <v>1</v>
      </c>
      <c r="AN22" s="1">
        <v>1</v>
      </c>
      <c r="AO22" s="1">
        <v>1</v>
      </c>
      <c r="AP22" s="1">
        <v>1</v>
      </c>
      <c r="AQ22" s="1">
        <v>1</v>
      </c>
      <c r="AR22" s="1">
        <v>1</v>
      </c>
      <c r="AS22" s="1">
        <v>1</v>
      </c>
      <c r="AT22" s="1">
        <v>1</v>
      </c>
      <c r="AU22" s="1">
        <v>1</v>
      </c>
      <c r="AV22" s="1">
        <v>1</v>
      </c>
      <c r="AW22" s="1">
        <v>1</v>
      </c>
      <c r="AX22" s="1">
        <v>1</v>
      </c>
      <c r="AY22" s="1">
        <v>1</v>
      </c>
      <c r="AZ22" s="1">
        <v>1</v>
      </c>
      <c r="BA22" s="1">
        <v>1</v>
      </c>
      <c r="BB22" s="1">
        <v>1</v>
      </c>
      <c r="BC22" s="1">
        <v>1</v>
      </c>
      <c r="BD22" s="1">
        <v>1</v>
      </c>
      <c r="BE22" s="1">
        <v>1</v>
      </c>
      <c r="BF22" s="1">
        <v>1</v>
      </c>
      <c r="BG22" s="1">
        <v>1</v>
      </c>
      <c r="BH22" s="1">
        <v>1</v>
      </c>
      <c r="BI22" s="1">
        <v>1</v>
      </c>
      <c r="BJ22" s="1">
        <v>1</v>
      </c>
      <c r="BK22" s="1">
        <v>1</v>
      </c>
      <c r="BL22" s="7">
        <f t="shared" si="0"/>
        <v>56</v>
      </c>
      <c r="BM22" s="9">
        <f t="shared" si="1"/>
        <v>3136</v>
      </c>
    </row>
    <row r="23" spans="1:65" ht="13.2" x14ac:dyDescent="0.25">
      <c r="A23" s="2">
        <v>45434.404597719906</v>
      </c>
      <c r="B23" s="3">
        <v>53</v>
      </c>
      <c r="C23" s="1" t="s">
        <v>81</v>
      </c>
      <c r="D23" s="1">
        <v>1</v>
      </c>
      <c r="E23" s="1">
        <v>1</v>
      </c>
      <c r="F23" s="1">
        <v>1</v>
      </c>
      <c r="G23" s="1">
        <v>1</v>
      </c>
      <c r="H23" s="1">
        <v>1</v>
      </c>
      <c r="I23" s="1">
        <v>1</v>
      </c>
      <c r="J23" s="1">
        <v>1</v>
      </c>
      <c r="K23" s="1">
        <v>1</v>
      </c>
      <c r="L23" s="1">
        <v>1</v>
      </c>
      <c r="M23" s="1">
        <v>1</v>
      </c>
      <c r="N23" s="1">
        <v>1</v>
      </c>
      <c r="O23" s="1">
        <v>1</v>
      </c>
      <c r="P23" s="1">
        <v>1</v>
      </c>
      <c r="Q23" s="1">
        <v>1</v>
      </c>
      <c r="R23" s="1">
        <v>1</v>
      </c>
      <c r="S23" s="1">
        <v>1</v>
      </c>
      <c r="T23" s="1">
        <v>1</v>
      </c>
      <c r="U23" s="1">
        <v>1</v>
      </c>
      <c r="V23" s="1">
        <v>1</v>
      </c>
      <c r="W23" s="1">
        <v>1</v>
      </c>
      <c r="X23" s="1">
        <v>1</v>
      </c>
      <c r="Y23" s="1">
        <v>1</v>
      </c>
      <c r="Z23" s="1">
        <v>1</v>
      </c>
      <c r="AA23" s="1">
        <v>1</v>
      </c>
      <c r="AB23" s="1">
        <v>1</v>
      </c>
      <c r="AC23" s="1">
        <v>1</v>
      </c>
      <c r="AD23" s="1">
        <v>0</v>
      </c>
      <c r="AE23" s="1">
        <v>1</v>
      </c>
      <c r="AF23" s="1">
        <v>1</v>
      </c>
      <c r="AG23" s="1">
        <v>1</v>
      </c>
      <c r="AH23" s="1">
        <v>1</v>
      </c>
      <c r="AI23" s="1">
        <v>1</v>
      </c>
      <c r="AJ23" s="1">
        <v>1</v>
      </c>
      <c r="AK23" s="1">
        <v>0</v>
      </c>
      <c r="AL23" s="1">
        <v>1</v>
      </c>
      <c r="AM23" s="1">
        <v>0</v>
      </c>
      <c r="AN23" s="1">
        <v>1</v>
      </c>
      <c r="AO23" s="1">
        <v>1</v>
      </c>
      <c r="AP23" s="1">
        <v>1</v>
      </c>
      <c r="AQ23" s="1">
        <v>1</v>
      </c>
      <c r="AR23" s="1">
        <v>1</v>
      </c>
      <c r="AS23" s="1">
        <v>0</v>
      </c>
      <c r="AT23" s="1">
        <v>1</v>
      </c>
      <c r="AU23" s="1">
        <v>1</v>
      </c>
      <c r="AV23" s="1">
        <v>1</v>
      </c>
      <c r="AW23" s="1">
        <v>1</v>
      </c>
      <c r="AX23" s="1">
        <v>1</v>
      </c>
      <c r="AY23" s="1">
        <v>0</v>
      </c>
      <c r="AZ23" s="1">
        <v>1</v>
      </c>
      <c r="BA23" s="1">
        <v>0</v>
      </c>
      <c r="BB23" s="1">
        <v>1</v>
      </c>
      <c r="BC23" s="1">
        <v>1</v>
      </c>
      <c r="BD23" s="1">
        <v>1</v>
      </c>
      <c r="BE23" s="1">
        <v>1</v>
      </c>
      <c r="BF23" s="1">
        <v>1</v>
      </c>
      <c r="BG23" s="1">
        <v>1</v>
      </c>
      <c r="BH23" s="1">
        <v>1</v>
      </c>
      <c r="BI23" s="1">
        <v>0</v>
      </c>
      <c r="BJ23" s="1">
        <v>1</v>
      </c>
      <c r="BK23" s="1">
        <v>1</v>
      </c>
      <c r="BL23" s="7">
        <f t="shared" si="0"/>
        <v>53</v>
      </c>
      <c r="BM23" s="9">
        <f t="shared" si="1"/>
        <v>2809</v>
      </c>
    </row>
    <row r="24" spans="1:65" ht="13.2" x14ac:dyDescent="0.25">
      <c r="A24" s="2">
        <v>45434.404815682872</v>
      </c>
      <c r="B24" s="3">
        <v>31</v>
      </c>
      <c r="C24" s="1" t="s">
        <v>82</v>
      </c>
      <c r="D24" s="1">
        <v>1</v>
      </c>
      <c r="E24" s="1">
        <v>0</v>
      </c>
      <c r="F24" s="1">
        <v>0</v>
      </c>
      <c r="G24" s="1">
        <v>0</v>
      </c>
      <c r="H24" s="1">
        <v>0</v>
      </c>
      <c r="I24" s="1">
        <v>1</v>
      </c>
      <c r="J24" s="1">
        <v>0</v>
      </c>
      <c r="K24" s="1">
        <v>1</v>
      </c>
      <c r="L24" s="1">
        <v>1</v>
      </c>
      <c r="M24" s="1">
        <v>1</v>
      </c>
      <c r="N24" s="1">
        <v>0</v>
      </c>
      <c r="O24" s="1">
        <v>1</v>
      </c>
      <c r="P24" s="1">
        <v>0</v>
      </c>
      <c r="Q24" s="1">
        <v>1</v>
      </c>
      <c r="R24" s="1">
        <v>0</v>
      </c>
      <c r="S24" s="1">
        <v>1</v>
      </c>
      <c r="T24" s="1">
        <v>1</v>
      </c>
      <c r="U24" s="1">
        <v>1</v>
      </c>
      <c r="V24" s="1">
        <v>0</v>
      </c>
      <c r="W24" s="1">
        <v>1</v>
      </c>
      <c r="X24" s="1">
        <v>1</v>
      </c>
      <c r="Y24" s="1">
        <v>1</v>
      </c>
      <c r="Z24" s="1">
        <v>0</v>
      </c>
      <c r="AA24" s="1">
        <v>0</v>
      </c>
      <c r="AB24" s="1">
        <v>1</v>
      </c>
      <c r="AC24" s="1">
        <v>0</v>
      </c>
      <c r="AD24" s="1">
        <v>0</v>
      </c>
      <c r="AE24" s="1">
        <v>1</v>
      </c>
      <c r="AF24" s="1">
        <v>1</v>
      </c>
      <c r="AG24" s="1">
        <v>0</v>
      </c>
      <c r="AH24" s="1">
        <v>1</v>
      </c>
      <c r="AI24" s="1">
        <v>0</v>
      </c>
      <c r="AJ24" s="1">
        <v>1</v>
      </c>
      <c r="AK24" s="1">
        <v>1</v>
      </c>
      <c r="AL24" s="1">
        <v>0</v>
      </c>
      <c r="AM24" s="1">
        <v>1</v>
      </c>
      <c r="AN24" s="1">
        <v>1</v>
      </c>
      <c r="AO24" s="1">
        <v>0</v>
      </c>
      <c r="AP24" s="1">
        <v>0</v>
      </c>
      <c r="AQ24" s="1">
        <v>1</v>
      </c>
      <c r="AR24" s="1">
        <v>1</v>
      </c>
      <c r="AS24" s="1">
        <v>1</v>
      </c>
      <c r="AT24" s="1">
        <v>0</v>
      </c>
      <c r="AU24" s="1">
        <v>0</v>
      </c>
      <c r="AV24" s="1">
        <v>0</v>
      </c>
      <c r="AW24" s="1">
        <v>0</v>
      </c>
      <c r="AX24" s="1">
        <v>1</v>
      </c>
      <c r="AY24" s="1">
        <v>1</v>
      </c>
      <c r="AZ24" s="1">
        <v>0</v>
      </c>
      <c r="BA24" s="1">
        <v>0</v>
      </c>
      <c r="BB24" s="1">
        <v>1</v>
      </c>
      <c r="BC24" s="1">
        <v>0</v>
      </c>
      <c r="BD24" s="1">
        <v>1</v>
      </c>
      <c r="BE24" s="1">
        <v>0</v>
      </c>
      <c r="BF24" s="1">
        <v>1</v>
      </c>
      <c r="BG24" s="1">
        <v>1</v>
      </c>
      <c r="BH24" s="1">
        <v>0</v>
      </c>
      <c r="BI24" s="1">
        <v>0</v>
      </c>
      <c r="BJ24" s="1">
        <v>1</v>
      </c>
      <c r="BK24" s="1">
        <v>0</v>
      </c>
      <c r="BL24" s="7">
        <f t="shared" si="0"/>
        <v>31</v>
      </c>
      <c r="BM24" s="9">
        <f t="shared" si="1"/>
        <v>961</v>
      </c>
    </row>
    <row r="25" spans="1:65" ht="13.2" x14ac:dyDescent="0.25">
      <c r="A25" s="2">
        <v>45434.404964467598</v>
      </c>
      <c r="B25" s="3">
        <v>31</v>
      </c>
      <c r="C25" s="1" t="s">
        <v>83</v>
      </c>
      <c r="D25" s="1">
        <v>1</v>
      </c>
      <c r="E25" s="1">
        <v>0</v>
      </c>
      <c r="F25" s="1">
        <v>1</v>
      </c>
      <c r="G25" s="1">
        <v>0</v>
      </c>
      <c r="H25" s="1">
        <v>0</v>
      </c>
      <c r="I25" s="1">
        <v>0</v>
      </c>
      <c r="J25" s="1">
        <v>1</v>
      </c>
      <c r="K25" s="1">
        <v>1</v>
      </c>
      <c r="L25" s="1">
        <v>0</v>
      </c>
      <c r="M25" s="1">
        <v>1</v>
      </c>
      <c r="N25" s="1">
        <v>1</v>
      </c>
      <c r="O25" s="1">
        <v>1</v>
      </c>
      <c r="P25" s="1">
        <v>1</v>
      </c>
      <c r="Q25" s="1">
        <v>1</v>
      </c>
      <c r="R25" s="1">
        <v>0</v>
      </c>
      <c r="S25" s="1">
        <v>1</v>
      </c>
      <c r="T25" s="1">
        <v>1</v>
      </c>
      <c r="U25" s="1">
        <v>0</v>
      </c>
      <c r="V25" s="1">
        <v>0</v>
      </c>
      <c r="W25" s="1">
        <v>0</v>
      </c>
      <c r="X25" s="1">
        <v>0</v>
      </c>
      <c r="Y25" s="1">
        <v>1</v>
      </c>
      <c r="Z25" s="1">
        <v>1</v>
      </c>
      <c r="AA25" s="1">
        <v>0</v>
      </c>
      <c r="AB25" s="1">
        <v>1</v>
      </c>
      <c r="AC25" s="1">
        <v>0</v>
      </c>
      <c r="AD25" s="1">
        <v>0</v>
      </c>
      <c r="AE25" s="1">
        <v>1</v>
      </c>
      <c r="AF25" s="1">
        <v>1</v>
      </c>
      <c r="AG25" s="1">
        <v>1</v>
      </c>
      <c r="AH25" s="1">
        <v>1</v>
      </c>
      <c r="AI25" s="1">
        <v>1</v>
      </c>
      <c r="AJ25" s="1">
        <v>1</v>
      </c>
      <c r="AK25" s="1">
        <v>0</v>
      </c>
      <c r="AL25" s="1">
        <v>0</v>
      </c>
      <c r="AM25" s="1">
        <v>0</v>
      </c>
      <c r="AN25" s="1">
        <v>1</v>
      </c>
      <c r="AO25" s="1">
        <v>0</v>
      </c>
      <c r="AP25" s="1">
        <v>0</v>
      </c>
      <c r="AQ25" s="1">
        <v>1</v>
      </c>
      <c r="AR25" s="1">
        <v>1</v>
      </c>
      <c r="AS25" s="1">
        <v>0</v>
      </c>
      <c r="AT25" s="1">
        <v>0</v>
      </c>
      <c r="AU25" s="1">
        <v>0</v>
      </c>
      <c r="AV25" s="1">
        <v>1</v>
      </c>
      <c r="AW25" s="1">
        <v>0</v>
      </c>
      <c r="AX25" s="1">
        <v>1</v>
      </c>
      <c r="AY25" s="1">
        <v>1</v>
      </c>
      <c r="AZ25" s="1">
        <v>1</v>
      </c>
      <c r="BA25" s="1">
        <v>0</v>
      </c>
      <c r="BB25" s="1">
        <v>1</v>
      </c>
      <c r="BC25" s="1">
        <v>0</v>
      </c>
      <c r="BD25" s="1">
        <v>0</v>
      </c>
      <c r="BE25" s="1">
        <v>0</v>
      </c>
      <c r="BF25" s="1">
        <v>1</v>
      </c>
      <c r="BG25" s="1">
        <v>0</v>
      </c>
      <c r="BH25" s="1">
        <v>0</v>
      </c>
      <c r="BI25" s="1">
        <v>1</v>
      </c>
      <c r="BJ25" s="1">
        <v>1</v>
      </c>
      <c r="BK25" s="1">
        <v>0</v>
      </c>
      <c r="BL25" s="7">
        <f t="shared" si="0"/>
        <v>31</v>
      </c>
      <c r="BM25" s="9">
        <f t="shared" si="1"/>
        <v>961</v>
      </c>
    </row>
    <row r="26" spans="1:65" ht="13.2" x14ac:dyDescent="0.25">
      <c r="A26" s="2">
        <v>45434.406074409722</v>
      </c>
      <c r="B26" s="3">
        <v>48</v>
      </c>
      <c r="C26" s="1" t="s">
        <v>84</v>
      </c>
      <c r="D26" s="1">
        <v>1</v>
      </c>
      <c r="E26" s="1">
        <v>0</v>
      </c>
      <c r="F26" s="1">
        <v>0</v>
      </c>
      <c r="G26" s="1">
        <v>1</v>
      </c>
      <c r="H26" s="1">
        <v>1</v>
      </c>
      <c r="I26" s="1">
        <v>0</v>
      </c>
      <c r="J26" s="1">
        <v>0</v>
      </c>
      <c r="K26" s="1">
        <v>1</v>
      </c>
      <c r="L26" s="1">
        <v>1</v>
      </c>
      <c r="M26" s="1">
        <v>1</v>
      </c>
      <c r="N26" s="1">
        <v>1</v>
      </c>
      <c r="O26" s="1">
        <v>1</v>
      </c>
      <c r="P26" s="1">
        <v>1</v>
      </c>
      <c r="Q26" s="1">
        <v>1</v>
      </c>
      <c r="R26" s="1">
        <v>0</v>
      </c>
      <c r="S26" s="1">
        <v>1</v>
      </c>
      <c r="T26" s="1">
        <v>1</v>
      </c>
      <c r="U26" s="1">
        <v>1</v>
      </c>
      <c r="V26" s="1">
        <v>1</v>
      </c>
      <c r="W26" s="1">
        <v>1</v>
      </c>
      <c r="X26" s="1">
        <v>1</v>
      </c>
      <c r="Y26" s="1">
        <v>1</v>
      </c>
      <c r="Z26" s="1">
        <v>1</v>
      </c>
      <c r="AA26" s="1">
        <v>1</v>
      </c>
      <c r="AB26" s="1">
        <v>1</v>
      </c>
      <c r="AC26" s="1">
        <v>1</v>
      </c>
      <c r="AD26" s="1">
        <v>0</v>
      </c>
      <c r="AE26" s="1">
        <v>1</v>
      </c>
      <c r="AF26" s="1">
        <v>1</v>
      </c>
      <c r="AG26" s="1">
        <v>1</v>
      </c>
      <c r="AH26" s="1">
        <v>1</v>
      </c>
      <c r="AI26" s="1">
        <v>1</v>
      </c>
      <c r="AJ26" s="1">
        <v>1</v>
      </c>
      <c r="AK26" s="1">
        <v>1</v>
      </c>
      <c r="AL26" s="1">
        <v>1</v>
      </c>
      <c r="AM26" s="1">
        <v>0</v>
      </c>
      <c r="AN26" s="1">
        <v>1</v>
      </c>
      <c r="AO26" s="1">
        <v>0</v>
      </c>
      <c r="AP26" s="1">
        <v>1</v>
      </c>
      <c r="AQ26" s="1">
        <v>1</v>
      </c>
      <c r="AR26" s="1">
        <v>1</v>
      </c>
      <c r="AS26" s="1">
        <v>1</v>
      </c>
      <c r="AT26" s="1">
        <v>1</v>
      </c>
      <c r="AU26" s="1">
        <v>1</v>
      </c>
      <c r="AV26" s="1">
        <v>1</v>
      </c>
      <c r="AW26" s="1">
        <v>0</v>
      </c>
      <c r="AX26" s="1">
        <v>1</v>
      </c>
      <c r="AY26" s="1">
        <v>1</v>
      </c>
      <c r="AZ26" s="1">
        <v>1</v>
      </c>
      <c r="BA26" s="1">
        <v>1</v>
      </c>
      <c r="BB26" s="1">
        <v>1</v>
      </c>
      <c r="BC26" s="1">
        <v>1</v>
      </c>
      <c r="BD26" s="1">
        <v>0</v>
      </c>
      <c r="BE26" s="1">
        <v>1</v>
      </c>
      <c r="BF26" s="1">
        <v>1</v>
      </c>
      <c r="BG26" s="1">
        <v>1</v>
      </c>
      <c r="BH26" s="1">
        <v>1</v>
      </c>
      <c r="BI26" s="1">
        <v>0</v>
      </c>
      <c r="BJ26" s="1">
        <v>1</v>
      </c>
      <c r="BK26" s="1">
        <v>0</v>
      </c>
      <c r="BL26" s="7">
        <f t="shared" si="0"/>
        <v>48</v>
      </c>
      <c r="BM26" s="9">
        <f t="shared" si="1"/>
        <v>2304</v>
      </c>
    </row>
    <row r="27" spans="1:65" ht="13.2" x14ac:dyDescent="0.25">
      <c r="A27" s="2">
        <v>45434.406166550922</v>
      </c>
      <c r="B27" s="3">
        <v>26</v>
      </c>
      <c r="C27" s="1" t="s">
        <v>85</v>
      </c>
      <c r="D27" s="1">
        <v>1</v>
      </c>
      <c r="E27" s="1">
        <v>0</v>
      </c>
      <c r="F27" s="1">
        <v>1</v>
      </c>
      <c r="G27" s="1">
        <v>0</v>
      </c>
      <c r="H27" s="1">
        <v>0</v>
      </c>
      <c r="I27" s="1">
        <v>0</v>
      </c>
      <c r="J27" s="1">
        <v>0</v>
      </c>
      <c r="K27" s="1">
        <v>0</v>
      </c>
      <c r="L27" s="1">
        <v>0</v>
      </c>
      <c r="M27" s="1">
        <v>0</v>
      </c>
      <c r="N27" s="1">
        <v>1</v>
      </c>
      <c r="O27" s="1">
        <v>0</v>
      </c>
      <c r="P27" s="1">
        <v>0</v>
      </c>
      <c r="Q27" s="1">
        <v>1</v>
      </c>
      <c r="R27" s="1">
        <v>0</v>
      </c>
      <c r="S27" s="1">
        <v>0</v>
      </c>
      <c r="T27" s="1">
        <v>1</v>
      </c>
      <c r="U27" s="1">
        <v>0</v>
      </c>
      <c r="V27" s="1">
        <v>0</v>
      </c>
      <c r="W27" s="1">
        <v>0</v>
      </c>
      <c r="X27" s="1">
        <v>0</v>
      </c>
      <c r="Y27" s="1">
        <v>0</v>
      </c>
      <c r="Z27" s="1">
        <v>0</v>
      </c>
      <c r="AA27" s="1">
        <v>0</v>
      </c>
      <c r="AB27" s="1">
        <v>0</v>
      </c>
      <c r="AC27" s="1">
        <v>0</v>
      </c>
      <c r="AD27" s="1">
        <v>0</v>
      </c>
      <c r="AE27" s="1">
        <v>1</v>
      </c>
      <c r="AF27" s="1">
        <v>1</v>
      </c>
      <c r="AG27" s="1">
        <v>0</v>
      </c>
      <c r="AH27" s="1">
        <v>0</v>
      </c>
      <c r="AI27" s="1">
        <v>1</v>
      </c>
      <c r="AJ27" s="1">
        <v>0</v>
      </c>
      <c r="AK27" s="1">
        <v>0</v>
      </c>
      <c r="AL27" s="1">
        <v>0</v>
      </c>
      <c r="AM27" s="1">
        <v>0</v>
      </c>
      <c r="AN27" s="1">
        <v>1</v>
      </c>
      <c r="AO27" s="1">
        <v>0</v>
      </c>
      <c r="AP27" s="1">
        <v>0</v>
      </c>
      <c r="AQ27" s="1">
        <v>1</v>
      </c>
      <c r="AR27" s="1">
        <v>0</v>
      </c>
      <c r="AS27" s="1">
        <v>0</v>
      </c>
      <c r="AT27" s="1">
        <v>0</v>
      </c>
      <c r="AU27" s="1">
        <v>1</v>
      </c>
      <c r="AV27" s="1">
        <v>1</v>
      </c>
      <c r="AW27" s="1">
        <v>1</v>
      </c>
      <c r="AX27" s="1">
        <v>0</v>
      </c>
      <c r="AY27" s="1">
        <v>1</v>
      </c>
      <c r="AZ27" s="1">
        <v>1</v>
      </c>
      <c r="BA27" s="1">
        <v>1</v>
      </c>
      <c r="BB27" s="1">
        <v>1</v>
      </c>
      <c r="BC27" s="1">
        <v>1</v>
      </c>
      <c r="BD27" s="1">
        <v>1</v>
      </c>
      <c r="BE27" s="1">
        <v>1</v>
      </c>
      <c r="BF27" s="1">
        <v>1</v>
      </c>
      <c r="BG27" s="1">
        <v>1</v>
      </c>
      <c r="BH27" s="1">
        <v>1</v>
      </c>
      <c r="BI27" s="1">
        <v>1</v>
      </c>
      <c r="BJ27" s="1">
        <v>1</v>
      </c>
      <c r="BK27" s="1">
        <v>1</v>
      </c>
      <c r="BL27" s="7">
        <f t="shared" si="0"/>
        <v>26</v>
      </c>
      <c r="BM27" s="9">
        <f t="shared" si="1"/>
        <v>676</v>
      </c>
    </row>
    <row r="28" spans="1:65" ht="13.2" x14ac:dyDescent="0.25">
      <c r="A28" s="2">
        <v>45434.40633618056</v>
      </c>
      <c r="B28" s="3">
        <v>47</v>
      </c>
      <c r="C28" s="1" t="s">
        <v>86</v>
      </c>
      <c r="D28" s="1">
        <v>1</v>
      </c>
      <c r="E28" s="1">
        <v>1</v>
      </c>
      <c r="F28" s="1">
        <v>1</v>
      </c>
      <c r="G28" s="1">
        <v>1</v>
      </c>
      <c r="H28" s="1">
        <v>1</v>
      </c>
      <c r="I28" s="1">
        <v>1</v>
      </c>
      <c r="J28" s="1">
        <v>1</v>
      </c>
      <c r="K28" s="1">
        <v>1</v>
      </c>
      <c r="L28" s="1">
        <v>1</v>
      </c>
      <c r="M28" s="1">
        <v>1</v>
      </c>
      <c r="N28" s="1">
        <v>1</v>
      </c>
      <c r="O28" s="1">
        <v>1</v>
      </c>
      <c r="P28" s="1">
        <v>1</v>
      </c>
      <c r="Q28" s="1">
        <v>1</v>
      </c>
      <c r="R28" s="1">
        <v>0</v>
      </c>
      <c r="S28" s="1">
        <v>1</v>
      </c>
      <c r="T28" s="1">
        <v>0</v>
      </c>
      <c r="U28" s="1">
        <v>0</v>
      </c>
      <c r="V28" s="1">
        <v>0</v>
      </c>
      <c r="W28" s="1">
        <v>0</v>
      </c>
      <c r="X28" s="1">
        <v>0</v>
      </c>
      <c r="Y28" s="1">
        <v>1</v>
      </c>
      <c r="Z28" s="1">
        <v>1</v>
      </c>
      <c r="AA28" s="1">
        <v>1</v>
      </c>
      <c r="AB28" s="1">
        <v>1</v>
      </c>
      <c r="AC28" s="1">
        <v>1</v>
      </c>
      <c r="AD28" s="1">
        <v>0</v>
      </c>
      <c r="AE28" s="1">
        <v>1</v>
      </c>
      <c r="AF28" s="1">
        <v>1</v>
      </c>
      <c r="AG28" s="1">
        <v>1</v>
      </c>
      <c r="AH28" s="1">
        <v>1</v>
      </c>
      <c r="AI28" s="1">
        <v>1</v>
      </c>
      <c r="AJ28" s="1">
        <v>1</v>
      </c>
      <c r="AK28" s="1">
        <v>1</v>
      </c>
      <c r="AL28" s="1">
        <v>1</v>
      </c>
      <c r="AM28" s="1">
        <v>1</v>
      </c>
      <c r="AN28" s="1">
        <v>1</v>
      </c>
      <c r="AO28" s="1">
        <v>1</v>
      </c>
      <c r="AP28" s="1">
        <v>1</v>
      </c>
      <c r="AQ28" s="1">
        <v>1</v>
      </c>
      <c r="AR28" s="1">
        <v>0</v>
      </c>
      <c r="AS28" s="1">
        <v>1</v>
      </c>
      <c r="AT28" s="1">
        <v>1</v>
      </c>
      <c r="AU28" s="1">
        <v>1</v>
      </c>
      <c r="AV28" s="1">
        <v>1</v>
      </c>
      <c r="AW28" s="1">
        <v>0</v>
      </c>
      <c r="AX28" s="1">
        <v>1</v>
      </c>
      <c r="AY28" s="1">
        <v>1</v>
      </c>
      <c r="AZ28" s="1">
        <v>0</v>
      </c>
      <c r="BA28" s="1">
        <v>0</v>
      </c>
      <c r="BB28" s="1">
        <v>1</v>
      </c>
      <c r="BC28" s="1">
        <v>0</v>
      </c>
      <c r="BD28" s="1">
        <v>1</v>
      </c>
      <c r="BE28" s="1">
        <v>1</v>
      </c>
      <c r="BF28" s="1">
        <v>1</v>
      </c>
      <c r="BG28" s="1">
        <v>1</v>
      </c>
      <c r="BH28" s="1">
        <v>1</v>
      </c>
      <c r="BI28" s="1">
        <v>1</v>
      </c>
      <c r="BJ28" s="1">
        <v>1</v>
      </c>
      <c r="BK28" s="1">
        <v>0</v>
      </c>
      <c r="BL28" s="7">
        <f t="shared" si="0"/>
        <v>47</v>
      </c>
      <c r="BM28" s="9">
        <f t="shared" si="1"/>
        <v>2209</v>
      </c>
    </row>
    <row r="29" spans="1:65" ht="13.2" x14ac:dyDescent="0.25">
      <c r="A29" s="2">
        <v>45434.406333969906</v>
      </c>
      <c r="B29" s="3">
        <v>47</v>
      </c>
      <c r="C29" s="1" t="s">
        <v>87</v>
      </c>
      <c r="D29" s="1">
        <v>1</v>
      </c>
      <c r="E29" s="1">
        <v>1</v>
      </c>
      <c r="F29" s="1">
        <v>1</v>
      </c>
      <c r="G29" s="1">
        <v>1</v>
      </c>
      <c r="H29" s="1">
        <v>1</v>
      </c>
      <c r="I29" s="1">
        <v>1</v>
      </c>
      <c r="J29" s="1">
        <v>1</v>
      </c>
      <c r="K29" s="1">
        <v>1</v>
      </c>
      <c r="L29" s="1">
        <v>1</v>
      </c>
      <c r="M29" s="1">
        <v>1</v>
      </c>
      <c r="N29" s="1">
        <v>1</v>
      </c>
      <c r="O29" s="1">
        <v>1</v>
      </c>
      <c r="P29" s="1">
        <v>1</v>
      </c>
      <c r="Q29" s="1">
        <v>1</v>
      </c>
      <c r="R29" s="1">
        <v>0</v>
      </c>
      <c r="S29" s="1">
        <v>1</v>
      </c>
      <c r="T29" s="1">
        <v>0</v>
      </c>
      <c r="U29" s="1">
        <v>0</v>
      </c>
      <c r="V29" s="1">
        <v>0</v>
      </c>
      <c r="W29" s="1">
        <v>0</v>
      </c>
      <c r="X29" s="1">
        <v>0</v>
      </c>
      <c r="Y29" s="1">
        <v>1</v>
      </c>
      <c r="Z29" s="1">
        <v>1</v>
      </c>
      <c r="AA29" s="1">
        <v>1</v>
      </c>
      <c r="AB29" s="1">
        <v>1</v>
      </c>
      <c r="AC29" s="1">
        <v>1</v>
      </c>
      <c r="AD29" s="1">
        <v>0</v>
      </c>
      <c r="AE29" s="1">
        <v>1</v>
      </c>
      <c r="AF29" s="1">
        <v>1</v>
      </c>
      <c r="AG29" s="1">
        <v>1</v>
      </c>
      <c r="AH29" s="1">
        <v>1</v>
      </c>
      <c r="AI29" s="1">
        <v>1</v>
      </c>
      <c r="AJ29" s="1">
        <v>1</v>
      </c>
      <c r="AK29" s="1">
        <v>1</v>
      </c>
      <c r="AL29" s="1">
        <v>1</v>
      </c>
      <c r="AM29" s="1">
        <v>1</v>
      </c>
      <c r="AN29" s="1">
        <v>1</v>
      </c>
      <c r="AO29" s="1">
        <v>1</v>
      </c>
      <c r="AP29" s="1">
        <v>1</v>
      </c>
      <c r="AQ29" s="1">
        <v>1</v>
      </c>
      <c r="AR29" s="1">
        <v>0</v>
      </c>
      <c r="AS29" s="1">
        <v>1</v>
      </c>
      <c r="AT29" s="1">
        <v>1</v>
      </c>
      <c r="AU29" s="1">
        <v>1</v>
      </c>
      <c r="AV29" s="1">
        <v>1</v>
      </c>
      <c r="AW29" s="1">
        <v>0</v>
      </c>
      <c r="AX29" s="1">
        <v>1</v>
      </c>
      <c r="AY29" s="1">
        <v>1</v>
      </c>
      <c r="AZ29" s="1">
        <v>0</v>
      </c>
      <c r="BA29" s="1">
        <v>0</v>
      </c>
      <c r="BB29" s="1">
        <v>1</v>
      </c>
      <c r="BC29" s="1">
        <v>0</v>
      </c>
      <c r="BD29" s="1">
        <v>1</v>
      </c>
      <c r="BE29" s="1">
        <v>1</v>
      </c>
      <c r="BF29" s="1">
        <v>1</v>
      </c>
      <c r="BG29" s="1">
        <v>1</v>
      </c>
      <c r="BH29" s="1">
        <v>1</v>
      </c>
      <c r="BI29" s="1">
        <v>1</v>
      </c>
      <c r="BJ29" s="1">
        <v>1</v>
      </c>
      <c r="BK29" s="1">
        <v>0</v>
      </c>
      <c r="BL29" s="7">
        <f t="shared" si="0"/>
        <v>47</v>
      </c>
      <c r="BM29" s="9">
        <f t="shared" si="1"/>
        <v>2209</v>
      </c>
    </row>
    <row r="30" spans="1:65" ht="13.2" x14ac:dyDescent="0.25">
      <c r="A30" s="2">
        <v>45434.407689641201</v>
      </c>
      <c r="B30" s="3">
        <v>60</v>
      </c>
      <c r="C30" s="1" t="s">
        <v>88</v>
      </c>
      <c r="D30" s="1">
        <v>1</v>
      </c>
      <c r="E30" s="1">
        <v>1</v>
      </c>
      <c r="F30" s="1">
        <v>1</v>
      </c>
      <c r="G30" s="1">
        <v>1</v>
      </c>
      <c r="H30" s="1">
        <v>1</v>
      </c>
      <c r="I30" s="1">
        <v>1</v>
      </c>
      <c r="J30" s="1">
        <v>1</v>
      </c>
      <c r="K30" s="1">
        <v>1</v>
      </c>
      <c r="L30" s="1">
        <v>1</v>
      </c>
      <c r="M30" s="1">
        <v>1</v>
      </c>
      <c r="N30" s="1">
        <v>1</v>
      </c>
      <c r="O30" s="1">
        <v>1</v>
      </c>
      <c r="P30" s="1">
        <v>1</v>
      </c>
      <c r="Q30" s="1">
        <v>1</v>
      </c>
      <c r="R30" s="1">
        <v>1</v>
      </c>
      <c r="S30" s="1">
        <v>1</v>
      </c>
      <c r="T30" s="1">
        <v>1</v>
      </c>
      <c r="U30" s="1">
        <v>1</v>
      </c>
      <c r="V30" s="1">
        <v>1</v>
      </c>
      <c r="W30" s="1">
        <v>1</v>
      </c>
      <c r="X30" s="1">
        <v>1</v>
      </c>
      <c r="Y30" s="1">
        <v>1</v>
      </c>
      <c r="Z30" s="1">
        <v>1</v>
      </c>
      <c r="AA30" s="1">
        <v>1</v>
      </c>
      <c r="AB30" s="1">
        <v>1</v>
      </c>
      <c r="AC30" s="1">
        <v>1</v>
      </c>
      <c r="AD30" s="1">
        <v>1</v>
      </c>
      <c r="AE30" s="1">
        <v>1</v>
      </c>
      <c r="AF30" s="1">
        <v>1</v>
      </c>
      <c r="AG30" s="1">
        <v>1</v>
      </c>
      <c r="AH30" s="1">
        <v>1</v>
      </c>
      <c r="AI30" s="1">
        <v>1</v>
      </c>
      <c r="AJ30" s="1">
        <v>1</v>
      </c>
      <c r="AK30" s="1">
        <v>1</v>
      </c>
      <c r="AL30" s="1">
        <v>1</v>
      </c>
      <c r="AM30" s="1">
        <v>1</v>
      </c>
      <c r="AN30" s="1">
        <v>1</v>
      </c>
      <c r="AO30" s="1">
        <v>1</v>
      </c>
      <c r="AP30" s="1">
        <v>1</v>
      </c>
      <c r="AQ30" s="1">
        <v>1</v>
      </c>
      <c r="AR30" s="1">
        <v>1</v>
      </c>
      <c r="AS30" s="1">
        <v>1</v>
      </c>
      <c r="AT30" s="1">
        <v>1</v>
      </c>
      <c r="AU30" s="1">
        <v>1</v>
      </c>
      <c r="AV30" s="1">
        <v>1</v>
      </c>
      <c r="AW30" s="1">
        <v>1</v>
      </c>
      <c r="AX30" s="1">
        <v>1</v>
      </c>
      <c r="AY30" s="1">
        <v>1</v>
      </c>
      <c r="AZ30" s="1">
        <v>1</v>
      </c>
      <c r="BA30" s="1">
        <v>1</v>
      </c>
      <c r="BB30" s="1">
        <v>1</v>
      </c>
      <c r="BC30" s="1">
        <v>1</v>
      </c>
      <c r="BD30" s="1">
        <v>1</v>
      </c>
      <c r="BE30" s="1">
        <v>1</v>
      </c>
      <c r="BF30" s="1">
        <v>1</v>
      </c>
      <c r="BG30" s="1">
        <v>1</v>
      </c>
      <c r="BH30" s="1">
        <v>1</v>
      </c>
      <c r="BI30" s="1">
        <v>1</v>
      </c>
      <c r="BJ30" s="1">
        <v>1</v>
      </c>
      <c r="BK30" s="1">
        <v>1</v>
      </c>
      <c r="BL30" s="7">
        <f t="shared" si="0"/>
        <v>60</v>
      </c>
      <c r="BM30" s="9">
        <f t="shared" si="1"/>
        <v>3600</v>
      </c>
    </row>
    <row r="31" spans="1:65" ht="13.2" x14ac:dyDescent="0.25">
      <c r="A31" s="2">
        <v>45434.407690474538</v>
      </c>
      <c r="B31" s="3">
        <v>59</v>
      </c>
      <c r="C31" s="1" t="s">
        <v>89</v>
      </c>
      <c r="D31" s="1">
        <v>1</v>
      </c>
      <c r="E31" s="1">
        <v>1</v>
      </c>
      <c r="F31" s="1">
        <v>1</v>
      </c>
      <c r="G31" s="1">
        <v>1</v>
      </c>
      <c r="H31" s="1">
        <v>1</v>
      </c>
      <c r="I31" s="1">
        <v>1</v>
      </c>
      <c r="J31" s="1">
        <v>1</v>
      </c>
      <c r="K31" s="1">
        <v>1</v>
      </c>
      <c r="L31" s="1">
        <v>1</v>
      </c>
      <c r="M31" s="1">
        <v>1</v>
      </c>
      <c r="N31" s="1">
        <v>1</v>
      </c>
      <c r="O31" s="1">
        <v>1</v>
      </c>
      <c r="P31" s="1">
        <v>1</v>
      </c>
      <c r="Q31" s="1">
        <v>1</v>
      </c>
      <c r="R31" s="1">
        <v>1</v>
      </c>
      <c r="S31" s="1">
        <v>1</v>
      </c>
      <c r="T31" s="1">
        <v>1</v>
      </c>
      <c r="U31" s="1">
        <v>1</v>
      </c>
      <c r="V31" s="1">
        <v>1</v>
      </c>
      <c r="W31" s="1">
        <v>1</v>
      </c>
      <c r="X31" s="1">
        <v>0</v>
      </c>
      <c r="Y31" s="1">
        <v>1</v>
      </c>
      <c r="Z31" s="1">
        <v>1</v>
      </c>
      <c r="AA31" s="1">
        <v>1</v>
      </c>
      <c r="AB31" s="1">
        <v>1</v>
      </c>
      <c r="AC31" s="1">
        <v>1</v>
      </c>
      <c r="AD31" s="1">
        <v>1</v>
      </c>
      <c r="AE31" s="1">
        <v>1</v>
      </c>
      <c r="AF31" s="1">
        <v>1</v>
      </c>
      <c r="AG31" s="1">
        <v>1</v>
      </c>
      <c r="AH31" s="1">
        <v>1</v>
      </c>
      <c r="AI31" s="1">
        <v>1</v>
      </c>
      <c r="AJ31" s="1">
        <v>1</v>
      </c>
      <c r="AK31" s="1">
        <v>1</v>
      </c>
      <c r="AL31" s="1">
        <v>1</v>
      </c>
      <c r="AM31" s="1">
        <v>1</v>
      </c>
      <c r="AN31" s="1">
        <v>1</v>
      </c>
      <c r="AO31" s="1">
        <v>1</v>
      </c>
      <c r="AP31" s="1">
        <v>1</v>
      </c>
      <c r="AQ31" s="1">
        <v>1</v>
      </c>
      <c r="AR31" s="1">
        <v>1</v>
      </c>
      <c r="AS31" s="1">
        <v>1</v>
      </c>
      <c r="AT31" s="1">
        <v>1</v>
      </c>
      <c r="AU31" s="1">
        <v>1</v>
      </c>
      <c r="AV31" s="1">
        <v>1</v>
      </c>
      <c r="AW31" s="1">
        <v>1</v>
      </c>
      <c r="AX31" s="1">
        <v>1</v>
      </c>
      <c r="AY31" s="1">
        <v>1</v>
      </c>
      <c r="AZ31" s="1">
        <v>1</v>
      </c>
      <c r="BA31" s="1">
        <v>1</v>
      </c>
      <c r="BB31" s="1">
        <v>1</v>
      </c>
      <c r="BC31" s="1">
        <v>1</v>
      </c>
      <c r="BD31" s="1">
        <v>1</v>
      </c>
      <c r="BE31" s="1">
        <v>1</v>
      </c>
      <c r="BF31" s="1">
        <v>1</v>
      </c>
      <c r="BG31" s="1">
        <v>1</v>
      </c>
      <c r="BH31" s="1">
        <v>1</v>
      </c>
      <c r="BI31" s="1">
        <v>1</v>
      </c>
      <c r="BJ31" s="1">
        <v>1</v>
      </c>
      <c r="BK31" s="1">
        <v>1</v>
      </c>
      <c r="BL31" s="7">
        <f t="shared" si="0"/>
        <v>59</v>
      </c>
      <c r="BM31" s="9">
        <f t="shared" si="1"/>
        <v>3481</v>
      </c>
    </row>
    <row r="32" spans="1:65" ht="13.2" x14ac:dyDescent="0.25">
      <c r="A32" s="2">
        <v>45434.408149814815</v>
      </c>
      <c r="B32" s="3">
        <v>42</v>
      </c>
      <c r="C32" s="1" t="s">
        <v>90</v>
      </c>
      <c r="D32" s="1">
        <v>1</v>
      </c>
      <c r="E32" s="1">
        <v>1</v>
      </c>
      <c r="F32" s="1">
        <v>1</v>
      </c>
      <c r="G32" s="1">
        <v>1</v>
      </c>
      <c r="H32" s="1">
        <v>1</v>
      </c>
      <c r="I32" s="1">
        <v>1</v>
      </c>
      <c r="J32" s="1">
        <v>1</v>
      </c>
      <c r="K32" s="1">
        <v>1</v>
      </c>
      <c r="L32" s="1">
        <v>1</v>
      </c>
      <c r="M32" s="1">
        <v>1</v>
      </c>
      <c r="N32" s="1">
        <v>1</v>
      </c>
      <c r="O32" s="1">
        <v>1</v>
      </c>
      <c r="P32" s="1">
        <v>1</v>
      </c>
      <c r="Q32" s="1">
        <v>0</v>
      </c>
      <c r="R32" s="1">
        <v>1</v>
      </c>
      <c r="S32" s="1">
        <v>1</v>
      </c>
      <c r="T32" s="1">
        <v>1</v>
      </c>
      <c r="U32" s="1">
        <v>0</v>
      </c>
      <c r="V32" s="1">
        <v>1</v>
      </c>
      <c r="W32" s="1">
        <v>0</v>
      </c>
      <c r="X32" s="1">
        <v>0</v>
      </c>
      <c r="Y32" s="1">
        <v>0</v>
      </c>
      <c r="Z32" s="1">
        <v>1</v>
      </c>
      <c r="AA32" s="1">
        <v>1</v>
      </c>
      <c r="AB32" s="1">
        <v>1</v>
      </c>
      <c r="AC32" s="1">
        <v>0</v>
      </c>
      <c r="AD32" s="1">
        <v>0</v>
      </c>
      <c r="AE32" s="1">
        <v>1</v>
      </c>
      <c r="AF32" s="1">
        <v>1</v>
      </c>
      <c r="AG32" s="1">
        <v>0</v>
      </c>
      <c r="AH32" s="1">
        <v>1</v>
      </c>
      <c r="AI32" s="1">
        <v>1</v>
      </c>
      <c r="AJ32" s="1">
        <v>1</v>
      </c>
      <c r="AK32" s="1">
        <v>1</v>
      </c>
      <c r="AL32" s="1">
        <v>1</v>
      </c>
      <c r="AM32" s="1">
        <v>0</v>
      </c>
      <c r="AN32" s="1">
        <v>0</v>
      </c>
      <c r="AO32" s="1">
        <v>1</v>
      </c>
      <c r="AP32" s="1">
        <v>1</v>
      </c>
      <c r="AQ32" s="1">
        <v>1</v>
      </c>
      <c r="AR32" s="1">
        <v>0</v>
      </c>
      <c r="AS32" s="1">
        <v>0</v>
      </c>
      <c r="AT32" s="1">
        <v>1</v>
      </c>
      <c r="AU32" s="1">
        <v>0</v>
      </c>
      <c r="AV32" s="1">
        <v>1</v>
      </c>
      <c r="AW32" s="1">
        <v>0</v>
      </c>
      <c r="AX32" s="1">
        <v>1</v>
      </c>
      <c r="AY32" s="1">
        <v>1</v>
      </c>
      <c r="AZ32" s="1">
        <v>0</v>
      </c>
      <c r="BA32" s="1">
        <v>1</v>
      </c>
      <c r="BB32" s="1">
        <v>1</v>
      </c>
      <c r="BC32" s="1">
        <v>0</v>
      </c>
      <c r="BD32" s="1">
        <v>0</v>
      </c>
      <c r="BE32" s="1">
        <v>1</v>
      </c>
      <c r="BF32" s="1">
        <v>1</v>
      </c>
      <c r="BG32" s="1">
        <v>1</v>
      </c>
      <c r="BH32" s="1">
        <v>1</v>
      </c>
      <c r="BI32" s="1">
        <v>1</v>
      </c>
      <c r="BJ32" s="1">
        <v>1</v>
      </c>
      <c r="BK32" s="1">
        <v>0</v>
      </c>
      <c r="BL32" s="7">
        <f t="shared" si="0"/>
        <v>42</v>
      </c>
      <c r="BM32" s="9">
        <f t="shared" si="1"/>
        <v>1764</v>
      </c>
    </row>
    <row r="33" spans="1:65" ht="13.2" x14ac:dyDescent="0.25">
      <c r="A33" s="2">
        <v>45434.409336620374</v>
      </c>
      <c r="B33" s="3">
        <v>55</v>
      </c>
      <c r="C33" s="1" t="s">
        <v>91</v>
      </c>
      <c r="D33" s="1">
        <v>1</v>
      </c>
      <c r="E33" s="1">
        <v>1</v>
      </c>
      <c r="F33" s="1">
        <v>1</v>
      </c>
      <c r="G33" s="1">
        <v>1</v>
      </c>
      <c r="H33" s="1">
        <v>1</v>
      </c>
      <c r="I33" s="1">
        <v>1</v>
      </c>
      <c r="J33" s="1">
        <v>1</v>
      </c>
      <c r="K33" s="1">
        <v>0</v>
      </c>
      <c r="L33" s="1">
        <v>1</v>
      </c>
      <c r="M33" s="1">
        <v>1</v>
      </c>
      <c r="N33" s="1">
        <v>1</v>
      </c>
      <c r="O33" s="1">
        <v>1</v>
      </c>
      <c r="P33" s="1">
        <v>1</v>
      </c>
      <c r="Q33" s="1">
        <v>1</v>
      </c>
      <c r="R33" s="1">
        <v>1</v>
      </c>
      <c r="S33" s="1">
        <v>1</v>
      </c>
      <c r="T33" s="1">
        <v>1</v>
      </c>
      <c r="U33" s="1">
        <v>1</v>
      </c>
      <c r="V33" s="1">
        <v>1</v>
      </c>
      <c r="W33" s="1">
        <v>0</v>
      </c>
      <c r="X33" s="1">
        <v>1</v>
      </c>
      <c r="Y33" s="1">
        <v>1</v>
      </c>
      <c r="Z33" s="1">
        <v>1</v>
      </c>
      <c r="AA33" s="1">
        <v>1</v>
      </c>
      <c r="AB33" s="1">
        <v>1</v>
      </c>
      <c r="AC33" s="1">
        <v>1</v>
      </c>
      <c r="AD33" s="1">
        <v>1</v>
      </c>
      <c r="AE33" s="1">
        <v>1</v>
      </c>
      <c r="AF33" s="1">
        <v>1</v>
      </c>
      <c r="AG33" s="1">
        <v>1</v>
      </c>
      <c r="AH33" s="1">
        <v>1</v>
      </c>
      <c r="AI33" s="1">
        <v>1</v>
      </c>
      <c r="AJ33" s="1">
        <v>1</v>
      </c>
      <c r="AK33" s="1">
        <v>1</v>
      </c>
      <c r="AL33" s="1">
        <v>1</v>
      </c>
      <c r="AM33" s="1">
        <v>1</v>
      </c>
      <c r="AN33" s="1">
        <v>1</v>
      </c>
      <c r="AO33" s="1">
        <v>1</v>
      </c>
      <c r="AP33" s="1">
        <v>0</v>
      </c>
      <c r="AQ33" s="1">
        <v>1</v>
      </c>
      <c r="AR33" s="1">
        <v>1</v>
      </c>
      <c r="AS33" s="1">
        <v>1</v>
      </c>
      <c r="AT33" s="1">
        <v>1</v>
      </c>
      <c r="AU33" s="1">
        <v>0</v>
      </c>
      <c r="AV33" s="1">
        <v>1</v>
      </c>
      <c r="AW33" s="1">
        <v>0</v>
      </c>
      <c r="AX33" s="1">
        <v>1</v>
      </c>
      <c r="AY33" s="1">
        <v>1</v>
      </c>
      <c r="AZ33" s="1">
        <v>1</v>
      </c>
      <c r="BA33" s="1">
        <v>1</v>
      </c>
      <c r="BB33" s="1">
        <v>1</v>
      </c>
      <c r="BC33" s="1">
        <v>1</v>
      </c>
      <c r="BD33" s="1">
        <v>1</v>
      </c>
      <c r="BE33" s="1">
        <v>1</v>
      </c>
      <c r="BF33" s="1">
        <v>1</v>
      </c>
      <c r="BG33" s="1">
        <v>1</v>
      </c>
      <c r="BH33" s="1">
        <v>1</v>
      </c>
      <c r="BI33" s="1">
        <v>1</v>
      </c>
      <c r="BJ33" s="1">
        <v>1</v>
      </c>
      <c r="BK33" s="1">
        <v>1</v>
      </c>
      <c r="BL33" s="7">
        <f t="shared" si="0"/>
        <v>55</v>
      </c>
      <c r="BM33" s="9">
        <f t="shared" si="1"/>
        <v>3025</v>
      </c>
    </row>
    <row r="35" spans="1:65" ht="15.75" customHeight="1" x14ac:dyDescent="0.25">
      <c r="C35" s="1" t="s">
        <v>95</v>
      </c>
      <c r="D35">
        <f>SUM(D2:D33)</f>
        <v>32</v>
      </c>
      <c r="E35">
        <f t="shared" ref="E35:BK35" si="2">SUM(E2:E33)</f>
        <v>23</v>
      </c>
      <c r="F35">
        <f t="shared" si="2"/>
        <v>26</v>
      </c>
      <c r="G35">
        <f t="shared" si="2"/>
        <v>23</v>
      </c>
      <c r="H35">
        <f t="shared" si="2"/>
        <v>25</v>
      </c>
      <c r="I35">
        <f t="shared" si="2"/>
        <v>23</v>
      </c>
      <c r="J35">
        <f t="shared" si="2"/>
        <v>26</v>
      </c>
      <c r="K35">
        <f t="shared" si="2"/>
        <v>22</v>
      </c>
      <c r="L35">
        <f t="shared" si="2"/>
        <v>21</v>
      </c>
      <c r="M35">
        <f t="shared" si="2"/>
        <v>25</v>
      </c>
      <c r="N35">
        <f t="shared" si="2"/>
        <v>25</v>
      </c>
      <c r="O35">
        <f t="shared" si="2"/>
        <v>27</v>
      </c>
      <c r="P35">
        <f t="shared" si="2"/>
        <v>27</v>
      </c>
      <c r="Q35">
        <f t="shared" si="2"/>
        <v>24</v>
      </c>
      <c r="R35">
        <f t="shared" si="2"/>
        <v>19</v>
      </c>
      <c r="S35">
        <f t="shared" si="2"/>
        <v>30</v>
      </c>
      <c r="T35">
        <f t="shared" si="2"/>
        <v>29</v>
      </c>
      <c r="U35">
        <f t="shared" si="2"/>
        <v>15</v>
      </c>
      <c r="V35">
        <f t="shared" si="2"/>
        <v>21</v>
      </c>
      <c r="W35">
        <f t="shared" si="2"/>
        <v>14</v>
      </c>
      <c r="X35">
        <f t="shared" si="2"/>
        <v>18</v>
      </c>
      <c r="Y35">
        <f t="shared" si="2"/>
        <v>27</v>
      </c>
      <c r="Z35">
        <f t="shared" si="2"/>
        <v>25</v>
      </c>
      <c r="AA35">
        <f t="shared" si="2"/>
        <v>29</v>
      </c>
      <c r="AB35">
        <f t="shared" si="2"/>
        <v>30</v>
      </c>
      <c r="AC35">
        <f t="shared" si="2"/>
        <v>21</v>
      </c>
      <c r="AD35">
        <f t="shared" si="2"/>
        <v>7</v>
      </c>
      <c r="AE35">
        <f t="shared" si="2"/>
        <v>32</v>
      </c>
      <c r="AF35">
        <f t="shared" si="2"/>
        <v>30</v>
      </c>
      <c r="AG35">
        <f t="shared" si="2"/>
        <v>28</v>
      </c>
      <c r="AH35">
        <f t="shared" si="2"/>
        <v>28</v>
      </c>
      <c r="AI35">
        <f t="shared" si="2"/>
        <v>24</v>
      </c>
      <c r="AJ35">
        <f t="shared" si="2"/>
        <v>24</v>
      </c>
      <c r="AK35">
        <f t="shared" si="2"/>
        <v>27</v>
      </c>
      <c r="AL35">
        <f t="shared" si="2"/>
        <v>28</v>
      </c>
      <c r="AM35">
        <f t="shared" si="2"/>
        <v>21</v>
      </c>
      <c r="AN35">
        <f t="shared" si="2"/>
        <v>30</v>
      </c>
      <c r="AO35">
        <f t="shared" si="2"/>
        <v>22</v>
      </c>
      <c r="AP35">
        <f t="shared" si="2"/>
        <v>17</v>
      </c>
      <c r="AQ35">
        <f t="shared" si="2"/>
        <v>27</v>
      </c>
      <c r="AR35">
        <f t="shared" si="2"/>
        <v>17</v>
      </c>
      <c r="AS35">
        <f t="shared" si="2"/>
        <v>18</v>
      </c>
      <c r="AT35">
        <f t="shared" si="2"/>
        <v>26</v>
      </c>
      <c r="AU35">
        <f t="shared" si="2"/>
        <v>16</v>
      </c>
      <c r="AV35">
        <f t="shared" si="2"/>
        <v>21</v>
      </c>
      <c r="AW35">
        <f t="shared" si="2"/>
        <v>14</v>
      </c>
      <c r="AX35">
        <f t="shared" si="2"/>
        <v>25</v>
      </c>
      <c r="AY35">
        <f t="shared" si="2"/>
        <v>28</v>
      </c>
      <c r="AZ35">
        <f t="shared" si="2"/>
        <v>26</v>
      </c>
      <c r="BA35">
        <f t="shared" si="2"/>
        <v>24</v>
      </c>
      <c r="BB35">
        <f t="shared" si="2"/>
        <v>28</v>
      </c>
      <c r="BC35">
        <f t="shared" si="2"/>
        <v>20</v>
      </c>
      <c r="BD35">
        <f t="shared" si="2"/>
        <v>24</v>
      </c>
      <c r="BE35">
        <f t="shared" si="2"/>
        <v>28</v>
      </c>
      <c r="BF35">
        <f t="shared" si="2"/>
        <v>30</v>
      </c>
      <c r="BG35">
        <f t="shared" si="2"/>
        <v>27</v>
      </c>
      <c r="BH35">
        <f t="shared" si="2"/>
        <v>28</v>
      </c>
      <c r="BI35">
        <f t="shared" si="2"/>
        <v>14</v>
      </c>
      <c r="BJ35">
        <f t="shared" si="2"/>
        <v>29</v>
      </c>
      <c r="BK35">
        <f t="shared" si="2"/>
        <v>18</v>
      </c>
      <c r="BL35" s="7">
        <f>SUM(BL2:BL33)</f>
        <v>1433</v>
      </c>
      <c r="BM35" s="9">
        <f>SUM(BM2:BM33)</f>
        <v>67425</v>
      </c>
    </row>
    <row r="36" spans="1:65" ht="15.75" customHeight="1" x14ac:dyDescent="0.25">
      <c r="C36" s="1" t="s">
        <v>96</v>
      </c>
      <c r="D36" s="5">
        <v>0.34939999999999999</v>
      </c>
      <c r="E36" s="5">
        <v>0.34939999999999999</v>
      </c>
      <c r="F36" s="5">
        <v>0.34939999999999999</v>
      </c>
      <c r="G36" s="5">
        <v>0.34939999999999999</v>
      </c>
      <c r="H36" s="5">
        <v>0.34939999999999999</v>
      </c>
      <c r="I36" s="5">
        <v>0.34939999999999999</v>
      </c>
      <c r="J36" s="5">
        <v>0.34939999999999999</v>
      </c>
      <c r="K36" s="5">
        <v>0.34939999999999999</v>
      </c>
      <c r="L36" s="5">
        <v>0.34939999999999999</v>
      </c>
      <c r="M36" s="5">
        <v>0.34939999999999999</v>
      </c>
      <c r="N36" s="5">
        <v>0.34939999999999999</v>
      </c>
      <c r="O36" s="5">
        <v>0.34939999999999999</v>
      </c>
      <c r="P36" s="5">
        <v>0.34939999999999999</v>
      </c>
      <c r="Q36" s="5">
        <v>0.34939999999999999</v>
      </c>
      <c r="R36" s="5">
        <v>0.34939999999999999</v>
      </c>
      <c r="S36" s="5">
        <v>0.34939999999999999</v>
      </c>
      <c r="T36" s="5">
        <v>0.34939999999999999</v>
      </c>
      <c r="U36" s="5">
        <v>0.34939999999999999</v>
      </c>
      <c r="V36" s="5">
        <v>0.34939999999999999</v>
      </c>
      <c r="W36" s="5">
        <v>0.34939999999999999</v>
      </c>
      <c r="X36" s="5">
        <v>0.34939999999999999</v>
      </c>
      <c r="Y36" s="5">
        <v>0.34939999999999999</v>
      </c>
      <c r="Z36" s="5">
        <v>0.34939999999999999</v>
      </c>
      <c r="AA36" s="5">
        <v>0.34939999999999999</v>
      </c>
      <c r="AB36" s="5">
        <v>0.34939999999999999</v>
      </c>
      <c r="AC36" s="5">
        <v>0.34939999999999999</v>
      </c>
      <c r="AD36" s="5">
        <v>0.34939999999999999</v>
      </c>
      <c r="AE36" s="5">
        <v>0.34939999999999999</v>
      </c>
      <c r="AF36" s="5">
        <v>0.34939999999999999</v>
      </c>
      <c r="AG36" s="5">
        <v>0.34939999999999999</v>
      </c>
      <c r="AH36" s="5">
        <v>0.34939999999999999</v>
      </c>
      <c r="AI36" s="5">
        <v>0.34939999999999999</v>
      </c>
      <c r="AJ36" s="5">
        <v>0.34939999999999999</v>
      </c>
      <c r="AK36" s="5">
        <v>0.34939999999999999</v>
      </c>
      <c r="AL36" s="5">
        <v>0.34939999999999999</v>
      </c>
      <c r="AM36" s="5">
        <v>0.34939999999999999</v>
      </c>
      <c r="AN36" s="5">
        <v>0.34939999999999999</v>
      </c>
      <c r="AO36" s="5">
        <v>0.34939999999999999</v>
      </c>
      <c r="AP36" s="5">
        <v>0.34939999999999999</v>
      </c>
      <c r="AQ36" s="5">
        <v>0.34939999999999999</v>
      </c>
      <c r="AR36" s="5">
        <v>0.34939999999999999</v>
      </c>
      <c r="AS36" s="5">
        <v>0.34939999999999999</v>
      </c>
      <c r="AT36" s="5">
        <v>0.34939999999999999</v>
      </c>
      <c r="AU36" s="5">
        <v>0.34939999999999999</v>
      </c>
      <c r="AV36" s="5">
        <v>0.34939999999999999</v>
      </c>
      <c r="AW36" s="5">
        <v>0.34939999999999999</v>
      </c>
      <c r="AX36" s="5">
        <v>0.34939999999999999</v>
      </c>
      <c r="AY36" s="5">
        <v>0.34939999999999999</v>
      </c>
      <c r="AZ36" s="5">
        <v>0.34939999999999999</v>
      </c>
      <c r="BA36" s="5">
        <v>0.34939999999999999</v>
      </c>
      <c r="BB36" s="5">
        <v>0.34939999999999999</v>
      </c>
      <c r="BC36" s="5">
        <v>0.34939999999999999</v>
      </c>
      <c r="BD36" s="5">
        <v>0.34939999999999999</v>
      </c>
      <c r="BE36" s="5">
        <v>0.34939999999999999</v>
      </c>
      <c r="BF36" s="5">
        <v>0.34939999999999999</v>
      </c>
      <c r="BG36" s="5">
        <v>0.34939999999999999</v>
      </c>
      <c r="BH36" s="5">
        <v>0.34939999999999999</v>
      </c>
      <c r="BI36" s="5">
        <v>0.34939999999999999</v>
      </c>
      <c r="BJ36" s="5">
        <v>0.34939999999999999</v>
      </c>
      <c r="BK36" s="5">
        <v>0.34939999999999999</v>
      </c>
    </row>
    <row r="37" spans="1:65" ht="15.75" customHeight="1" x14ac:dyDescent="0.25">
      <c r="C37" s="11" t="s">
        <v>97</v>
      </c>
      <c r="D37" t="e">
        <f>CORREL(D2:D33,$BL$2:$BL$33)</f>
        <v>#DIV/0!</v>
      </c>
      <c r="E37">
        <f>CORREL(E2:E33,$BL$2:$BL$33)</f>
        <v>0.35176506260976059</v>
      </c>
      <c r="F37">
        <f t="shared" ref="F37:BK37" si="3">CORREL(F2:F33,$BL$2:$BL$33)</f>
        <v>0.31513244049726991</v>
      </c>
      <c r="G37">
        <f t="shared" si="3"/>
        <v>0.46894828003762934</v>
      </c>
      <c r="H37">
        <f t="shared" si="3"/>
        <v>0.61076437569246889</v>
      </c>
      <c r="I37">
        <f t="shared" si="3"/>
        <v>0.53098645397003053</v>
      </c>
      <c r="J37">
        <f t="shared" si="3"/>
        <v>0.60892520392149629</v>
      </c>
      <c r="K37">
        <f t="shared" si="3"/>
        <v>0.33306474710538209</v>
      </c>
      <c r="L37">
        <f t="shared" si="3"/>
        <v>0.5193673521384341</v>
      </c>
      <c r="M37">
        <f t="shared" si="3"/>
        <v>0.36336614756387386</v>
      </c>
      <c r="N37">
        <f t="shared" si="3"/>
        <v>0.63325512370415926</v>
      </c>
      <c r="O37">
        <f t="shared" si="3"/>
        <v>0.54547910482781758</v>
      </c>
      <c r="P37">
        <f t="shared" si="3"/>
        <v>0.59669279095346117</v>
      </c>
      <c r="Q37">
        <f t="shared" si="3"/>
        <v>0.25229589033271904</v>
      </c>
      <c r="R37">
        <f t="shared" si="3"/>
        <v>0.34805503774588942</v>
      </c>
      <c r="S37">
        <f t="shared" si="3"/>
        <v>0.14803956145693825</v>
      </c>
      <c r="T37">
        <f t="shared" si="3"/>
        <v>6.7450954944900512E-2</v>
      </c>
      <c r="U37">
        <f t="shared" si="3"/>
        <v>0.40543388297126448</v>
      </c>
      <c r="V37">
        <f t="shared" si="3"/>
        <v>0.4867412130170562</v>
      </c>
      <c r="W37">
        <f t="shared" si="3"/>
        <v>0.3564939745603018</v>
      </c>
      <c r="X37">
        <f t="shared" si="3"/>
        <v>0.60561024593978974</v>
      </c>
      <c r="Y37">
        <f t="shared" si="3"/>
        <v>0.33208874597096966</v>
      </c>
      <c r="Z37">
        <f t="shared" si="3"/>
        <v>0.26590623951321524</v>
      </c>
      <c r="AA37">
        <f t="shared" si="3"/>
        <v>0.4927574688831895</v>
      </c>
      <c r="AB37">
        <f t="shared" si="3"/>
        <v>0.28887719830245789</v>
      </c>
      <c r="AC37">
        <f t="shared" si="3"/>
        <v>0.59767008602974103</v>
      </c>
      <c r="AD37">
        <f t="shared" si="3"/>
        <v>0.44630078085698238</v>
      </c>
      <c r="AE37" t="e">
        <f t="shared" si="3"/>
        <v>#DIV/0!</v>
      </c>
      <c r="AF37">
        <f t="shared" si="3"/>
        <v>0.45532167821079927</v>
      </c>
      <c r="AG37">
        <f t="shared" si="3"/>
        <v>0.56344009341787016</v>
      </c>
      <c r="AH37">
        <f t="shared" si="3"/>
        <v>0.60092467343735423</v>
      </c>
      <c r="AI37">
        <f t="shared" si="3"/>
        <v>0.1664079276662615</v>
      </c>
      <c r="AJ37">
        <f t="shared" si="3"/>
        <v>0.44554380633224855</v>
      </c>
      <c r="AK37">
        <f t="shared" si="3"/>
        <v>0.42598050386798275</v>
      </c>
      <c r="AL37">
        <f t="shared" si="3"/>
        <v>0.66652268847145135</v>
      </c>
      <c r="AM37">
        <f t="shared" si="3"/>
        <v>0.38886279565292259</v>
      </c>
      <c r="AN37">
        <f t="shared" si="3"/>
        <v>0.17364640451976002</v>
      </c>
      <c r="AO37">
        <f t="shared" si="3"/>
        <v>0.56708765598745736</v>
      </c>
      <c r="AP37">
        <f t="shared" si="3"/>
        <v>0.62552101714523001</v>
      </c>
      <c r="AQ37">
        <f t="shared" si="3"/>
        <v>0.35769558903379139</v>
      </c>
      <c r="AR37">
        <f t="shared" si="3"/>
        <v>0.45162500989666465</v>
      </c>
      <c r="AS37">
        <f t="shared" si="3"/>
        <v>0.46191935586510074</v>
      </c>
      <c r="AT37">
        <f t="shared" si="3"/>
        <v>0.64862692870855398</v>
      </c>
      <c r="AU37">
        <f t="shared" si="3"/>
        <v>0.44938616018850186</v>
      </c>
      <c r="AV37">
        <f t="shared" si="3"/>
        <v>0.20615641657320646</v>
      </c>
      <c r="AW37">
        <f t="shared" si="3"/>
        <v>0.56265916466746424</v>
      </c>
      <c r="AX37">
        <f t="shared" si="3"/>
        <v>0.63325512370415926</v>
      </c>
      <c r="AY37">
        <f t="shared" si="3"/>
        <v>0.36664604831557868</v>
      </c>
      <c r="AZ37">
        <f t="shared" si="3"/>
        <v>0.38659554511397365</v>
      </c>
      <c r="BA37">
        <f t="shared" si="3"/>
        <v>0.44554380633224855</v>
      </c>
      <c r="BB37">
        <f t="shared" si="3"/>
        <v>0.26356345326199748</v>
      </c>
      <c r="BC37">
        <f t="shared" si="3"/>
        <v>0.1624434106797755</v>
      </c>
      <c r="BD37">
        <f t="shared" si="3"/>
        <v>0.53143176899870614</v>
      </c>
      <c r="BE37">
        <f t="shared" si="3"/>
        <v>0.59155352843248321</v>
      </c>
      <c r="BF37">
        <f t="shared" si="3"/>
        <v>0.45532167821079927</v>
      </c>
      <c r="BG37">
        <f t="shared" si="3"/>
        <v>0.4857298043479002</v>
      </c>
      <c r="BH37">
        <f t="shared" si="3"/>
        <v>0.46972864336915993</v>
      </c>
      <c r="BI37">
        <f t="shared" si="3"/>
        <v>0.22529794449210747</v>
      </c>
      <c r="BJ37">
        <f t="shared" si="3"/>
        <v>0.280104211914045</v>
      </c>
      <c r="BK37">
        <f t="shared" si="3"/>
        <v>0.29323874577742237</v>
      </c>
    </row>
    <row r="38" spans="1:65" ht="15.75" customHeight="1" x14ac:dyDescent="0.25">
      <c r="C38" s="11" t="s">
        <v>98</v>
      </c>
      <c r="D38" s="13" t="e">
        <f>IF(D37&gt;D36,"VALID","TIDAK")</f>
        <v>#DIV/0!</v>
      </c>
      <c r="E38" s="12" t="str">
        <f t="shared" ref="E38:L38" si="4">IF(E37&gt;E36,"VALID","TIDAK")</f>
        <v>VALID</v>
      </c>
      <c r="F38" s="7" t="str">
        <f t="shared" si="4"/>
        <v>TIDAK</v>
      </c>
      <c r="G38" s="12" t="str">
        <f t="shared" si="4"/>
        <v>VALID</v>
      </c>
      <c r="H38" s="12" t="str">
        <f t="shared" si="4"/>
        <v>VALID</v>
      </c>
      <c r="I38" s="12" t="str">
        <f t="shared" si="4"/>
        <v>VALID</v>
      </c>
      <c r="J38" s="12" t="str">
        <f t="shared" si="4"/>
        <v>VALID</v>
      </c>
      <c r="K38" s="7" t="str">
        <f t="shared" si="4"/>
        <v>TIDAK</v>
      </c>
      <c r="L38" s="12" t="str">
        <f t="shared" si="4"/>
        <v>VALID</v>
      </c>
      <c r="M38" s="12" t="str">
        <f>IF(M37&gt;M36,"VALID","TIDAK")</f>
        <v>VALID</v>
      </c>
      <c r="N38" s="12" t="str">
        <f t="shared" ref="N38" si="5">IF(N37&gt;N36,"VALID","TIDAK")</f>
        <v>VALID</v>
      </c>
      <c r="O38" s="12" t="str">
        <f t="shared" ref="O38" si="6">IF(O37&gt;O36,"VALID","TIDAK")</f>
        <v>VALID</v>
      </c>
      <c r="P38" s="12" t="str">
        <f t="shared" ref="P38" si="7">IF(P37&gt;P36,"VALID","TIDAK")</f>
        <v>VALID</v>
      </c>
      <c r="Q38" s="7" t="str">
        <f t="shared" ref="Q38" si="8">IF(Q37&gt;Q36,"VALID","TIDAK")</f>
        <v>TIDAK</v>
      </c>
      <c r="R38" s="7" t="str">
        <f t="shared" ref="R38" si="9">IF(R37&gt;R36,"VALID","TIDAK")</f>
        <v>TIDAK</v>
      </c>
      <c r="S38" s="13" t="str">
        <f t="shared" ref="S38" si="10">IF(S37&gt;S36,"VALID","TIDAK")</f>
        <v>TIDAK</v>
      </c>
      <c r="T38" s="13" t="str">
        <f>IF(T37&gt;T36,"VALID","TIDAK")</f>
        <v>TIDAK</v>
      </c>
      <c r="U38" s="12" t="str">
        <f t="shared" ref="U38" si="11">IF(U37&gt;U36,"VALID","TIDAK")</f>
        <v>VALID</v>
      </c>
      <c r="V38" s="12" t="str">
        <f t="shared" ref="V38" si="12">IF(V37&gt;V36,"VALID","TIDAK")</f>
        <v>VALID</v>
      </c>
      <c r="W38" s="12" t="str">
        <f t="shared" ref="W38" si="13">IF(W37&gt;W36,"VALID","TIDAK")</f>
        <v>VALID</v>
      </c>
      <c r="X38" s="12" t="str">
        <f t="shared" ref="X38" si="14">IF(X37&gt;X36,"VALID","TIDAK")</f>
        <v>VALID</v>
      </c>
      <c r="Y38" s="13" t="str">
        <f t="shared" ref="Y38" si="15">IF(Y37&gt;Y36,"VALID","TIDAK")</f>
        <v>TIDAK</v>
      </c>
      <c r="Z38" s="7" t="str">
        <f>IF(Z37&gt;Z36,"VALID","TIDAK")</f>
        <v>TIDAK</v>
      </c>
      <c r="AA38" s="12" t="str">
        <f t="shared" ref="AA38" si="16">IF(AA37&gt;AA36,"VALID","TIDAK")</f>
        <v>VALID</v>
      </c>
      <c r="AB38" s="13" t="str">
        <f t="shared" ref="AB38" si="17">IF(AB37&gt;AB36,"VALID","TIDAK")</f>
        <v>TIDAK</v>
      </c>
      <c r="AC38" s="12" t="str">
        <f t="shared" ref="AC38" si="18">IF(AC37&gt;AC36,"VALID","TIDAK")</f>
        <v>VALID</v>
      </c>
      <c r="AD38" s="12" t="str">
        <f t="shared" ref="AD38" si="19">IF(AD37&gt;AD36,"VALID","TIDAK")</f>
        <v>VALID</v>
      </c>
      <c r="AE38" s="13" t="e">
        <f t="shared" ref="AE38" si="20">IF(AE37&gt;AE36,"VALID","TIDAK")</f>
        <v>#DIV/0!</v>
      </c>
      <c r="AF38" s="12" t="str">
        <f t="shared" ref="AF38" si="21">IF(AF37&gt;AF36,"VALID","TIDAK")</f>
        <v>VALID</v>
      </c>
      <c r="AG38" s="12" t="str">
        <f t="shared" ref="AG38" si="22">IF(AG37&gt;AG36,"VALID","TIDAK")</f>
        <v>VALID</v>
      </c>
      <c r="AH38" s="12" t="str">
        <f t="shared" ref="AH38" si="23">IF(AH37&gt;AH36,"VALID","TIDAK")</f>
        <v>VALID</v>
      </c>
      <c r="AI38" s="13" t="str">
        <f>IF(AI37&gt;AI36,"VALID","TIDAK")</f>
        <v>TIDAK</v>
      </c>
      <c r="AJ38" s="12" t="str">
        <f t="shared" ref="AJ38" si="24">IF(AJ37&gt;AJ36,"VALID","TIDAK")</f>
        <v>VALID</v>
      </c>
      <c r="AK38" s="12" t="str">
        <f t="shared" ref="AK38" si="25">IF(AK37&gt;AK36,"VALID","TIDAK")</f>
        <v>VALID</v>
      </c>
      <c r="AL38" s="12" t="str">
        <f t="shared" ref="AL38" si="26">IF(AL37&gt;AL36,"VALID","TIDAK")</f>
        <v>VALID</v>
      </c>
      <c r="AM38" s="12" t="str">
        <f t="shared" ref="AM38" si="27">IF(AM37&gt;AM36,"VALID","TIDAK")</f>
        <v>VALID</v>
      </c>
      <c r="AN38" s="13" t="str">
        <f t="shared" ref="AN38" si="28">IF(AN37&gt;AN36,"VALID","TIDAK")</f>
        <v>TIDAK</v>
      </c>
      <c r="AO38" s="12" t="str">
        <f t="shared" ref="AO38" si="29">IF(AO37&gt;AO36,"VALID","TIDAK")</f>
        <v>VALID</v>
      </c>
      <c r="AP38" s="12" t="str">
        <f t="shared" ref="AP38" si="30">IF(AP37&gt;AP36,"VALID","TIDAK")</f>
        <v>VALID</v>
      </c>
      <c r="AQ38" s="12" t="str">
        <f>IF(AQ37&gt;AQ36,"VALID","TIDAK")</f>
        <v>VALID</v>
      </c>
      <c r="AR38" s="12" t="str">
        <f t="shared" ref="AR38" si="31">IF(AR37&gt;AR36,"VALID","TIDAK")</f>
        <v>VALID</v>
      </c>
      <c r="AS38" s="12" t="str">
        <f t="shared" ref="AS38" si="32">IF(AS37&gt;AS36,"VALID","TIDAK")</f>
        <v>VALID</v>
      </c>
      <c r="AT38" s="12" t="str">
        <f t="shared" ref="AT38" si="33">IF(AT37&gt;AT36,"VALID","TIDAK")</f>
        <v>VALID</v>
      </c>
      <c r="AU38" s="12" t="str">
        <f t="shared" ref="AU38" si="34">IF(AU37&gt;AU36,"VALID","TIDAK")</f>
        <v>VALID</v>
      </c>
      <c r="AV38" s="13" t="str">
        <f t="shared" ref="AV38" si="35">IF(AV37&gt;AV36,"VALID","TIDAK")</f>
        <v>TIDAK</v>
      </c>
      <c r="AW38" s="12" t="str">
        <f>IF(AW37&gt;AW36,"VALID","TIDAK")</f>
        <v>VALID</v>
      </c>
      <c r="AX38" s="12" t="str">
        <f t="shared" ref="AX38" si="36">IF(AX37&gt;AX36,"VALID","TIDAK")</f>
        <v>VALID</v>
      </c>
      <c r="AY38" s="12" t="str">
        <f t="shared" ref="AY38" si="37">IF(AY37&gt;AY36,"VALID","TIDAK")</f>
        <v>VALID</v>
      </c>
      <c r="AZ38" s="12" t="str">
        <f t="shared" ref="AZ38" si="38">IF(AZ37&gt;AZ36,"VALID","TIDAK")</f>
        <v>VALID</v>
      </c>
      <c r="BA38" s="12" t="str">
        <f t="shared" ref="BA38" si="39">IF(BA37&gt;BA36,"VALID","TIDAK")</f>
        <v>VALID</v>
      </c>
      <c r="BB38" s="7" t="str">
        <f t="shared" ref="BB38" si="40">IF(BB37&gt;BB36,"VALID","TIDAK")</f>
        <v>TIDAK</v>
      </c>
      <c r="BC38" s="13" t="str">
        <f t="shared" ref="BC38" si="41">IF(BC37&gt;BC36,"VALID","TIDAK")</f>
        <v>TIDAK</v>
      </c>
      <c r="BD38" s="12" t="str">
        <f>IF(BD37&gt;BD36,"VALID","TIDAK")</f>
        <v>VALID</v>
      </c>
      <c r="BE38" s="12" t="str">
        <f t="shared" ref="BE38" si="42">IF(BE37&gt;BE36,"VALID","TIDAK")</f>
        <v>VALID</v>
      </c>
      <c r="BF38" s="12" t="str">
        <f t="shared" ref="BF38" si="43">IF(BF37&gt;BF36,"VALID","TIDAK")</f>
        <v>VALID</v>
      </c>
      <c r="BG38" s="12" t="str">
        <f t="shared" ref="BG38" si="44">IF(BG37&gt;BG36,"VALID","TIDAK")</f>
        <v>VALID</v>
      </c>
      <c r="BH38" s="12" t="str">
        <f t="shared" ref="BH38" si="45">IF(BH37&gt;BH36,"VALID","TIDAK")</f>
        <v>VALID</v>
      </c>
      <c r="BI38" s="7" t="str">
        <f>IF(BI37&gt;BI36,"VALID","TIDAK")</f>
        <v>TIDAK</v>
      </c>
      <c r="BJ38" s="13" t="str">
        <f t="shared" ref="BJ38" si="46">IF(BJ37&gt;BJ36,"VALID","TIDAK")</f>
        <v>TIDAK</v>
      </c>
      <c r="BK38" s="7" t="str">
        <f t="shared" ref="BK38" si="47">IF(BK37&gt;BK36,"VALID","TIDAK")</f>
        <v>TIDAK</v>
      </c>
    </row>
    <row r="39" spans="1:65" ht="15.75" customHeight="1" x14ac:dyDescent="0.25">
      <c r="C39" s="11" t="s">
        <v>99</v>
      </c>
      <c r="D39" t="e">
        <f>IF(AND(D37&gt;=0.81,D37&lt;=1),"Sangat Baik",IF(AND(D37&gt;=0.61,D37&lt;=0.8),"Tinggi",IF(AND(D37&gt;=0.41,D37&lt;=0.6),"Cukup Tinggi",IF(AND(D37&gt;=0.21,D37&lt;=0.4),"Rendah","Sangat Rendah"))))</f>
        <v>#DIV/0!</v>
      </c>
      <c r="E39" t="str">
        <f>IF(AND(E37&gt;=0.81,E37&lt;=1),"Sangat Baik",IF(AND(E37&gt;=0.61,E37&lt;=0.8),"Tinggi",IF(AND(E37&gt;=0.41,E37&lt;=0.6),"Cukup Tinggi",IF(AND(E37&gt;=0.21,E37&lt;=0.4),"Rendah","Sangat Rendah"))))</f>
        <v>Rendah</v>
      </c>
      <c r="F39" t="str">
        <f t="shared" ref="F39:BK39" si="48">IF(AND(F37&gt;=0.81,F37&lt;=1),"Sangat Baik",IF(AND(F37&gt;=0.61,F37&lt;=0.8),"Tinggi",IF(AND(F37&gt;=0.41,F37&lt;=0.6),"Cukup Tinggi",IF(AND(F37&gt;=0.21,F37&lt;=0.4),"Rendah","Sangat Rendah"))))</f>
        <v>Rendah</v>
      </c>
      <c r="G39" t="str">
        <f t="shared" si="48"/>
        <v>Cukup Tinggi</v>
      </c>
      <c r="H39" t="str">
        <f>IF(AND(H37&gt;=0.81,H37&lt;=1),"Sangat Baik",IF(AND(H37&gt;=0.61,H37&lt;=0.8),"Tinggi",IF(AND(H37&gt;=0.41,H37&lt;=0.6),"Cukup Tinggi",IF(AND(H37&gt;=0.21,H37&lt;=0.4),"Rendah","Sangat Rendah"))))</f>
        <v>Tinggi</v>
      </c>
      <c r="I39" t="str">
        <f t="shared" si="48"/>
        <v>Cukup Tinggi</v>
      </c>
      <c r="J39" t="str">
        <f t="shared" si="48"/>
        <v>Sangat Rendah</v>
      </c>
      <c r="K39" t="str">
        <f t="shared" si="48"/>
        <v>Rendah</v>
      </c>
      <c r="L39" t="str">
        <f t="shared" si="48"/>
        <v>Cukup Tinggi</v>
      </c>
      <c r="M39" t="str">
        <f t="shared" si="48"/>
        <v>Rendah</v>
      </c>
      <c r="N39" t="str">
        <f t="shared" si="48"/>
        <v>Tinggi</v>
      </c>
      <c r="O39" t="str">
        <f t="shared" si="48"/>
        <v>Cukup Tinggi</v>
      </c>
      <c r="P39" t="str">
        <f t="shared" si="48"/>
        <v>Cukup Tinggi</v>
      </c>
      <c r="Q39" t="str">
        <f t="shared" si="48"/>
        <v>Rendah</v>
      </c>
      <c r="R39" t="str">
        <f t="shared" si="48"/>
        <v>Rendah</v>
      </c>
      <c r="S39" t="str">
        <f t="shared" si="48"/>
        <v>Sangat Rendah</v>
      </c>
      <c r="T39" t="str">
        <f t="shared" si="48"/>
        <v>Sangat Rendah</v>
      </c>
      <c r="U39" t="str">
        <f t="shared" si="48"/>
        <v>Sangat Rendah</v>
      </c>
      <c r="V39" t="str">
        <f t="shared" si="48"/>
        <v>Cukup Tinggi</v>
      </c>
      <c r="W39" t="str">
        <f t="shared" si="48"/>
        <v>Rendah</v>
      </c>
      <c r="X39" t="str">
        <f t="shared" si="48"/>
        <v>Sangat Rendah</v>
      </c>
      <c r="Y39" t="str">
        <f t="shared" si="48"/>
        <v>Rendah</v>
      </c>
      <c r="Z39" t="str">
        <f t="shared" si="48"/>
        <v>Rendah</v>
      </c>
      <c r="AA39" t="str">
        <f t="shared" si="48"/>
        <v>Cukup Tinggi</v>
      </c>
      <c r="AB39" t="str">
        <f t="shared" si="48"/>
        <v>Rendah</v>
      </c>
      <c r="AC39" t="str">
        <f t="shared" si="48"/>
        <v>Cukup Tinggi</v>
      </c>
      <c r="AD39" t="str">
        <f t="shared" si="48"/>
        <v>Cukup Tinggi</v>
      </c>
      <c r="AE39" t="e">
        <f t="shared" si="48"/>
        <v>#DIV/0!</v>
      </c>
      <c r="AF39" t="str">
        <f t="shared" si="48"/>
        <v>Cukup Tinggi</v>
      </c>
      <c r="AG39" t="str">
        <f t="shared" si="48"/>
        <v>Cukup Tinggi</v>
      </c>
      <c r="AH39" t="str">
        <f t="shared" si="48"/>
        <v>Sangat Rendah</v>
      </c>
      <c r="AI39" t="str">
        <f t="shared" si="48"/>
        <v>Sangat Rendah</v>
      </c>
      <c r="AJ39" t="str">
        <f t="shared" si="48"/>
        <v>Cukup Tinggi</v>
      </c>
      <c r="AK39" t="str">
        <f t="shared" si="48"/>
        <v>Cukup Tinggi</v>
      </c>
      <c r="AL39" t="str">
        <f t="shared" si="48"/>
        <v>Tinggi</v>
      </c>
      <c r="AM39" t="str">
        <f t="shared" si="48"/>
        <v>Rendah</v>
      </c>
      <c r="AN39" t="str">
        <f t="shared" si="48"/>
        <v>Sangat Rendah</v>
      </c>
      <c r="AO39" t="str">
        <f t="shared" si="48"/>
        <v>Cukup Tinggi</v>
      </c>
      <c r="AP39" t="str">
        <f t="shared" si="48"/>
        <v>Tinggi</v>
      </c>
      <c r="AQ39" t="str">
        <f t="shared" si="48"/>
        <v>Rendah</v>
      </c>
      <c r="AR39" t="str">
        <f t="shared" si="48"/>
        <v>Cukup Tinggi</v>
      </c>
      <c r="AS39" t="str">
        <f t="shared" si="48"/>
        <v>Cukup Tinggi</v>
      </c>
      <c r="AT39" t="str">
        <f t="shared" si="48"/>
        <v>Tinggi</v>
      </c>
      <c r="AU39" t="str">
        <f t="shared" si="48"/>
        <v>Cukup Tinggi</v>
      </c>
      <c r="AV39" t="str">
        <f t="shared" si="48"/>
        <v>Sangat Rendah</v>
      </c>
      <c r="AW39" t="str">
        <f t="shared" si="48"/>
        <v>Cukup Tinggi</v>
      </c>
      <c r="AX39" t="str">
        <f t="shared" si="48"/>
        <v>Tinggi</v>
      </c>
      <c r="AY39" t="str">
        <f t="shared" si="48"/>
        <v>Rendah</v>
      </c>
      <c r="AZ39" t="str">
        <f t="shared" si="48"/>
        <v>Rendah</v>
      </c>
      <c r="BA39" t="str">
        <f t="shared" si="48"/>
        <v>Cukup Tinggi</v>
      </c>
      <c r="BB39" t="str">
        <f t="shared" si="48"/>
        <v>Rendah</v>
      </c>
      <c r="BC39" t="str">
        <f t="shared" si="48"/>
        <v>Sangat Rendah</v>
      </c>
      <c r="BD39" t="str">
        <f t="shared" si="48"/>
        <v>Cukup Tinggi</v>
      </c>
      <c r="BE39" t="str">
        <f t="shared" si="48"/>
        <v>Cukup Tinggi</v>
      </c>
      <c r="BF39" t="str">
        <f t="shared" si="48"/>
        <v>Cukup Tinggi</v>
      </c>
      <c r="BG39" t="str">
        <f t="shared" si="48"/>
        <v>Cukup Tinggi</v>
      </c>
      <c r="BH39" t="str">
        <f t="shared" si="48"/>
        <v>Cukup Tinggi</v>
      </c>
      <c r="BI39" t="str">
        <f t="shared" si="48"/>
        <v>Rendah</v>
      </c>
      <c r="BJ39" t="str">
        <f t="shared" si="48"/>
        <v>Rendah</v>
      </c>
      <c r="BK39" t="str">
        <f t="shared" si="48"/>
        <v>Rendah</v>
      </c>
    </row>
    <row r="40" spans="1:65" ht="15.75" customHeight="1" x14ac:dyDescent="0.25">
      <c r="C40" s="11" t="s">
        <v>100</v>
      </c>
      <c r="D40">
        <f>D35/32</f>
        <v>1</v>
      </c>
      <c r="E40">
        <f t="shared" ref="E40:BK40" si="49">E35/32</f>
        <v>0.71875</v>
      </c>
      <c r="F40">
        <f t="shared" si="49"/>
        <v>0.8125</v>
      </c>
      <c r="G40">
        <f t="shared" si="49"/>
        <v>0.71875</v>
      </c>
      <c r="H40">
        <f t="shared" si="49"/>
        <v>0.78125</v>
      </c>
      <c r="I40">
        <f t="shared" si="49"/>
        <v>0.71875</v>
      </c>
      <c r="J40">
        <f t="shared" si="49"/>
        <v>0.8125</v>
      </c>
      <c r="K40">
        <f t="shared" si="49"/>
        <v>0.6875</v>
      </c>
      <c r="L40">
        <f t="shared" si="49"/>
        <v>0.65625</v>
      </c>
      <c r="M40">
        <f t="shared" si="49"/>
        <v>0.78125</v>
      </c>
      <c r="N40">
        <f t="shared" si="49"/>
        <v>0.78125</v>
      </c>
      <c r="O40">
        <f t="shared" si="49"/>
        <v>0.84375</v>
      </c>
      <c r="P40">
        <f t="shared" si="49"/>
        <v>0.84375</v>
      </c>
      <c r="Q40">
        <f t="shared" si="49"/>
        <v>0.75</v>
      </c>
      <c r="R40">
        <f t="shared" si="49"/>
        <v>0.59375</v>
      </c>
      <c r="S40">
        <f t="shared" si="49"/>
        <v>0.9375</v>
      </c>
      <c r="T40">
        <f t="shared" si="49"/>
        <v>0.90625</v>
      </c>
      <c r="U40">
        <f t="shared" si="49"/>
        <v>0.46875</v>
      </c>
      <c r="V40">
        <f t="shared" si="49"/>
        <v>0.65625</v>
      </c>
      <c r="W40">
        <f t="shared" si="49"/>
        <v>0.4375</v>
      </c>
      <c r="X40">
        <f t="shared" si="49"/>
        <v>0.5625</v>
      </c>
      <c r="Y40">
        <f t="shared" si="49"/>
        <v>0.84375</v>
      </c>
      <c r="Z40">
        <f t="shared" si="49"/>
        <v>0.78125</v>
      </c>
      <c r="AA40">
        <f t="shared" si="49"/>
        <v>0.90625</v>
      </c>
      <c r="AB40">
        <f t="shared" si="49"/>
        <v>0.9375</v>
      </c>
      <c r="AC40">
        <f t="shared" si="49"/>
        <v>0.65625</v>
      </c>
      <c r="AD40">
        <f t="shared" si="49"/>
        <v>0.21875</v>
      </c>
      <c r="AE40">
        <f t="shared" si="49"/>
        <v>1</v>
      </c>
      <c r="AF40">
        <f t="shared" si="49"/>
        <v>0.9375</v>
      </c>
      <c r="AG40">
        <f t="shared" si="49"/>
        <v>0.875</v>
      </c>
      <c r="AH40">
        <f t="shared" si="49"/>
        <v>0.875</v>
      </c>
      <c r="AI40">
        <f t="shared" si="49"/>
        <v>0.75</v>
      </c>
      <c r="AJ40">
        <f t="shared" si="49"/>
        <v>0.75</v>
      </c>
      <c r="AK40">
        <f t="shared" si="49"/>
        <v>0.84375</v>
      </c>
      <c r="AL40">
        <f t="shared" si="49"/>
        <v>0.875</v>
      </c>
      <c r="AM40">
        <f t="shared" si="49"/>
        <v>0.65625</v>
      </c>
      <c r="AN40">
        <f t="shared" si="49"/>
        <v>0.9375</v>
      </c>
      <c r="AO40">
        <f t="shared" si="49"/>
        <v>0.6875</v>
      </c>
      <c r="AP40">
        <f t="shared" si="49"/>
        <v>0.53125</v>
      </c>
      <c r="AQ40">
        <f t="shared" si="49"/>
        <v>0.84375</v>
      </c>
      <c r="AR40">
        <f t="shared" si="49"/>
        <v>0.53125</v>
      </c>
      <c r="AS40">
        <f t="shared" si="49"/>
        <v>0.5625</v>
      </c>
      <c r="AT40">
        <f t="shared" si="49"/>
        <v>0.8125</v>
      </c>
      <c r="AU40">
        <f t="shared" si="49"/>
        <v>0.5</v>
      </c>
      <c r="AV40">
        <f t="shared" si="49"/>
        <v>0.65625</v>
      </c>
      <c r="AW40">
        <f t="shared" si="49"/>
        <v>0.4375</v>
      </c>
      <c r="AX40">
        <f t="shared" si="49"/>
        <v>0.78125</v>
      </c>
      <c r="AY40">
        <f t="shared" si="49"/>
        <v>0.875</v>
      </c>
      <c r="AZ40">
        <f t="shared" si="49"/>
        <v>0.8125</v>
      </c>
      <c r="BA40">
        <f t="shared" si="49"/>
        <v>0.75</v>
      </c>
      <c r="BB40">
        <f t="shared" si="49"/>
        <v>0.875</v>
      </c>
      <c r="BC40">
        <f t="shared" si="49"/>
        <v>0.625</v>
      </c>
      <c r="BD40">
        <f t="shared" si="49"/>
        <v>0.75</v>
      </c>
      <c r="BE40">
        <f t="shared" si="49"/>
        <v>0.875</v>
      </c>
      <c r="BF40">
        <f t="shared" si="49"/>
        <v>0.9375</v>
      </c>
      <c r="BG40">
        <f t="shared" si="49"/>
        <v>0.84375</v>
      </c>
      <c r="BH40">
        <f t="shared" si="49"/>
        <v>0.875</v>
      </c>
      <c r="BI40">
        <f t="shared" si="49"/>
        <v>0.4375</v>
      </c>
      <c r="BJ40">
        <f t="shared" si="49"/>
        <v>0.90625</v>
      </c>
      <c r="BK40">
        <f t="shared" si="49"/>
        <v>0.5625</v>
      </c>
    </row>
    <row r="41" spans="1:65" ht="15.75" customHeight="1" x14ac:dyDescent="0.25">
      <c r="C41" s="11" t="s">
        <v>101</v>
      </c>
      <c r="D41" s="10">
        <f>1-D40</f>
        <v>0</v>
      </c>
      <c r="E41" s="10">
        <f t="shared" ref="E41:H41" si="50">1-E40</f>
        <v>0.28125</v>
      </c>
      <c r="F41" s="10">
        <f t="shared" si="50"/>
        <v>0.1875</v>
      </c>
      <c r="G41" s="10">
        <f t="shared" si="50"/>
        <v>0.28125</v>
      </c>
      <c r="H41" s="10">
        <f t="shared" si="50"/>
        <v>0.21875</v>
      </c>
      <c r="I41" s="10">
        <f>1-I40</f>
        <v>0.28125</v>
      </c>
      <c r="J41" s="10">
        <f t="shared" ref="J41" si="51">1-J40</f>
        <v>0.1875</v>
      </c>
      <c r="K41" s="10">
        <f t="shared" ref="K41" si="52">1-K40</f>
        <v>0.3125</v>
      </c>
      <c r="L41" s="10">
        <f t="shared" ref="L41" si="53">1-L40</f>
        <v>0.34375</v>
      </c>
      <c r="M41" s="10">
        <f>1-M40</f>
        <v>0.21875</v>
      </c>
      <c r="N41" s="10">
        <f t="shared" ref="N41" si="54">1-N40</f>
        <v>0.21875</v>
      </c>
      <c r="O41" s="10">
        <f t="shared" ref="O41" si="55">1-O40</f>
        <v>0.15625</v>
      </c>
      <c r="P41" s="10">
        <f t="shared" ref="P41" si="56">1-P40</f>
        <v>0.15625</v>
      </c>
      <c r="Q41" s="10">
        <f t="shared" ref="Q41" si="57">1-Q40</f>
        <v>0.25</v>
      </c>
      <c r="R41" s="10">
        <f>1-R40</f>
        <v>0.40625</v>
      </c>
      <c r="S41" s="10">
        <f t="shared" ref="S41" si="58">1-S40</f>
        <v>6.25E-2</v>
      </c>
      <c r="T41" s="10">
        <f t="shared" ref="T41" si="59">1-T40</f>
        <v>9.375E-2</v>
      </c>
      <c r="U41" s="10">
        <f>1-U40</f>
        <v>0.53125</v>
      </c>
      <c r="V41" s="10">
        <f t="shared" ref="V41" si="60">1-V40</f>
        <v>0.34375</v>
      </c>
      <c r="W41" s="10">
        <f t="shared" ref="W41" si="61">1-W40</f>
        <v>0.5625</v>
      </c>
      <c r="X41" s="10">
        <f t="shared" ref="X41" si="62">1-X40</f>
        <v>0.4375</v>
      </c>
      <c r="Y41" s="10">
        <f t="shared" ref="Y41" si="63">1-Y40</f>
        <v>0.15625</v>
      </c>
      <c r="Z41" s="10">
        <f>1-Z40</f>
        <v>0.21875</v>
      </c>
      <c r="AA41" s="10">
        <f t="shared" ref="AA41" si="64">1-AA40</f>
        <v>9.375E-2</v>
      </c>
      <c r="AB41" s="10">
        <f t="shared" ref="AB41" si="65">1-AB40</f>
        <v>6.25E-2</v>
      </c>
      <c r="AC41" s="10">
        <f t="shared" ref="AC41" si="66">1-AC40</f>
        <v>0.34375</v>
      </c>
      <c r="AD41" s="10">
        <f>1-AD40</f>
        <v>0.78125</v>
      </c>
      <c r="AE41" s="10">
        <f t="shared" ref="AE41" si="67">1-AE40</f>
        <v>0</v>
      </c>
      <c r="AF41" s="10">
        <f t="shared" ref="AF41" si="68">1-AF40</f>
        <v>6.25E-2</v>
      </c>
      <c r="AG41" s="10">
        <f t="shared" ref="AG41" si="69">1-AG40</f>
        <v>0.125</v>
      </c>
      <c r="AH41" s="10">
        <f>1-AH40</f>
        <v>0.125</v>
      </c>
      <c r="AI41" s="10">
        <f t="shared" ref="AI41" si="70">1-AI40</f>
        <v>0.25</v>
      </c>
      <c r="AJ41" s="10">
        <f t="shared" ref="AJ41" si="71">1-AJ40</f>
        <v>0.25</v>
      </c>
      <c r="AK41" s="10">
        <f t="shared" ref="AK41" si="72">1-AK40</f>
        <v>0.15625</v>
      </c>
      <c r="AL41" s="10">
        <f t="shared" ref="AL41" si="73">1-AL40</f>
        <v>0.125</v>
      </c>
      <c r="AM41" s="10">
        <f>1-AM40</f>
        <v>0.34375</v>
      </c>
      <c r="AN41" s="10">
        <f t="shared" ref="AN41" si="74">1-AN40</f>
        <v>6.25E-2</v>
      </c>
      <c r="AO41" s="10">
        <f t="shared" ref="AO41" si="75">1-AO40</f>
        <v>0.3125</v>
      </c>
      <c r="AP41" s="10">
        <f t="shared" ref="AP41" si="76">1-AP40</f>
        <v>0.46875</v>
      </c>
      <c r="AQ41" s="10">
        <f>1-AQ40</f>
        <v>0.15625</v>
      </c>
      <c r="AR41" s="10">
        <f t="shared" ref="AR41" si="77">1-AR40</f>
        <v>0.46875</v>
      </c>
      <c r="AS41" s="10">
        <f t="shared" ref="AS41" si="78">1-AS40</f>
        <v>0.4375</v>
      </c>
      <c r="AT41" s="10">
        <f t="shared" ref="AT41" si="79">1-AT40</f>
        <v>0.1875</v>
      </c>
      <c r="AU41" s="10">
        <f>1-AU40</f>
        <v>0.5</v>
      </c>
      <c r="AV41" s="10">
        <f t="shared" ref="AV41" si="80">1-AV40</f>
        <v>0.34375</v>
      </c>
      <c r="AW41" s="10">
        <f t="shared" ref="AW41" si="81">1-AW40</f>
        <v>0.5625</v>
      </c>
      <c r="AX41" s="10">
        <f t="shared" ref="AX41" si="82">1-AX40</f>
        <v>0.21875</v>
      </c>
      <c r="AY41" s="10">
        <f t="shared" ref="AY41" si="83">1-AY40</f>
        <v>0.125</v>
      </c>
      <c r="AZ41" s="10">
        <f>1-AZ40</f>
        <v>0.1875</v>
      </c>
      <c r="BA41" s="10">
        <f t="shared" ref="BA41" si="84">1-BA40</f>
        <v>0.25</v>
      </c>
      <c r="BB41" s="10">
        <f t="shared" ref="BB41" si="85">1-BB40</f>
        <v>0.125</v>
      </c>
      <c r="BC41" s="10">
        <f t="shared" ref="BC41" si="86">1-BC40</f>
        <v>0.375</v>
      </c>
      <c r="BD41" s="10">
        <f>1-BD40</f>
        <v>0.25</v>
      </c>
      <c r="BE41" s="10">
        <f t="shared" ref="BE41" si="87">1-BE40</f>
        <v>0.125</v>
      </c>
      <c r="BF41" s="10">
        <f t="shared" ref="BF41" si="88">1-BF40</f>
        <v>6.25E-2</v>
      </c>
      <c r="BG41" s="10">
        <f t="shared" ref="BG41" si="89">1-BG40</f>
        <v>0.15625</v>
      </c>
      <c r="BH41" s="10">
        <f t="shared" ref="BH41" si="90">1-BH40</f>
        <v>0.125</v>
      </c>
      <c r="BI41" s="10">
        <f>1-BI40</f>
        <v>0.5625</v>
      </c>
      <c r="BJ41" s="10">
        <f>1-BJ40</f>
        <v>9.375E-2</v>
      </c>
      <c r="BK41" s="10">
        <f t="shared" ref="BK41" si="91">1-BK40</f>
        <v>0.4375</v>
      </c>
    </row>
    <row r="42" spans="1:65" ht="15.75" customHeight="1" x14ac:dyDescent="0.25">
      <c r="C42" s="11" t="s">
        <v>102</v>
      </c>
      <c r="D42">
        <f>D40*D41</f>
        <v>0</v>
      </c>
      <c r="E42">
        <f t="shared" ref="E42:O42" si="92">E40*E41</f>
        <v>0.2021484375</v>
      </c>
      <c r="F42">
        <f t="shared" si="92"/>
        <v>0.15234375</v>
      </c>
      <c r="G42">
        <f t="shared" si="92"/>
        <v>0.2021484375</v>
      </c>
      <c r="H42">
        <f t="shared" si="92"/>
        <v>0.1708984375</v>
      </c>
      <c r="I42">
        <f t="shared" si="92"/>
        <v>0.2021484375</v>
      </c>
      <c r="J42">
        <f t="shared" si="92"/>
        <v>0.15234375</v>
      </c>
      <c r="K42">
        <f t="shared" si="92"/>
        <v>0.21484375</v>
      </c>
      <c r="L42">
        <f t="shared" si="92"/>
        <v>0.2255859375</v>
      </c>
      <c r="M42">
        <f t="shared" si="92"/>
        <v>0.1708984375</v>
      </c>
      <c r="N42">
        <f t="shared" si="92"/>
        <v>0.1708984375</v>
      </c>
      <c r="O42">
        <f t="shared" si="92"/>
        <v>0.1318359375</v>
      </c>
      <c r="P42">
        <f>P40*P41</f>
        <v>0.1318359375</v>
      </c>
      <c r="Q42">
        <f t="shared" ref="Q42" si="93">Q40*Q41</f>
        <v>0.1875</v>
      </c>
      <c r="R42">
        <f t="shared" ref="R42" si="94">R40*R41</f>
        <v>0.2412109375</v>
      </c>
      <c r="S42">
        <f t="shared" ref="S42" si="95">S40*S41</f>
        <v>5.859375E-2</v>
      </c>
      <c r="T42">
        <f t="shared" ref="T42" si="96">T40*T41</f>
        <v>8.49609375E-2</v>
      </c>
      <c r="U42">
        <f t="shared" ref="U42" si="97">U40*U41</f>
        <v>0.2490234375</v>
      </c>
      <c r="V42">
        <f t="shared" ref="V42" si="98">V40*V41</f>
        <v>0.2255859375</v>
      </c>
      <c r="W42">
        <f t="shared" ref="W42" si="99">W40*W41</f>
        <v>0.24609375</v>
      </c>
      <c r="X42">
        <f t="shared" ref="X42" si="100">X40*X41</f>
        <v>0.24609375</v>
      </c>
      <c r="Y42">
        <f t="shared" ref="Y42" si="101">Y40*Y41</f>
        <v>0.1318359375</v>
      </c>
      <c r="Z42">
        <f t="shared" ref="Z42" si="102">Z40*Z41</f>
        <v>0.1708984375</v>
      </c>
      <c r="AA42">
        <f t="shared" ref="AA42" si="103">AA40*AA41</f>
        <v>8.49609375E-2</v>
      </c>
      <c r="AB42">
        <f>AB40*AB41</f>
        <v>5.859375E-2</v>
      </c>
      <c r="AC42">
        <f t="shared" ref="AC42" si="104">AC40*AC41</f>
        <v>0.2255859375</v>
      </c>
      <c r="AD42">
        <f t="shared" ref="AD42" si="105">AD40*AD41</f>
        <v>0.1708984375</v>
      </c>
      <c r="AE42">
        <f t="shared" ref="AE42" si="106">AE40*AE41</f>
        <v>0</v>
      </c>
      <c r="AF42">
        <f t="shared" ref="AF42" si="107">AF40*AF41</f>
        <v>5.859375E-2</v>
      </c>
      <c r="AG42">
        <f t="shared" ref="AG42" si="108">AG40*AG41</f>
        <v>0.109375</v>
      </c>
      <c r="AH42">
        <f t="shared" ref="AH42" si="109">AH40*AH41</f>
        <v>0.109375</v>
      </c>
      <c r="AI42">
        <f>AI40*AI41</f>
        <v>0.1875</v>
      </c>
      <c r="AJ42">
        <f t="shared" ref="AJ42" si="110">AJ40*AJ41</f>
        <v>0.1875</v>
      </c>
      <c r="AK42">
        <f t="shared" ref="AK42" si="111">AK40*AK41</f>
        <v>0.1318359375</v>
      </c>
      <c r="AL42">
        <f t="shared" ref="AL42" si="112">AL40*AL41</f>
        <v>0.109375</v>
      </c>
      <c r="AM42">
        <f t="shared" ref="AM42" si="113">AM40*AM41</f>
        <v>0.2255859375</v>
      </c>
      <c r="AN42">
        <f t="shared" ref="AN42" si="114">AN40*AN41</f>
        <v>5.859375E-2</v>
      </c>
      <c r="AO42">
        <f>AO40*AO41</f>
        <v>0.21484375</v>
      </c>
      <c r="AP42">
        <f t="shared" ref="AP42" si="115">AP40*AP41</f>
        <v>0.2490234375</v>
      </c>
      <c r="AQ42">
        <f t="shared" ref="AQ42" si="116">AQ40*AQ41</f>
        <v>0.1318359375</v>
      </c>
      <c r="AR42">
        <f t="shared" ref="AR42" si="117">AR40*AR41</f>
        <v>0.2490234375</v>
      </c>
      <c r="AS42">
        <f t="shared" ref="AS42" si="118">AS40*AS41</f>
        <v>0.24609375</v>
      </c>
      <c r="AT42">
        <f t="shared" ref="AT42" si="119">AT40*AT41</f>
        <v>0.15234375</v>
      </c>
      <c r="AU42">
        <f t="shared" ref="AU42" si="120">AU40*AU41</f>
        <v>0.25</v>
      </c>
      <c r="AV42">
        <f t="shared" ref="AV42" si="121">AV40*AV41</f>
        <v>0.2255859375</v>
      </c>
      <c r="AW42">
        <f t="shared" ref="AW42" si="122">AW40*AW41</f>
        <v>0.24609375</v>
      </c>
      <c r="AX42">
        <f t="shared" ref="AX42" si="123">AX40*AX41</f>
        <v>0.1708984375</v>
      </c>
      <c r="AY42">
        <f t="shared" ref="AY42" si="124">AY40*AY41</f>
        <v>0.109375</v>
      </c>
      <c r="AZ42">
        <f t="shared" ref="AZ42" si="125">AZ40*AZ41</f>
        <v>0.15234375</v>
      </c>
      <c r="BA42">
        <f>BA40*BA41</f>
        <v>0.1875</v>
      </c>
      <c r="BB42">
        <f>BB40*BB41</f>
        <v>0.109375</v>
      </c>
      <c r="BC42">
        <f t="shared" ref="BC42" si="126">BC40*BC41</f>
        <v>0.234375</v>
      </c>
      <c r="BD42">
        <f t="shared" ref="BD42" si="127">BD40*BD41</f>
        <v>0.1875</v>
      </c>
      <c r="BE42">
        <f t="shared" ref="BE42" si="128">BE40*BE41</f>
        <v>0.109375</v>
      </c>
      <c r="BF42">
        <f t="shared" ref="BF42" si="129">BF40*BF41</f>
        <v>5.859375E-2</v>
      </c>
      <c r="BG42">
        <f>BG40*BG41</f>
        <v>0.1318359375</v>
      </c>
      <c r="BH42">
        <f t="shared" ref="BH42" si="130">BH40*BH41</f>
        <v>0.109375</v>
      </c>
      <c r="BI42">
        <f t="shared" ref="BI42" si="131">BI40*BI41</f>
        <v>0.24609375</v>
      </c>
      <c r="BJ42">
        <f>BJ40*BJ41</f>
        <v>8.49609375E-2</v>
      </c>
      <c r="BK42">
        <f t="shared" ref="BK42" si="132">BK40*BK41</f>
        <v>0.24609375</v>
      </c>
    </row>
    <row r="43" spans="1:65" ht="15.75" customHeight="1" x14ac:dyDescent="0.25">
      <c r="C43" s="11" t="s">
        <v>98</v>
      </c>
      <c r="D43" t="str">
        <f>IF(D40&lt;=0.3,"SUKAR",IF(D40&lt;=0.7,"SEDANG","MUDAH"))</f>
        <v>MUDAH</v>
      </c>
      <c r="E43" t="str">
        <f t="shared" ref="E43:BK43" si="133">IF(E40&lt;=0.3,"SUKAR",IF(E40&lt;=0.7,"SEDANG","MUDAH"))</f>
        <v>MUDAH</v>
      </c>
      <c r="F43" t="str">
        <f t="shared" si="133"/>
        <v>MUDAH</v>
      </c>
      <c r="G43" t="str">
        <f t="shared" si="133"/>
        <v>MUDAH</v>
      </c>
      <c r="H43" t="str">
        <f t="shared" si="133"/>
        <v>MUDAH</v>
      </c>
      <c r="I43" t="str">
        <f t="shared" si="133"/>
        <v>MUDAH</v>
      </c>
      <c r="J43" t="str">
        <f t="shared" si="133"/>
        <v>MUDAH</v>
      </c>
      <c r="K43" t="str">
        <f t="shared" si="133"/>
        <v>SEDANG</v>
      </c>
      <c r="L43" t="str">
        <f t="shared" si="133"/>
        <v>SEDANG</v>
      </c>
      <c r="M43" t="str">
        <f t="shared" si="133"/>
        <v>MUDAH</v>
      </c>
      <c r="N43" t="str">
        <f t="shared" si="133"/>
        <v>MUDAH</v>
      </c>
      <c r="O43" t="str">
        <f t="shared" si="133"/>
        <v>MUDAH</v>
      </c>
      <c r="P43" t="str">
        <f t="shared" si="133"/>
        <v>MUDAH</v>
      </c>
      <c r="Q43" t="str">
        <f>IF(Q40&lt;=0.3,"SUKAR",IF(Q40&lt;=0.7,"SEDANG","MUDAH"))</f>
        <v>MUDAH</v>
      </c>
      <c r="R43" t="str">
        <f t="shared" si="133"/>
        <v>SEDANG</v>
      </c>
      <c r="S43" t="str">
        <f t="shared" si="133"/>
        <v>MUDAH</v>
      </c>
      <c r="T43" t="str">
        <f t="shared" si="133"/>
        <v>MUDAH</v>
      </c>
      <c r="U43" t="str">
        <f t="shared" si="133"/>
        <v>SEDANG</v>
      </c>
      <c r="V43" t="str">
        <f t="shared" si="133"/>
        <v>SEDANG</v>
      </c>
      <c r="W43" t="str">
        <f t="shared" si="133"/>
        <v>SEDANG</v>
      </c>
      <c r="X43" t="str">
        <f t="shared" si="133"/>
        <v>SEDANG</v>
      </c>
      <c r="Y43" t="str">
        <f t="shared" si="133"/>
        <v>MUDAH</v>
      </c>
      <c r="Z43" t="str">
        <f t="shared" si="133"/>
        <v>MUDAH</v>
      </c>
      <c r="AA43" t="str">
        <f>IF(AA40&lt;=0.3,"SUKAR",IF(AA40&lt;=0.7,"SEDANG","MUDAH"))</f>
        <v>MUDAH</v>
      </c>
      <c r="AB43" t="str">
        <f t="shared" si="133"/>
        <v>MUDAH</v>
      </c>
      <c r="AC43" t="str">
        <f t="shared" si="133"/>
        <v>SEDANG</v>
      </c>
      <c r="AD43" t="str">
        <f t="shared" si="133"/>
        <v>SUKAR</v>
      </c>
      <c r="AE43" t="str">
        <f t="shared" si="133"/>
        <v>MUDAH</v>
      </c>
      <c r="AF43" t="str">
        <f t="shared" si="133"/>
        <v>MUDAH</v>
      </c>
      <c r="AG43" t="str">
        <f t="shared" si="133"/>
        <v>MUDAH</v>
      </c>
      <c r="AH43" t="str">
        <f t="shared" si="133"/>
        <v>MUDAH</v>
      </c>
      <c r="AI43" t="str">
        <f>IF(AI40&lt;=0.3,"SUKAR",IF(AI40&lt;=0.7,"SEDANG","MUDAH"))</f>
        <v>MUDAH</v>
      </c>
      <c r="AJ43" t="str">
        <f t="shared" si="133"/>
        <v>MUDAH</v>
      </c>
      <c r="AK43" t="str">
        <f t="shared" si="133"/>
        <v>MUDAH</v>
      </c>
      <c r="AL43" t="str">
        <f t="shared" si="133"/>
        <v>MUDAH</v>
      </c>
      <c r="AM43" t="str">
        <f t="shared" si="133"/>
        <v>SEDANG</v>
      </c>
      <c r="AN43" t="str">
        <f t="shared" si="133"/>
        <v>MUDAH</v>
      </c>
      <c r="AO43" t="str">
        <f t="shared" si="133"/>
        <v>SEDANG</v>
      </c>
      <c r="AP43" t="str">
        <f>IF(AP40&lt;=0.3,"SUKAR",IF(AP40&lt;=0.7,"SEDANG","MUDAH"))</f>
        <v>SEDANG</v>
      </c>
      <c r="AQ43" t="str">
        <f t="shared" si="133"/>
        <v>MUDAH</v>
      </c>
      <c r="AR43" t="str">
        <f t="shared" si="133"/>
        <v>SEDANG</v>
      </c>
      <c r="AS43" t="str">
        <f t="shared" si="133"/>
        <v>SEDANG</v>
      </c>
      <c r="AT43" t="str">
        <f t="shared" si="133"/>
        <v>MUDAH</v>
      </c>
      <c r="AU43" t="str">
        <f t="shared" si="133"/>
        <v>SEDANG</v>
      </c>
      <c r="AV43" t="str">
        <f>IF(AV40&lt;=0.3,"SUKAR",IF(AV40&lt;=0.7,"SEDANG","MUDAH"))</f>
        <v>SEDANG</v>
      </c>
      <c r="AW43" t="str">
        <f t="shared" si="133"/>
        <v>SEDANG</v>
      </c>
      <c r="AX43" t="str">
        <f t="shared" si="133"/>
        <v>MUDAH</v>
      </c>
      <c r="AY43" t="str">
        <f t="shared" si="133"/>
        <v>MUDAH</v>
      </c>
      <c r="AZ43" t="str">
        <f t="shared" si="133"/>
        <v>MUDAH</v>
      </c>
      <c r="BA43" t="str">
        <f t="shared" si="133"/>
        <v>MUDAH</v>
      </c>
      <c r="BB43" t="str">
        <f>IF(BB40&lt;=0.3,"SUKAR",IF(BB40&lt;=0.7,"SEDANG","MUDAH"))</f>
        <v>MUDAH</v>
      </c>
      <c r="BC43" t="str">
        <f t="shared" si="133"/>
        <v>SEDANG</v>
      </c>
      <c r="BD43" t="str">
        <f t="shared" si="133"/>
        <v>MUDAH</v>
      </c>
      <c r="BE43" t="str">
        <f t="shared" si="133"/>
        <v>MUDAH</v>
      </c>
      <c r="BF43" t="str">
        <f t="shared" si="133"/>
        <v>MUDAH</v>
      </c>
      <c r="BG43" t="str">
        <f t="shared" si="133"/>
        <v>MUDAH</v>
      </c>
      <c r="BH43" t="str">
        <f t="shared" si="133"/>
        <v>MUDAH</v>
      </c>
      <c r="BI43" t="str">
        <f>IF(BI40&lt;=0.3,"SUKAR",IF(BI40&lt;=0.7,"SEDANG","MUDAH"))</f>
        <v>SEDANG</v>
      </c>
      <c r="BJ43" t="str">
        <f t="shared" si="133"/>
        <v>MUDAH</v>
      </c>
      <c r="BK43" t="str">
        <f t="shared" si="133"/>
        <v>SEDANG</v>
      </c>
    </row>
    <row r="44" spans="1:65" ht="15.75" customHeight="1" x14ac:dyDescent="0.25">
      <c r="C44" s="11" t="s">
        <v>103</v>
      </c>
      <c r="D44">
        <f>VAR(D2:D33)</f>
        <v>0</v>
      </c>
      <c r="E44">
        <f t="shared" ref="E44:AG44" si="134">VAR(E2:E33)</f>
        <v>0.20866935483870969</v>
      </c>
      <c r="F44">
        <f t="shared" si="134"/>
        <v>0.15725806451612903</v>
      </c>
      <c r="G44">
        <f t="shared" si="134"/>
        <v>0.20866935483870969</v>
      </c>
      <c r="H44">
        <f t="shared" si="134"/>
        <v>0.17641129032258066</v>
      </c>
      <c r="I44">
        <f t="shared" si="134"/>
        <v>0.20866935483870969</v>
      </c>
      <c r="J44">
        <f t="shared" si="134"/>
        <v>0.15725806451612903</v>
      </c>
      <c r="K44">
        <f>VAR(K2:K33)</f>
        <v>0.22177419354838709</v>
      </c>
      <c r="L44">
        <f t="shared" si="134"/>
        <v>0.23286290322580644</v>
      </c>
      <c r="M44">
        <f t="shared" si="134"/>
        <v>0.17641129032258066</v>
      </c>
      <c r="N44">
        <f t="shared" si="134"/>
        <v>0.17641129032258066</v>
      </c>
      <c r="O44">
        <f t="shared" si="134"/>
        <v>0.13608870967741934</v>
      </c>
      <c r="P44">
        <f t="shared" si="134"/>
        <v>0.13608870967741934</v>
      </c>
      <c r="Q44">
        <f t="shared" si="134"/>
        <v>0.19354838709677419</v>
      </c>
      <c r="R44">
        <f>VAR(R2:R33)</f>
        <v>0.24899193548387097</v>
      </c>
      <c r="S44">
        <f t="shared" si="134"/>
        <v>6.0483870967741937E-2</v>
      </c>
      <c r="T44">
        <f t="shared" si="134"/>
        <v>8.7701612903225812E-2</v>
      </c>
      <c r="U44">
        <f t="shared" si="134"/>
        <v>0.25705645161290325</v>
      </c>
      <c r="V44">
        <f t="shared" si="134"/>
        <v>0.23286290322580644</v>
      </c>
      <c r="W44">
        <f t="shared" si="134"/>
        <v>0.25403225806451613</v>
      </c>
      <c r="X44">
        <f t="shared" si="134"/>
        <v>0.25403225806451613</v>
      </c>
      <c r="Y44">
        <f>VAR(Y2:Y33)</f>
        <v>0.13608870967741934</v>
      </c>
      <c r="Z44">
        <f t="shared" si="134"/>
        <v>0.17641129032258066</v>
      </c>
      <c r="AA44">
        <f>VAR(AA2:AA33)</f>
        <v>8.7701612903225812E-2</v>
      </c>
      <c r="AB44">
        <f t="shared" si="134"/>
        <v>6.0483870967741937E-2</v>
      </c>
      <c r="AC44">
        <f t="shared" si="134"/>
        <v>0.23286290322580644</v>
      </c>
      <c r="AD44">
        <f t="shared" si="134"/>
        <v>0.17641129032258066</v>
      </c>
      <c r="AE44">
        <f t="shared" si="134"/>
        <v>0</v>
      </c>
      <c r="AF44">
        <f t="shared" si="134"/>
        <v>6.0483870967741937E-2</v>
      </c>
      <c r="AG44">
        <f t="shared" si="134"/>
        <v>0.11290322580645161</v>
      </c>
      <c r="AH44">
        <f>VAR(AH2:AH33)</f>
        <v>0.11290322580645161</v>
      </c>
      <c r="AI44">
        <f>VAR(AI2:AI33)</f>
        <v>0.19354838709677419</v>
      </c>
      <c r="AJ44">
        <f t="shared" ref="AJ44:AO44" si="135">VAR(AJ2:AJ33)</f>
        <v>0.19354838709677419</v>
      </c>
      <c r="AK44">
        <f t="shared" si="135"/>
        <v>0.13608870967741934</v>
      </c>
      <c r="AL44">
        <f t="shared" si="135"/>
        <v>0.11290322580645161</v>
      </c>
      <c r="AM44">
        <f t="shared" si="135"/>
        <v>0.23286290322580644</v>
      </c>
      <c r="AN44">
        <f t="shared" si="135"/>
        <v>6.0483870967741937E-2</v>
      </c>
      <c r="AO44">
        <f t="shared" si="135"/>
        <v>0.22177419354838709</v>
      </c>
      <c r="AP44">
        <f>VAR(AP2:AP33)</f>
        <v>0.25705645161290325</v>
      </c>
      <c r="AQ44">
        <f>VAR(AQ2:AQ33)</f>
        <v>0.13608870967741934</v>
      </c>
      <c r="AR44">
        <f t="shared" ref="AR44:AY44" si="136">VAR(AR2:AR33)</f>
        <v>0.25705645161290325</v>
      </c>
      <c r="AS44">
        <f t="shared" si="136"/>
        <v>0.25403225806451613</v>
      </c>
      <c r="AT44">
        <f t="shared" si="136"/>
        <v>0.15725806451612903</v>
      </c>
      <c r="AU44">
        <f t="shared" si="136"/>
        <v>0.25806451612903225</v>
      </c>
      <c r="AV44">
        <f t="shared" si="136"/>
        <v>0.23286290322580644</v>
      </c>
      <c r="AW44">
        <f t="shared" si="136"/>
        <v>0.25403225806451613</v>
      </c>
      <c r="AX44">
        <f>VAR(AX2:AX33)</f>
        <v>0.17641129032258066</v>
      </c>
      <c r="AY44">
        <f t="shared" si="136"/>
        <v>0.11290322580645161</v>
      </c>
      <c r="AZ44">
        <f>VAR(AZ2:AZ33)</f>
        <v>0.15725806451612903</v>
      </c>
      <c r="BA44">
        <f t="shared" ref="BA44:BC44" si="137">VAR(BA2:BA33)</f>
        <v>0.19354838709677419</v>
      </c>
      <c r="BB44">
        <f t="shared" si="137"/>
        <v>0.11290322580645161</v>
      </c>
      <c r="BC44">
        <f t="shared" si="137"/>
        <v>0.24193548387096775</v>
      </c>
      <c r="BD44">
        <f>VAR(BD2:BD33)</f>
        <v>0.19354838709677419</v>
      </c>
      <c r="BE44">
        <f t="shared" ref="BE44:BH44" si="138">VAR(BE2:BE33)</f>
        <v>0.11290322580645161</v>
      </c>
      <c r="BF44">
        <f t="shared" si="138"/>
        <v>6.0483870967741937E-2</v>
      </c>
      <c r="BG44">
        <f t="shared" si="138"/>
        <v>0.13608870967741934</v>
      </c>
      <c r="BH44">
        <f t="shared" si="138"/>
        <v>0.11290322580645161</v>
      </c>
      <c r="BI44">
        <f>VAR(BI2:BI33)</f>
        <v>0.25403225806451613</v>
      </c>
      <c r="BJ44">
        <f t="shared" ref="BJ44:BM44" si="139">VAR(BJ2:BJ33)</f>
        <v>8.7701612903225812E-2</v>
      </c>
      <c r="BK44">
        <f t="shared" si="139"/>
        <v>0.25403225806451613</v>
      </c>
      <c r="BL44">
        <f t="shared" si="139"/>
        <v>104.95060483870968</v>
      </c>
      <c r="BM44">
        <f t="shared" si="139"/>
        <v>749730.93447580643</v>
      </c>
    </row>
    <row r="45" spans="1:65" ht="15.75" customHeight="1" x14ac:dyDescent="0.25">
      <c r="C45" s="11" t="s">
        <v>104</v>
      </c>
      <c r="D45">
        <f>SUM(D44:BK44)</f>
        <v>10.10584677419355</v>
      </c>
    </row>
    <row r="46" spans="1:65" ht="15.75" customHeight="1" x14ac:dyDescent="0.25">
      <c r="C46" s="11" t="s">
        <v>105</v>
      </c>
      <c r="D46">
        <f>60/(60-1)*(BL44-SUM(D42:BK42))/BL44</f>
        <v>0.92208574567333523</v>
      </c>
    </row>
    <row r="47" spans="1:65" ht="15.75" customHeight="1" x14ac:dyDescent="0.25">
      <c r="C47" s="11" t="s">
        <v>106</v>
      </c>
      <c r="D47">
        <v>0</v>
      </c>
      <c r="E47">
        <v>0.375</v>
      </c>
      <c r="F47">
        <v>0.25</v>
      </c>
      <c r="G47">
        <v>0.5</v>
      </c>
      <c r="H47">
        <v>0.75</v>
      </c>
      <c r="I47">
        <v>0.625</v>
      </c>
      <c r="J47">
        <v>0.625</v>
      </c>
      <c r="K47">
        <v>0.375</v>
      </c>
      <c r="L47">
        <v>0.625</v>
      </c>
      <c r="M47">
        <v>0.375</v>
      </c>
      <c r="N47">
        <v>0.625</v>
      </c>
      <c r="O47">
        <v>0.5</v>
      </c>
      <c r="P47">
        <v>0.5</v>
      </c>
      <c r="Q47">
        <v>0.25</v>
      </c>
      <c r="R47">
        <v>0.625</v>
      </c>
      <c r="S47">
        <v>0.125</v>
      </c>
      <c r="T47">
        <v>0.125</v>
      </c>
      <c r="U47">
        <v>0.625</v>
      </c>
      <c r="V47">
        <v>0.75</v>
      </c>
      <c r="W47">
        <v>0.375</v>
      </c>
      <c r="X47">
        <v>0.75</v>
      </c>
      <c r="Y47">
        <v>0.125</v>
      </c>
      <c r="Z47">
        <v>0.375</v>
      </c>
      <c r="AA47">
        <v>0.375</v>
      </c>
      <c r="AB47">
        <v>0.125</v>
      </c>
      <c r="AC47">
        <v>0.75</v>
      </c>
      <c r="AD47">
        <v>0.5</v>
      </c>
      <c r="AE47">
        <v>0</v>
      </c>
      <c r="AF47">
        <v>0.25</v>
      </c>
      <c r="AG47">
        <v>0.375</v>
      </c>
      <c r="AH47">
        <v>0.375</v>
      </c>
      <c r="AI47">
        <v>0.25</v>
      </c>
      <c r="AJ47">
        <v>0.5</v>
      </c>
      <c r="AK47">
        <v>0.25</v>
      </c>
      <c r="AL47">
        <v>0.5</v>
      </c>
      <c r="AM47">
        <v>0.375</v>
      </c>
      <c r="AN47">
        <v>0.125</v>
      </c>
      <c r="AO47">
        <v>0.625</v>
      </c>
      <c r="AP47">
        <v>0.75</v>
      </c>
      <c r="AQ47">
        <v>0.375</v>
      </c>
      <c r="AR47">
        <v>0.625</v>
      </c>
      <c r="AS47">
        <v>0.375</v>
      </c>
      <c r="AT47">
        <v>0.625</v>
      </c>
      <c r="AU47">
        <v>0.75</v>
      </c>
      <c r="AV47">
        <v>0.25</v>
      </c>
      <c r="AW47">
        <v>0.75</v>
      </c>
      <c r="AX47">
        <v>0.625</v>
      </c>
      <c r="AY47">
        <v>0.25</v>
      </c>
      <c r="AZ47">
        <v>0.375</v>
      </c>
      <c r="BA47">
        <v>0.5</v>
      </c>
      <c r="BB47">
        <v>0.375</v>
      </c>
      <c r="BC47">
        <v>0.25</v>
      </c>
      <c r="BD47">
        <v>0.5</v>
      </c>
      <c r="BE47">
        <v>0.5</v>
      </c>
      <c r="BF47">
        <v>0.25</v>
      </c>
      <c r="BG47">
        <v>0.375</v>
      </c>
      <c r="BH47">
        <v>0.5</v>
      </c>
      <c r="BI47">
        <v>0.25</v>
      </c>
      <c r="BJ47">
        <v>0.125</v>
      </c>
      <c r="BK47">
        <v>0.625</v>
      </c>
    </row>
    <row r="48" spans="1:65" ht="15.75" customHeight="1" x14ac:dyDescent="0.25">
      <c r="C48" s="1" t="s">
        <v>98</v>
      </c>
      <c r="D48" t="s">
        <v>108</v>
      </c>
      <c r="E48" t="s">
        <v>109</v>
      </c>
      <c r="F48" t="s">
        <v>109</v>
      </c>
      <c r="G48" t="s">
        <v>110</v>
      </c>
      <c r="H48" t="s">
        <v>111</v>
      </c>
      <c r="I48" t="s">
        <v>110</v>
      </c>
      <c r="J48" t="s">
        <v>110</v>
      </c>
      <c r="K48" t="s">
        <v>109</v>
      </c>
      <c r="L48" t="s">
        <v>110</v>
      </c>
      <c r="M48" t="s">
        <v>109</v>
      </c>
      <c r="N48" t="s">
        <v>110</v>
      </c>
      <c r="O48" t="s">
        <v>110</v>
      </c>
      <c r="P48" t="s">
        <v>110</v>
      </c>
      <c r="Q48" t="s">
        <v>109</v>
      </c>
      <c r="R48" t="s">
        <v>110</v>
      </c>
      <c r="S48" t="s">
        <v>108</v>
      </c>
      <c r="T48" t="s">
        <v>108</v>
      </c>
      <c r="U48" t="s">
        <v>110</v>
      </c>
      <c r="V48" t="s">
        <v>111</v>
      </c>
      <c r="W48" t="s">
        <v>109</v>
      </c>
      <c r="X48" t="s">
        <v>111</v>
      </c>
      <c r="Y48" t="s">
        <v>108</v>
      </c>
      <c r="Z48" t="s">
        <v>109</v>
      </c>
      <c r="AA48" t="s">
        <v>109</v>
      </c>
      <c r="AB48" t="s">
        <v>108</v>
      </c>
      <c r="AC48" t="s">
        <v>111</v>
      </c>
      <c r="AD48" t="s">
        <v>110</v>
      </c>
      <c r="AE48" t="s">
        <v>108</v>
      </c>
      <c r="AF48" t="s">
        <v>109</v>
      </c>
      <c r="AG48" t="s">
        <v>109</v>
      </c>
      <c r="AH48" t="s">
        <v>109</v>
      </c>
      <c r="AI48" t="s">
        <v>109</v>
      </c>
      <c r="AJ48" t="s">
        <v>110</v>
      </c>
      <c r="AK48" t="s">
        <v>109</v>
      </c>
      <c r="AL48" t="s">
        <v>110</v>
      </c>
      <c r="AM48" t="s">
        <v>109</v>
      </c>
      <c r="AN48" t="s">
        <v>108</v>
      </c>
      <c r="AO48" t="s">
        <v>110</v>
      </c>
      <c r="AP48" t="s">
        <v>111</v>
      </c>
      <c r="AQ48" t="s">
        <v>109</v>
      </c>
      <c r="AR48" t="s">
        <v>110</v>
      </c>
      <c r="AS48" t="s">
        <v>109</v>
      </c>
      <c r="AT48" t="s">
        <v>110</v>
      </c>
      <c r="AU48" t="s">
        <v>111</v>
      </c>
      <c r="AV48" t="s">
        <v>109</v>
      </c>
      <c r="AW48" t="s">
        <v>111</v>
      </c>
      <c r="AX48" t="s">
        <v>110</v>
      </c>
      <c r="AY48" t="s">
        <v>109</v>
      </c>
      <c r="AZ48" t="s">
        <v>109</v>
      </c>
      <c r="BA48" t="s">
        <v>110</v>
      </c>
      <c r="BB48" t="s">
        <v>109</v>
      </c>
      <c r="BC48" t="s">
        <v>109</v>
      </c>
      <c r="BD48" t="s">
        <v>110</v>
      </c>
      <c r="BE48" t="s">
        <v>110</v>
      </c>
      <c r="BF48" t="s">
        <v>109</v>
      </c>
      <c r="BG48" t="s">
        <v>109</v>
      </c>
      <c r="BH48" t="s">
        <v>110</v>
      </c>
      <c r="BI48" t="s">
        <v>109</v>
      </c>
      <c r="BJ48" t="s">
        <v>108</v>
      </c>
      <c r="BK48" t="s">
        <v>110</v>
      </c>
    </row>
    <row r="51" spans="2:7" ht="15.75" customHeight="1" x14ac:dyDescent="0.25">
      <c r="C51" s="14" t="s">
        <v>112</v>
      </c>
      <c r="D51" s="15">
        <v>41</v>
      </c>
      <c r="E51">
        <f>COUNTIF(38:38,"VALID")</f>
        <v>41</v>
      </c>
    </row>
    <row r="52" spans="2:7" ht="15.75" customHeight="1" x14ac:dyDescent="0.25">
      <c r="C52" s="14" t="s">
        <v>113</v>
      </c>
      <c r="D52" s="15">
        <v>8</v>
      </c>
      <c r="E52">
        <f>COUNTIF(38:38,"TIDAK")</f>
        <v>17</v>
      </c>
    </row>
    <row r="53" spans="2:7" ht="15.75" customHeight="1" x14ac:dyDescent="0.25">
      <c r="C53" s="14" t="s">
        <v>114</v>
      </c>
      <c r="D53" s="15">
        <v>11</v>
      </c>
      <c r="E53">
        <v>2</v>
      </c>
    </row>
    <row r="54" spans="2:7" ht="15.75" customHeight="1" x14ac:dyDescent="0.25">
      <c r="G54" s="23">
        <v>0.92208574567333501</v>
      </c>
    </row>
    <row r="55" spans="2:7" ht="15.75" customHeight="1" x14ac:dyDescent="0.25">
      <c r="B55" s="21" t="s">
        <v>128</v>
      </c>
      <c r="C55" s="22" t="s">
        <v>123</v>
      </c>
      <c r="D55" s="21" t="s">
        <v>124</v>
      </c>
      <c r="E55" s="21" t="s">
        <v>125</v>
      </c>
    </row>
    <row r="56" spans="2:7" ht="15.75" customHeight="1" x14ac:dyDescent="0.25">
      <c r="C56" s="18" t="s">
        <v>122</v>
      </c>
      <c r="D56" s="19">
        <v>2</v>
      </c>
      <c r="E56" s="20">
        <f>D56/$D$62</f>
        <v>3.3333333333333333E-2</v>
      </c>
    </row>
    <row r="57" spans="2:7" ht="15.75" customHeight="1" x14ac:dyDescent="0.25">
      <c r="C57" s="16" t="s">
        <v>118</v>
      </c>
      <c r="D57" s="15">
        <f>COUNTIF(39:39,"Sangat Rendah")</f>
        <v>10</v>
      </c>
      <c r="E57" s="17">
        <f>D57/$D$62</f>
        <v>0.16666666666666666</v>
      </c>
    </row>
    <row r="58" spans="2:7" ht="15.75" customHeight="1" x14ac:dyDescent="0.25">
      <c r="C58" s="16" t="s">
        <v>117</v>
      </c>
      <c r="D58" s="15">
        <f>COUNTIF(39:39,"Rendah")</f>
        <v>18</v>
      </c>
      <c r="E58" s="17">
        <f t="shared" ref="E57:E60" si="140">D58/$D$62</f>
        <v>0.3</v>
      </c>
    </row>
    <row r="59" spans="2:7" ht="15.75" customHeight="1" x14ac:dyDescent="0.25">
      <c r="C59" s="15" t="s">
        <v>119</v>
      </c>
      <c r="D59" s="15">
        <f>COUNTIF(39:39,"Cukup Tinggi")</f>
        <v>24</v>
      </c>
      <c r="E59" s="17">
        <f t="shared" si="140"/>
        <v>0.4</v>
      </c>
    </row>
    <row r="60" spans="2:7" ht="15.75" customHeight="1" x14ac:dyDescent="0.25">
      <c r="C60" s="15" t="s">
        <v>120</v>
      </c>
      <c r="D60" s="15">
        <f>COUNTIF(39:39,"Tinggi")</f>
        <v>6</v>
      </c>
      <c r="E60" s="17">
        <f t="shared" si="140"/>
        <v>0.1</v>
      </c>
    </row>
    <row r="61" spans="2:7" ht="15.75" customHeight="1" x14ac:dyDescent="0.25">
      <c r="C61" s="15" t="s">
        <v>127</v>
      </c>
      <c r="D61" s="15">
        <f>COUNTIF(39:39,"Sangat Baik")</f>
        <v>0</v>
      </c>
      <c r="E61" s="17">
        <f>D61/$D$62</f>
        <v>0</v>
      </c>
    </row>
    <row r="62" spans="2:7" ht="15.75" customHeight="1" x14ac:dyDescent="0.25">
      <c r="C62" s="15" t="s">
        <v>126</v>
      </c>
      <c r="D62" s="15">
        <f>SUM(D56:D61)</f>
        <v>60</v>
      </c>
      <c r="E62" s="17">
        <f>D62/$D$62</f>
        <v>1</v>
      </c>
    </row>
    <row r="64" spans="2:7" ht="15.75" customHeight="1" x14ac:dyDescent="0.25">
      <c r="B64" s="7" t="s">
        <v>129</v>
      </c>
      <c r="C64" s="22" t="s">
        <v>123</v>
      </c>
      <c r="D64" s="21" t="s">
        <v>124</v>
      </c>
      <c r="E64" s="21" t="s">
        <v>125</v>
      </c>
    </row>
    <row r="65" spans="2:5" ht="15.75" customHeight="1" x14ac:dyDescent="0.25">
      <c r="C65" s="18" t="s">
        <v>132</v>
      </c>
      <c r="D65" s="19">
        <f>COUNTIF(43:43,"SUKAR")</f>
        <v>1</v>
      </c>
      <c r="E65" s="20">
        <f>D65/$D$68</f>
        <v>1.6666666666666666E-2</v>
      </c>
    </row>
    <row r="66" spans="2:5" ht="15.75" customHeight="1" x14ac:dyDescent="0.25">
      <c r="C66" s="16" t="s">
        <v>131</v>
      </c>
      <c r="D66" s="15">
        <f>COUNTIF(43:43,"SEDANG")</f>
        <v>19</v>
      </c>
      <c r="E66" s="20">
        <f t="shared" ref="E66:E67" si="141">D66/$D$68</f>
        <v>0.31666666666666665</v>
      </c>
    </row>
    <row r="67" spans="2:5" ht="15.75" customHeight="1" x14ac:dyDescent="0.25">
      <c r="C67" s="16" t="s">
        <v>130</v>
      </c>
      <c r="D67" s="15">
        <f>COUNTIF(43:43,"MUDAH")</f>
        <v>40</v>
      </c>
      <c r="E67" s="20">
        <f>D67/$D$68</f>
        <v>0.66666666666666663</v>
      </c>
    </row>
    <row r="68" spans="2:5" ht="15.75" customHeight="1" x14ac:dyDescent="0.25">
      <c r="C68" s="15" t="s">
        <v>133</v>
      </c>
      <c r="D68" s="15">
        <f>SUM(D65:D67)</f>
        <v>60</v>
      </c>
      <c r="E68" s="17">
        <f>D68/$D$68</f>
        <v>1</v>
      </c>
    </row>
    <row r="69" spans="2:5" ht="15.75" customHeight="1" x14ac:dyDescent="0.25">
      <c r="C69" s="24"/>
      <c r="D69" s="24"/>
      <c r="E69" s="25"/>
    </row>
    <row r="70" spans="2:5" ht="15.75" customHeight="1" x14ac:dyDescent="0.25">
      <c r="B70" t="s">
        <v>134</v>
      </c>
      <c r="C70" s="22" t="s">
        <v>123</v>
      </c>
      <c r="D70" s="21" t="s">
        <v>124</v>
      </c>
      <c r="E70" s="21" t="s">
        <v>125</v>
      </c>
    </row>
    <row r="71" spans="2:5" ht="15.75" customHeight="1" x14ac:dyDescent="0.25">
      <c r="C71" s="18" t="s">
        <v>121</v>
      </c>
      <c r="D71" s="19">
        <f>COUNTIF(48:48,"sangat baik")</f>
        <v>7</v>
      </c>
      <c r="E71" s="20">
        <f>D71/$D$75</f>
        <v>0.11666666666666667</v>
      </c>
    </row>
    <row r="72" spans="2:5" ht="15.75" customHeight="1" x14ac:dyDescent="0.25">
      <c r="C72" s="16" t="s">
        <v>137</v>
      </c>
      <c r="D72" s="15">
        <f>COUNTIF(48:48,"baik")</f>
        <v>21</v>
      </c>
      <c r="E72" s="20">
        <f>D72/$D$75</f>
        <v>0.35</v>
      </c>
    </row>
    <row r="73" spans="2:5" ht="15.75" customHeight="1" x14ac:dyDescent="0.25">
      <c r="C73" s="16" t="s">
        <v>136</v>
      </c>
      <c r="D73" s="15">
        <f>COUNTIF(48:48,"cukup")</f>
        <v>24</v>
      </c>
      <c r="E73" s="20">
        <f>D73/$D$75</f>
        <v>0.4</v>
      </c>
    </row>
    <row r="74" spans="2:5" ht="15.75" customHeight="1" x14ac:dyDescent="0.25">
      <c r="C74" s="15" t="s">
        <v>135</v>
      </c>
      <c r="D74" s="15">
        <f>COUNTIF(48:48,"jelek")</f>
        <v>8</v>
      </c>
      <c r="E74" s="20">
        <f>D74/$D$75</f>
        <v>0.13333333333333333</v>
      </c>
    </row>
    <row r="75" spans="2:5" ht="15.75" customHeight="1" x14ac:dyDescent="0.25">
      <c r="C75" s="15" t="s">
        <v>133</v>
      </c>
      <c r="D75" s="15">
        <f>SUM(D71:D74)</f>
        <v>60</v>
      </c>
      <c r="E75" s="17">
        <f>D75/$D$75</f>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5A3D-15B4-4771-A3A6-883A1E3EFC4B}">
  <dimension ref="A1:BM32"/>
  <sheetViews>
    <sheetView workbookViewId="0">
      <selection activeCell="BG36" sqref="BG36"/>
    </sheetView>
  </sheetViews>
  <sheetFormatPr defaultRowHeight="13.2" x14ac:dyDescent="0.25"/>
  <cols>
    <col min="1" max="1" width="18.33203125" customWidth="1"/>
    <col min="3" max="3" width="29" customWidth="1"/>
  </cols>
  <sheetData>
    <row r="1" spans="1:65" x14ac:dyDescent="0.25">
      <c r="A1" s="2">
        <v>45434.407689641201</v>
      </c>
      <c r="B1" s="3">
        <v>60</v>
      </c>
      <c r="C1" s="1" t="s">
        <v>88</v>
      </c>
      <c r="D1" s="1">
        <v>1</v>
      </c>
      <c r="E1" s="1">
        <v>1</v>
      </c>
      <c r="F1" s="1">
        <v>1</v>
      </c>
      <c r="G1" s="1">
        <v>1</v>
      </c>
      <c r="H1" s="1">
        <v>1</v>
      </c>
      <c r="I1" s="1">
        <v>1</v>
      </c>
      <c r="J1" s="1">
        <v>1</v>
      </c>
      <c r="K1" s="1">
        <v>1</v>
      </c>
      <c r="L1" s="1">
        <v>1</v>
      </c>
      <c r="M1" s="1">
        <v>1</v>
      </c>
      <c r="N1" s="1">
        <v>1</v>
      </c>
      <c r="O1" s="1">
        <v>1</v>
      </c>
      <c r="P1" s="1">
        <v>1</v>
      </c>
      <c r="Q1" s="1">
        <v>1</v>
      </c>
      <c r="R1" s="1">
        <v>1</v>
      </c>
      <c r="S1" s="1">
        <v>1</v>
      </c>
      <c r="T1" s="1">
        <v>1</v>
      </c>
      <c r="U1" s="1">
        <v>1</v>
      </c>
      <c r="V1" s="1">
        <v>1</v>
      </c>
      <c r="W1" s="1">
        <v>1</v>
      </c>
      <c r="X1" s="1">
        <v>1</v>
      </c>
      <c r="Y1" s="1">
        <v>1</v>
      </c>
      <c r="Z1" s="1">
        <v>1</v>
      </c>
      <c r="AA1" s="1">
        <v>1</v>
      </c>
      <c r="AB1" s="1">
        <v>1</v>
      </c>
      <c r="AC1" s="1">
        <v>1</v>
      </c>
      <c r="AD1" s="1">
        <v>1</v>
      </c>
      <c r="AE1" s="1">
        <v>1</v>
      </c>
      <c r="AF1" s="1">
        <v>1</v>
      </c>
      <c r="AG1" s="1">
        <v>1</v>
      </c>
      <c r="AH1" s="1">
        <v>1</v>
      </c>
      <c r="AI1" s="1">
        <v>1</v>
      </c>
      <c r="AJ1" s="1">
        <v>1</v>
      </c>
      <c r="AK1" s="1">
        <v>1</v>
      </c>
      <c r="AL1" s="1">
        <v>1</v>
      </c>
      <c r="AM1" s="1">
        <v>1</v>
      </c>
      <c r="AN1" s="1">
        <v>1</v>
      </c>
      <c r="AO1" s="1">
        <v>1</v>
      </c>
      <c r="AP1" s="1">
        <v>1</v>
      </c>
      <c r="AQ1" s="1">
        <v>1</v>
      </c>
      <c r="AR1" s="1">
        <v>1</v>
      </c>
      <c r="AS1" s="1">
        <v>1</v>
      </c>
      <c r="AT1" s="1">
        <v>1</v>
      </c>
      <c r="AU1" s="1">
        <v>1</v>
      </c>
      <c r="AV1" s="1">
        <v>1</v>
      </c>
      <c r="AW1" s="1">
        <v>1</v>
      </c>
      <c r="AX1" s="1">
        <v>1</v>
      </c>
      <c r="AY1" s="1">
        <v>1</v>
      </c>
      <c r="AZ1" s="1">
        <v>1</v>
      </c>
      <c r="BA1" s="1">
        <v>1</v>
      </c>
      <c r="BB1" s="1">
        <v>1</v>
      </c>
      <c r="BC1" s="1">
        <v>1</v>
      </c>
      <c r="BD1" s="1">
        <v>1</v>
      </c>
      <c r="BE1" s="1">
        <v>1</v>
      </c>
      <c r="BF1" s="1">
        <v>1</v>
      </c>
      <c r="BG1" s="1">
        <v>1</v>
      </c>
      <c r="BH1" s="1">
        <v>1</v>
      </c>
      <c r="BI1" s="1">
        <v>1</v>
      </c>
      <c r="BJ1" s="1">
        <v>1</v>
      </c>
      <c r="BK1" s="1">
        <v>1</v>
      </c>
      <c r="BL1" s="7">
        <f t="shared" ref="BL1:BL32" si="0">SUM(D1:BK1)</f>
        <v>60</v>
      </c>
      <c r="BM1" s="9">
        <f t="shared" ref="BM1:BM32" si="1">BL1*BL1</f>
        <v>3600</v>
      </c>
    </row>
    <row r="2" spans="1:65" x14ac:dyDescent="0.25">
      <c r="A2" s="2">
        <v>45434.403245439811</v>
      </c>
      <c r="B2" s="3">
        <v>59</v>
      </c>
      <c r="C2" s="1" t="s">
        <v>79</v>
      </c>
      <c r="D2" s="1">
        <v>1</v>
      </c>
      <c r="E2" s="1">
        <v>1</v>
      </c>
      <c r="F2" s="1">
        <v>1</v>
      </c>
      <c r="G2" s="1">
        <v>1</v>
      </c>
      <c r="H2" s="1">
        <v>1</v>
      </c>
      <c r="I2" s="1">
        <v>1</v>
      </c>
      <c r="J2" s="1">
        <v>1</v>
      </c>
      <c r="K2" s="1">
        <v>1</v>
      </c>
      <c r="L2" s="1">
        <v>1</v>
      </c>
      <c r="M2" s="1">
        <v>1</v>
      </c>
      <c r="N2" s="1">
        <v>1</v>
      </c>
      <c r="O2" s="1">
        <v>1</v>
      </c>
      <c r="P2" s="1">
        <v>1</v>
      </c>
      <c r="Q2" s="1">
        <v>1</v>
      </c>
      <c r="R2" s="1">
        <v>1</v>
      </c>
      <c r="S2" s="1">
        <v>1</v>
      </c>
      <c r="T2" s="1">
        <v>1</v>
      </c>
      <c r="U2" s="1">
        <v>1</v>
      </c>
      <c r="V2" s="1">
        <v>1</v>
      </c>
      <c r="W2" s="1">
        <v>1</v>
      </c>
      <c r="X2" s="1">
        <v>1</v>
      </c>
      <c r="Y2" s="1">
        <v>1</v>
      </c>
      <c r="Z2" s="1">
        <v>1</v>
      </c>
      <c r="AA2" s="1">
        <v>1</v>
      </c>
      <c r="AB2" s="1">
        <v>1</v>
      </c>
      <c r="AC2" s="1">
        <v>1</v>
      </c>
      <c r="AD2" s="1">
        <v>1</v>
      </c>
      <c r="AE2" s="1">
        <v>1</v>
      </c>
      <c r="AF2" s="1">
        <v>1</v>
      </c>
      <c r="AG2" s="1">
        <v>1</v>
      </c>
      <c r="AH2" s="1">
        <v>1</v>
      </c>
      <c r="AI2" s="1">
        <v>0</v>
      </c>
      <c r="AJ2" s="1">
        <v>1</v>
      </c>
      <c r="AK2" s="1">
        <v>1</v>
      </c>
      <c r="AL2" s="1">
        <v>1</v>
      </c>
      <c r="AM2" s="1">
        <v>1</v>
      </c>
      <c r="AN2" s="1">
        <v>1</v>
      </c>
      <c r="AO2" s="1">
        <v>1</v>
      </c>
      <c r="AP2" s="1">
        <v>1</v>
      </c>
      <c r="AQ2" s="1">
        <v>1</v>
      </c>
      <c r="AR2" s="1">
        <v>1</v>
      </c>
      <c r="AS2" s="1">
        <v>1</v>
      </c>
      <c r="AT2" s="1">
        <v>1</v>
      </c>
      <c r="AU2" s="1">
        <v>1</v>
      </c>
      <c r="AV2" s="1">
        <v>1</v>
      </c>
      <c r="AW2" s="1">
        <v>1</v>
      </c>
      <c r="AX2" s="1">
        <v>1</v>
      </c>
      <c r="AY2" s="1">
        <v>1</v>
      </c>
      <c r="AZ2" s="1">
        <v>1</v>
      </c>
      <c r="BA2" s="1">
        <v>1</v>
      </c>
      <c r="BB2" s="1">
        <v>1</v>
      </c>
      <c r="BC2" s="1">
        <v>1</v>
      </c>
      <c r="BD2" s="1">
        <v>1</v>
      </c>
      <c r="BE2" s="1">
        <v>1</v>
      </c>
      <c r="BF2" s="1">
        <v>1</v>
      </c>
      <c r="BG2" s="1">
        <v>1</v>
      </c>
      <c r="BH2" s="1">
        <v>1</v>
      </c>
      <c r="BI2" s="1">
        <v>1</v>
      </c>
      <c r="BJ2" s="1">
        <v>1</v>
      </c>
      <c r="BK2" s="1">
        <v>1</v>
      </c>
      <c r="BL2" s="7">
        <f t="shared" si="0"/>
        <v>59</v>
      </c>
      <c r="BM2" s="9">
        <f t="shared" si="1"/>
        <v>3481</v>
      </c>
    </row>
    <row r="3" spans="1:65" x14ac:dyDescent="0.25">
      <c r="A3" s="2">
        <v>45434.407690474538</v>
      </c>
      <c r="B3" s="3">
        <v>59</v>
      </c>
      <c r="C3" s="1" t="s">
        <v>89</v>
      </c>
      <c r="D3" s="1">
        <v>1</v>
      </c>
      <c r="E3" s="1">
        <v>1</v>
      </c>
      <c r="F3" s="1">
        <v>1</v>
      </c>
      <c r="G3" s="1">
        <v>1</v>
      </c>
      <c r="H3" s="1">
        <v>1</v>
      </c>
      <c r="I3" s="1">
        <v>1</v>
      </c>
      <c r="J3" s="1">
        <v>1</v>
      </c>
      <c r="K3" s="1">
        <v>1</v>
      </c>
      <c r="L3" s="1">
        <v>1</v>
      </c>
      <c r="M3" s="1">
        <v>1</v>
      </c>
      <c r="N3" s="1">
        <v>1</v>
      </c>
      <c r="O3" s="1">
        <v>1</v>
      </c>
      <c r="P3" s="1">
        <v>1</v>
      </c>
      <c r="Q3" s="1">
        <v>1</v>
      </c>
      <c r="R3" s="1">
        <v>1</v>
      </c>
      <c r="S3" s="1">
        <v>1</v>
      </c>
      <c r="T3" s="1">
        <v>1</v>
      </c>
      <c r="U3" s="1">
        <v>1</v>
      </c>
      <c r="V3" s="1">
        <v>1</v>
      </c>
      <c r="W3" s="1">
        <v>1</v>
      </c>
      <c r="X3" s="1">
        <v>0</v>
      </c>
      <c r="Y3" s="1">
        <v>1</v>
      </c>
      <c r="Z3" s="1">
        <v>1</v>
      </c>
      <c r="AA3" s="1">
        <v>1</v>
      </c>
      <c r="AB3" s="1">
        <v>1</v>
      </c>
      <c r="AC3" s="1">
        <v>1</v>
      </c>
      <c r="AD3" s="1">
        <v>1</v>
      </c>
      <c r="AE3" s="1">
        <v>1</v>
      </c>
      <c r="AF3" s="1">
        <v>1</v>
      </c>
      <c r="AG3" s="1">
        <v>1</v>
      </c>
      <c r="AH3" s="1">
        <v>1</v>
      </c>
      <c r="AI3" s="1">
        <v>1</v>
      </c>
      <c r="AJ3" s="1">
        <v>1</v>
      </c>
      <c r="AK3" s="1">
        <v>1</v>
      </c>
      <c r="AL3" s="1">
        <v>1</v>
      </c>
      <c r="AM3" s="1">
        <v>1</v>
      </c>
      <c r="AN3" s="1">
        <v>1</v>
      </c>
      <c r="AO3" s="1">
        <v>1</v>
      </c>
      <c r="AP3" s="1">
        <v>1</v>
      </c>
      <c r="AQ3" s="1">
        <v>1</v>
      </c>
      <c r="AR3" s="1">
        <v>1</v>
      </c>
      <c r="AS3" s="1">
        <v>1</v>
      </c>
      <c r="AT3" s="1">
        <v>1</v>
      </c>
      <c r="AU3" s="1">
        <v>1</v>
      </c>
      <c r="AV3" s="1">
        <v>1</v>
      </c>
      <c r="AW3" s="1">
        <v>1</v>
      </c>
      <c r="AX3" s="1">
        <v>1</v>
      </c>
      <c r="AY3" s="1">
        <v>1</v>
      </c>
      <c r="AZ3" s="1">
        <v>1</v>
      </c>
      <c r="BA3" s="1">
        <v>1</v>
      </c>
      <c r="BB3" s="1">
        <v>1</v>
      </c>
      <c r="BC3" s="1">
        <v>1</v>
      </c>
      <c r="BD3" s="1">
        <v>1</v>
      </c>
      <c r="BE3" s="1">
        <v>1</v>
      </c>
      <c r="BF3" s="1">
        <v>1</v>
      </c>
      <c r="BG3" s="1">
        <v>1</v>
      </c>
      <c r="BH3" s="1">
        <v>1</v>
      </c>
      <c r="BI3" s="1">
        <v>1</v>
      </c>
      <c r="BJ3" s="1">
        <v>1</v>
      </c>
      <c r="BK3" s="1">
        <v>1</v>
      </c>
      <c r="BL3" s="7">
        <f t="shared" si="0"/>
        <v>59</v>
      </c>
      <c r="BM3" s="9">
        <f t="shared" si="1"/>
        <v>3481</v>
      </c>
    </row>
    <row r="4" spans="1:65" x14ac:dyDescent="0.25">
      <c r="A4" s="2">
        <v>45434.404048333337</v>
      </c>
      <c r="B4" s="3">
        <v>56</v>
      </c>
      <c r="C4" s="1" t="s">
        <v>80</v>
      </c>
      <c r="D4" s="1">
        <v>1</v>
      </c>
      <c r="E4" s="1">
        <v>0</v>
      </c>
      <c r="F4" s="1">
        <v>1</v>
      </c>
      <c r="G4" s="1">
        <v>0</v>
      </c>
      <c r="H4" s="1">
        <v>1</v>
      </c>
      <c r="I4" s="1">
        <v>1</v>
      </c>
      <c r="J4" s="1">
        <v>1</v>
      </c>
      <c r="K4" s="1">
        <v>1</v>
      </c>
      <c r="L4" s="1">
        <v>1</v>
      </c>
      <c r="M4" s="1">
        <v>1</v>
      </c>
      <c r="N4" s="1">
        <v>1</v>
      </c>
      <c r="O4" s="1">
        <v>1</v>
      </c>
      <c r="P4" s="1">
        <v>1</v>
      </c>
      <c r="Q4" s="1">
        <v>0</v>
      </c>
      <c r="R4" s="1">
        <v>1</v>
      </c>
      <c r="S4" s="1">
        <v>1</v>
      </c>
      <c r="T4" s="1">
        <v>1</v>
      </c>
      <c r="U4" s="1">
        <v>1</v>
      </c>
      <c r="V4" s="1">
        <v>1</v>
      </c>
      <c r="W4" s="1">
        <v>1</v>
      </c>
      <c r="X4" s="1">
        <v>1</v>
      </c>
      <c r="Y4" s="1">
        <v>1</v>
      </c>
      <c r="Z4" s="1">
        <v>0</v>
      </c>
      <c r="AA4" s="1">
        <v>1</v>
      </c>
      <c r="AB4" s="1">
        <v>1</v>
      </c>
      <c r="AC4" s="1">
        <v>1</v>
      </c>
      <c r="AD4" s="1">
        <v>1</v>
      </c>
      <c r="AE4" s="1">
        <v>1</v>
      </c>
      <c r="AF4" s="1">
        <v>1</v>
      </c>
      <c r="AG4" s="1">
        <v>1</v>
      </c>
      <c r="AH4" s="1">
        <v>1</v>
      </c>
      <c r="AI4" s="1">
        <v>1</v>
      </c>
      <c r="AJ4" s="1">
        <v>1</v>
      </c>
      <c r="AK4" s="1">
        <v>1</v>
      </c>
      <c r="AL4" s="1">
        <v>1</v>
      </c>
      <c r="AM4" s="1">
        <v>1</v>
      </c>
      <c r="AN4" s="1">
        <v>1</v>
      </c>
      <c r="AO4" s="1">
        <v>1</v>
      </c>
      <c r="AP4" s="1">
        <v>1</v>
      </c>
      <c r="AQ4" s="1">
        <v>1</v>
      </c>
      <c r="AR4" s="1">
        <v>1</v>
      </c>
      <c r="AS4" s="1">
        <v>1</v>
      </c>
      <c r="AT4" s="1">
        <v>1</v>
      </c>
      <c r="AU4" s="1">
        <v>1</v>
      </c>
      <c r="AV4" s="1">
        <v>1</v>
      </c>
      <c r="AW4" s="1">
        <v>1</v>
      </c>
      <c r="AX4" s="1">
        <v>1</v>
      </c>
      <c r="AY4" s="1">
        <v>1</v>
      </c>
      <c r="AZ4" s="1">
        <v>1</v>
      </c>
      <c r="BA4" s="1">
        <v>1</v>
      </c>
      <c r="BB4" s="1">
        <v>1</v>
      </c>
      <c r="BC4" s="1">
        <v>1</v>
      </c>
      <c r="BD4" s="1">
        <v>1</v>
      </c>
      <c r="BE4" s="1">
        <v>1</v>
      </c>
      <c r="BF4" s="1">
        <v>1</v>
      </c>
      <c r="BG4" s="1">
        <v>1</v>
      </c>
      <c r="BH4" s="1">
        <v>1</v>
      </c>
      <c r="BI4" s="1">
        <v>1</v>
      </c>
      <c r="BJ4" s="1">
        <v>1</v>
      </c>
      <c r="BK4" s="1">
        <v>1</v>
      </c>
      <c r="BL4" s="7">
        <f t="shared" si="0"/>
        <v>56</v>
      </c>
      <c r="BM4" s="9">
        <f t="shared" si="1"/>
        <v>3136</v>
      </c>
    </row>
    <row r="5" spans="1:65" x14ac:dyDescent="0.25">
      <c r="A5" s="2">
        <v>45434.409336620374</v>
      </c>
      <c r="B5" s="3">
        <v>55</v>
      </c>
      <c r="C5" s="1" t="s">
        <v>91</v>
      </c>
      <c r="D5" s="1">
        <v>1</v>
      </c>
      <c r="E5" s="1">
        <v>1</v>
      </c>
      <c r="F5" s="1">
        <v>1</v>
      </c>
      <c r="G5" s="1">
        <v>1</v>
      </c>
      <c r="H5" s="1">
        <v>1</v>
      </c>
      <c r="I5" s="1">
        <v>1</v>
      </c>
      <c r="J5" s="1">
        <v>1</v>
      </c>
      <c r="K5" s="1">
        <v>0</v>
      </c>
      <c r="L5" s="1">
        <v>1</v>
      </c>
      <c r="M5" s="1">
        <v>1</v>
      </c>
      <c r="N5" s="1">
        <v>1</v>
      </c>
      <c r="O5" s="1">
        <v>1</v>
      </c>
      <c r="P5" s="1">
        <v>1</v>
      </c>
      <c r="Q5" s="1">
        <v>1</v>
      </c>
      <c r="R5" s="1">
        <v>1</v>
      </c>
      <c r="S5" s="1">
        <v>1</v>
      </c>
      <c r="T5" s="1">
        <v>1</v>
      </c>
      <c r="U5" s="1">
        <v>1</v>
      </c>
      <c r="V5" s="1">
        <v>1</v>
      </c>
      <c r="W5" s="1">
        <v>0</v>
      </c>
      <c r="X5" s="1">
        <v>1</v>
      </c>
      <c r="Y5" s="1">
        <v>1</v>
      </c>
      <c r="Z5" s="1">
        <v>1</v>
      </c>
      <c r="AA5" s="1">
        <v>1</v>
      </c>
      <c r="AB5" s="1">
        <v>1</v>
      </c>
      <c r="AC5" s="1">
        <v>1</v>
      </c>
      <c r="AD5" s="1">
        <v>1</v>
      </c>
      <c r="AE5" s="1">
        <v>1</v>
      </c>
      <c r="AF5" s="1">
        <v>1</v>
      </c>
      <c r="AG5" s="1">
        <v>1</v>
      </c>
      <c r="AH5" s="1">
        <v>1</v>
      </c>
      <c r="AI5" s="1">
        <v>1</v>
      </c>
      <c r="AJ5" s="1">
        <v>1</v>
      </c>
      <c r="AK5" s="1">
        <v>1</v>
      </c>
      <c r="AL5" s="1">
        <v>1</v>
      </c>
      <c r="AM5" s="1">
        <v>1</v>
      </c>
      <c r="AN5" s="1">
        <v>1</v>
      </c>
      <c r="AO5" s="1">
        <v>1</v>
      </c>
      <c r="AP5" s="1">
        <v>0</v>
      </c>
      <c r="AQ5" s="1">
        <v>1</v>
      </c>
      <c r="AR5" s="1">
        <v>1</v>
      </c>
      <c r="AS5" s="1">
        <v>1</v>
      </c>
      <c r="AT5" s="1">
        <v>1</v>
      </c>
      <c r="AU5" s="1">
        <v>0</v>
      </c>
      <c r="AV5" s="1">
        <v>1</v>
      </c>
      <c r="AW5" s="1">
        <v>0</v>
      </c>
      <c r="AX5" s="1">
        <v>1</v>
      </c>
      <c r="AY5" s="1">
        <v>1</v>
      </c>
      <c r="AZ5" s="1">
        <v>1</v>
      </c>
      <c r="BA5" s="1">
        <v>1</v>
      </c>
      <c r="BB5" s="1">
        <v>1</v>
      </c>
      <c r="BC5" s="1">
        <v>1</v>
      </c>
      <c r="BD5" s="1">
        <v>1</v>
      </c>
      <c r="BE5" s="1">
        <v>1</v>
      </c>
      <c r="BF5" s="1">
        <v>1</v>
      </c>
      <c r="BG5" s="1">
        <v>1</v>
      </c>
      <c r="BH5" s="1">
        <v>1</v>
      </c>
      <c r="BI5" s="1">
        <v>1</v>
      </c>
      <c r="BJ5" s="1">
        <v>1</v>
      </c>
      <c r="BK5" s="1">
        <v>1</v>
      </c>
      <c r="BL5" s="7">
        <f t="shared" si="0"/>
        <v>55</v>
      </c>
      <c r="BM5" s="9">
        <f t="shared" si="1"/>
        <v>3025</v>
      </c>
    </row>
    <row r="6" spans="1:65" x14ac:dyDescent="0.25">
      <c r="A6" s="2">
        <v>45434.391435578698</v>
      </c>
      <c r="B6" s="3">
        <v>53</v>
      </c>
      <c r="C6" s="1" t="s">
        <v>65</v>
      </c>
      <c r="D6" s="1">
        <v>1</v>
      </c>
      <c r="E6" s="1">
        <v>1</v>
      </c>
      <c r="F6" s="1">
        <v>0</v>
      </c>
      <c r="G6" s="1">
        <v>1</v>
      </c>
      <c r="H6" s="1">
        <v>1</v>
      </c>
      <c r="I6" s="1">
        <v>1</v>
      </c>
      <c r="J6" s="1">
        <v>1</v>
      </c>
      <c r="K6" s="1">
        <v>1</v>
      </c>
      <c r="L6" s="1">
        <v>1</v>
      </c>
      <c r="M6" s="1">
        <v>1</v>
      </c>
      <c r="N6" s="1">
        <v>1</v>
      </c>
      <c r="O6" s="1">
        <v>1</v>
      </c>
      <c r="P6" s="1">
        <v>1</v>
      </c>
      <c r="Q6" s="1">
        <v>1</v>
      </c>
      <c r="R6" s="1">
        <v>1</v>
      </c>
      <c r="S6" s="1">
        <v>1</v>
      </c>
      <c r="T6" s="1">
        <v>1</v>
      </c>
      <c r="U6" s="1">
        <v>1</v>
      </c>
      <c r="V6" s="1">
        <v>1</v>
      </c>
      <c r="W6" s="1">
        <v>1</v>
      </c>
      <c r="X6" s="1">
        <v>1</v>
      </c>
      <c r="Y6" s="1">
        <v>0</v>
      </c>
      <c r="Z6" s="1">
        <v>1</v>
      </c>
      <c r="AA6" s="1">
        <v>1</v>
      </c>
      <c r="AB6" s="1">
        <v>1</v>
      </c>
      <c r="AC6" s="1">
        <v>1</v>
      </c>
      <c r="AD6" s="1">
        <v>0</v>
      </c>
      <c r="AE6" s="1">
        <v>1</v>
      </c>
      <c r="AF6" s="1">
        <v>1</v>
      </c>
      <c r="AG6" s="1">
        <v>1</v>
      </c>
      <c r="AH6" s="1">
        <v>1</v>
      </c>
      <c r="AI6" s="1">
        <v>1</v>
      </c>
      <c r="AJ6" s="1">
        <v>1</v>
      </c>
      <c r="AK6" s="1">
        <v>1</v>
      </c>
      <c r="AL6" s="1">
        <v>1</v>
      </c>
      <c r="AM6" s="1">
        <v>0</v>
      </c>
      <c r="AN6" s="1">
        <v>1</v>
      </c>
      <c r="AO6" s="1">
        <v>0</v>
      </c>
      <c r="AP6" s="1">
        <v>1</v>
      </c>
      <c r="AQ6" s="1">
        <v>1</v>
      </c>
      <c r="AR6" s="1">
        <v>1</v>
      </c>
      <c r="AS6" s="1">
        <v>1</v>
      </c>
      <c r="AT6" s="1">
        <v>1</v>
      </c>
      <c r="AU6" s="1">
        <v>1</v>
      </c>
      <c r="AV6" s="1">
        <v>1</v>
      </c>
      <c r="AW6" s="1">
        <v>1</v>
      </c>
      <c r="AX6" s="1">
        <v>1</v>
      </c>
      <c r="AY6" s="1">
        <v>1</v>
      </c>
      <c r="AZ6" s="1">
        <v>1</v>
      </c>
      <c r="BA6" s="1">
        <v>1</v>
      </c>
      <c r="BB6" s="1">
        <v>1</v>
      </c>
      <c r="BC6" s="1">
        <v>0</v>
      </c>
      <c r="BD6" s="1">
        <v>1</v>
      </c>
      <c r="BE6" s="1">
        <v>1</v>
      </c>
      <c r="BF6" s="1">
        <v>1</v>
      </c>
      <c r="BG6" s="1">
        <v>1</v>
      </c>
      <c r="BH6" s="1">
        <v>1</v>
      </c>
      <c r="BI6" s="1">
        <v>0</v>
      </c>
      <c r="BJ6" s="1">
        <v>1</v>
      </c>
      <c r="BK6" s="1">
        <v>1</v>
      </c>
      <c r="BL6" s="7">
        <f t="shared" si="0"/>
        <v>53</v>
      </c>
      <c r="BM6" s="9">
        <f t="shared" si="1"/>
        <v>2809</v>
      </c>
    </row>
    <row r="7" spans="1:65" x14ac:dyDescent="0.25">
      <c r="A7" s="2">
        <v>45434.396486724538</v>
      </c>
      <c r="B7" s="3">
        <v>53</v>
      </c>
      <c r="C7" s="1" t="s">
        <v>69</v>
      </c>
      <c r="D7" s="1">
        <v>1</v>
      </c>
      <c r="E7" s="1">
        <v>1</v>
      </c>
      <c r="F7" s="1">
        <v>1</v>
      </c>
      <c r="G7" s="1">
        <v>1</v>
      </c>
      <c r="H7" s="1">
        <v>1</v>
      </c>
      <c r="I7" s="1">
        <v>1</v>
      </c>
      <c r="J7" s="1">
        <v>1</v>
      </c>
      <c r="K7" s="1">
        <v>1</v>
      </c>
      <c r="L7" s="1">
        <v>0</v>
      </c>
      <c r="M7" s="1">
        <v>1</v>
      </c>
      <c r="N7" s="1">
        <v>1</v>
      </c>
      <c r="O7" s="1">
        <v>1</v>
      </c>
      <c r="P7" s="1">
        <v>1</v>
      </c>
      <c r="Q7" s="1">
        <v>1</v>
      </c>
      <c r="R7" s="1">
        <v>1</v>
      </c>
      <c r="S7" s="1">
        <v>1</v>
      </c>
      <c r="T7" s="1">
        <v>1</v>
      </c>
      <c r="U7" s="1">
        <v>0</v>
      </c>
      <c r="V7" s="1">
        <v>1</v>
      </c>
      <c r="W7" s="1">
        <v>0</v>
      </c>
      <c r="X7" s="1">
        <v>1</v>
      </c>
      <c r="Y7" s="1">
        <v>1</v>
      </c>
      <c r="Z7" s="1">
        <v>1</v>
      </c>
      <c r="AA7" s="1">
        <v>1</v>
      </c>
      <c r="AB7" s="1">
        <v>1</v>
      </c>
      <c r="AC7" s="1">
        <v>1</v>
      </c>
      <c r="AD7" s="1">
        <v>0</v>
      </c>
      <c r="AE7" s="1">
        <v>1</v>
      </c>
      <c r="AF7" s="1">
        <v>1</v>
      </c>
      <c r="AG7" s="1">
        <v>1</v>
      </c>
      <c r="AH7" s="1">
        <v>1</v>
      </c>
      <c r="AI7" s="1">
        <v>1</v>
      </c>
      <c r="AJ7" s="1">
        <v>1</v>
      </c>
      <c r="AK7" s="1">
        <v>1</v>
      </c>
      <c r="AL7" s="1">
        <v>1</v>
      </c>
      <c r="AM7" s="1">
        <v>1</v>
      </c>
      <c r="AN7" s="1">
        <v>1</v>
      </c>
      <c r="AO7" s="1">
        <v>1</v>
      </c>
      <c r="AP7" s="1">
        <v>1</v>
      </c>
      <c r="AQ7" s="1">
        <v>1</v>
      </c>
      <c r="AR7" s="1">
        <v>1</v>
      </c>
      <c r="AS7" s="1">
        <v>0</v>
      </c>
      <c r="AT7" s="1">
        <v>1</v>
      </c>
      <c r="AU7" s="1">
        <v>1</v>
      </c>
      <c r="AV7" s="1">
        <v>0</v>
      </c>
      <c r="AW7" s="1">
        <v>1</v>
      </c>
      <c r="AX7" s="1">
        <v>1</v>
      </c>
      <c r="AY7" s="1">
        <v>1</v>
      </c>
      <c r="AZ7" s="1">
        <v>1</v>
      </c>
      <c r="BA7" s="1">
        <v>1</v>
      </c>
      <c r="BB7" s="1">
        <v>1</v>
      </c>
      <c r="BC7" s="1">
        <v>1</v>
      </c>
      <c r="BD7" s="1">
        <v>1</v>
      </c>
      <c r="BE7" s="1">
        <v>1</v>
      </c>
      <c r="BF7" s="1">
        <v>1</v>
      </c>
      <c r="BG7" s="1">
        <v>1</v>
      </c>
      <c r="BH7" s="1">
        <v>1</v>
      </c>
      <c r="BI7" s="1">
        <v>0</v>
      </c>
      <c r="BJ7" s="1">
        <v>1</v>
      </c>
      <c r="BK7" s="1">
        <v>1</v>
      </c>
      <c r="BL7" s="7">
        <f t="shared" si="0"/>
        <v>53</v>
      </c>
      <c r="BM7" s="9">
        <f t="shared" si="1"/>
        <v>2809</v>
      </c>
    </row>
    <row r="8" spans="1:65" x14ac:dyDescent="0.25">
      <c r="A8" s="2">
        <v>45434.404597719906</v>
      </c>
      <c r="B8" s="3">
        <v>53</v>
      </c>
      <c r="C8" s="1" t="s">
        <v>81</v>
      </c>
      <c r="D8" s="1">
        <v>1</v>
      </c>
      <c r="E8" s="1">
        <v>1</v>
      </c>
      <c r="F8" s="1">
        <v>1</v>
      </c>
      <c r="G8" s="1">
        <v>1</v>
      </c>
      <c r="H8" s="1">
        <v>1</v>
      </c>
      <c r="I8" s="1">
        <v>1</v>
      </c>
      <c r="J8" s="1">
        <v>1</v>
      </c>
      <c r="K8" s="1">
        <v>1</v>
      </c>
      <c r="L8" s="1">
        <v>1</v>
      </c>
      <c r="M8" s="1">
        <v>1</v>
      </c>
      <c r="N8" s="1">
        <v>1</v>
      </c>
      <c r="O8" s="1">
        <v>1</v>
      </c>
      <c r="P8" s="1">
        <v>1</v>
      </c>
      <c r="Q8" s="1">
        <v>1</v>
      </c>
      <c r="R8" s="1">
        <v>1</v>
      </c>
      <c r="S8" s="1">
        <v>1</v>
      </c>
      <c r="T8" s="1">
        <v>1</v>
      </c>
      <c r="U8" s="1">
        <v>1</v>
      </c>
      <c r="V8" s="1">
        <v>1</v>
      </c>
      <c r="W8" s="1">
        <v>1</v>
      </c>
      <c r="X8" s="1">
        <v>1</v>
      </c>
      <c r="Y8" s="1">
        <v>1</v>
      </c>
      <c r="Z8" s="1">
        <v>1</v>
      </c>
      <c r="AA8" s="1">
        <v>1</v>
      </c>
      <c r="AB8" s="1">
        <v>1</v>
      </c>
      <c r="AC8" s="1">
        <v>1</v>
      </c>
      <c r="AD8" s="1">
        <v>0</v>
      </c>
      <c r="AE8" s="1">
        <v>1</v>
      </c>
      <c r="AF8" s="1">
        <v>1</v>
      </c>
      <c r="AG8" s="1">
        <v>1</v>
      </c>
      <c r="AH8" s="1">
        <v>1</v>
      </c>
      <c r="AI8" s="1">
        <v>1</v>
      </c>
      <c r="AJ8" s="1">
        <v>1</v>
      </c>
      <c r="AK8" s="1">
        <v>0</v>
      </c>
      <c r="AL8" s="1">
        <v>1</v>
      </c>
      <c r="AM8" s="1">
        <v>0</v>
      </c>
      <c r="AN8" s="1">
        <v>1</v>
      </c>
      <c r="AO8" s="1">
        <v>1</v>
      </c>
      <c r="AP8" s="1">
        <v>1</v>
      </c>
      <c r="AQ8" s="1">
        <v>1</v>
      </c>
      <c r="AR8" s="1">
        <v>1</v>
      </c>
      <c r="AS8" s="1">
        <v>0</v>
      </c>
      <c r="AT8" s="1">
        <v>1</v>
      </c>
      <c r="AU8" s="1">
        <v>1</v>
      </c>
      <c r="AV8" s="1">
        <v>1</v>
      </c>
      <c r="AW8" s="1">
        <v>1</v>
      </c>
      <c r="AX8" s="1">
        <v>1</v>
      </c>
      <c r="AY8" s="1">
        <v>0</v>
      </c>
      <c r="AZ8" s="1">
        <v>1</v>
      </c>
      <c r="BA8" s="1">
        <v>0</v>
      </c>
      <c r="BB8" s="1">
        <v>1</v>
      </c>
      <c r="BC8" s="1">
        <v>1</v>
      </c>
      <c r="BD8" s="1">
        <v>1</v>
      </c>
      <c r="BE8" s="1">
        <v>1</v>
      </c>
      <c r="BF8" s="1">
        <v>1</v>
      </c>
      <c r="BG8" s="1">
        <v>1</v>
      </c>
      <c r="BH8" s="1">
        <v>1</v>
      </c>
      <c r="BI8" s="1">
        <v>0</v>
      </c>
      <c r="BJ8" s="1">
        <v>1</v>
      </c>
      <c r="BK8" s="1">
        <v>1</v>
      </c>
      <c r="BL8" s="7">
        <f t="shared" si="0"/>
        <v>53</v>
      </c>
      <c r="BM8" s="9">
        <f t="shared" si="1"/>
        <v>2809</v>
      </c>
    </row>
    <row r="9" spans="1:65" x14ac:dyDescent="0.25">
      <c r="A9" s="2">
        <v>45434.396546342592</v>
      </c>
      <c r="B9" s="3">
        <v>52</v>
      </c>
      <c r="C9" s="1" t="s">
        <v>70</v>
      </c>
      <c r="D9" s="1">
        <v>1</v>
      </c>
      <c r="E9" s="1">
        <v>1</v>
      </c>
      <c r="F9" s="1">
        <v>1</v>
      </c>
      <c r="G9" s="1">
        <v>0</v>
      </c>
      <c r="H9" s="1">
        <v>1</v>
      </c>
      <c r="I9" s="1">
        <v>1</v>
      </c>
      <c r="J9" s="1">
        <v>1</v>
      </c>
      <c r="K9" s="1">
        <v>1</v>
      </c>
      <c r="L9" s="1">
        <v>1</v>
      </c>
      <c r="M9" s="1">
        <v>1</v>
      </c>
      <c r="N9" s="1">
        <v>1</v>
      </c>
      <c r="O9" s="1">
        <v>1</v>
      </c>
      <c r="P9" s="1">
        <v>1</v>
      </c>
      <c r="Q9" s="1">
        <v>0</v>
      </c>
      <c r="R9" s="1">
        <v>0</v>
      </c>
      <c r="S9" s="1">
        <v>1</v>
      </c>
      <c r="T9" s="1">
        <v>1</v>
      </c>
      <c r="U9" s="1">
        <v>1</v>
      </c>
      <c r="V9" s="1">
        <v>1</v>
      </c>
      <c r="W9" s="1">
        <v>1</v>
      </c>
      <c r="X9" s="1">
        <v>1</v>
      </c>
      <c r="Y9" s="1">
        <v>1</v>
      </c>
      <c r="Z9" s="1">
        <v>1</v>
      </c>
      <c r="AA9" s="1">
        <v>1</v>
      </c>
      <c r="AB9" s="1">
        <v>1</v>
      </c>
      <c r="AC9" s="1">
        <v>1</v>
      </c>
      <c r="AD9" s="1">
        <v>0</v>
      </c>
      <c r="AE9" s="1">
        <v>1</v>
      </c>
      <c r="AF9" s="1">
        <v>1</v>
      </c>
      <c r="AG9" s="1">
        <v>1</v>
      </c>
      <c r="AH9" s="1">
        <v>1</v>
      </c>
      <c r="AI9" s="1">
        <v>1</v>
      </c>
      <c r="AJ9" s="1">
        <v>0</v>
      </c>
      <c r="AK9" s="1">
        <v>1</v>
      </c>
      <c r="AL9" s="1">
        <v>1</v>
      </c>
      <c r="AM9" s="1">
        <v>1</v>
      </c>
      <c r="AN9" s="1">
        <v>1</v>
      </c>
      <c r="AO9" s="1">
        <v>1</v>
      </c>
      <c r="AP9" s="1">
        <v>1</v>
      </c>
      <c r="AQ9" s="1">
        <v>1</v>
      </c>
      <c r="AR9" s="1">
        <v>1</v>
      </c>
      <c r="AS9" s="1">
        <v>1</v>
      </c>
      <c r="AT9" s="1">
        <v>1</v>
      </c>
      <c r="AU9" s="1">
        <v>0</v>
      </c>
      <c r="AV9" s="1">
        <v>1</v>
      </c>
      <c r="AW9" s="1">
        <v>1</v>
      </c>
      <c r="AX9" s="1">
        <v>1</v>
      </c>
      <c r="AY9" s="1">
        <v>1</v>
      </c>
      <c r="AZ9" s="1">
        <v>1</v>
      </c>
      <c r="BA9" s="1">
        <v>1</v>
      </c>
      <c r="BB9" s="1">
        <v>1</v>
      </c>
      <c r="BC9" s="1">
        <v>0</v>
      </c>
      <c r="BD9" s="1">
        <v>1</v>
      </c>
      <c r="BE9" s="1">
        <v>1</v>
      </c>
      <c r="BF9" s="1">
        <v>1</v>
      </c>
      <c r="BG9" s="1">
        <v>1</v>
      </c>
      <c r="BH9" s="1">
        <v>1</v>
      </c>
      <c r="BI9" s="1">
        <v>0</v>
      </c>
      <c r="BJ9" s="1">
        <v>1</v>
      </c>
      <c r="BK9" s="1">
        <v>1</v>
      </c>
      <c r="BL9" s="7">
        <f t="shared" si="0"/>
        <v>52</v>
      </c>
      <c r="BM9" s="9">
        <f t="shared" si="1"/>
        <v>2704</v>
      </c>
    </row>
    <row r="10" spans="1:65" x14ac:dyDescent="0.25">
      <c r="A10" s="2">
        <v>45434.398857048611</v>
      </c>
      <c r="B10" s="3">
        <v>52</v>
      </c>
      <c r="C10" s="1" t="s">
        <v>73</v>
      </c>
      <c r="D10" s="1">
        <v>1</v>
      </c>
      <c r="E10" s="1">
        <v>1</v>
      </c>
      <c r="F10" s="1">
        <v>1</v>
      </c>
      <c r="G10" s="1">
        <v>1</v>
      </c>
      <c r="H10" s="1">
        <v>1</v>
      </c>
      <c r="I10" s="1">
        <v>1</v>
      </c>
      <c r="J10" s="1">
        <v>1</v>
      </c>
      <c r="K10" s="1">
        <v>1</v>
      </c>
      <c r="L10" s="1">
        <v>1</v>
      </c>
      <c r="M10" s="1">
        <v>1</v>
      </c>
      <c r="N10" s="1">
        <v>1</v>
      </c>
      <c r="O10" s="1">
        <v>1</v>
      </c>
      <c r="P10" s="1">
        <v>1</v>
      </c>
      <c r="Q10" s="1">
        <v>1</v>
      </c>
      <c r="R10" s="1">
        <v>0</v>
      </c>
      <c r="S10" s="1">
        <v>0</v>
      </c>
      <c r="T10" s="1">
        <v>1</v>
      </c>
      <c r="U10" s="1">
        <v>1</v>
      </c>
      <c r="V10" s="1">
        <v>0</v>
      </c>
      <c r="W10" s="1">
        <v>1</v>
      </c>
      <c r="X10" s="1">
        <v>1</v>
      </c>
      <c r="Y10" s="1">
        <v>1</v>
      </c>
      <c r="Z10" s="1">
        <v>1</v>
      </c>
      <c r="AA10" s="1">
        <v>1</v>
      </c>
      <c r="AB10" s="1">
        <v>1</v>
      </c>
      <c r="AC10" s="1">
        <v>0</v>
      </c>
      <c r="AD10" s="1">
        <v>0</v>
      </c>
      <c r="AE10" s="1">
        <v>1</v>
      </c>
      <c r="AF10" s="1">
        <v>1</v>
      </c>
      <c r="AG10" s="1">
        <v>1</v>
      </c>
      <c r="AH10" s="1">
        <v>1</v>
      </c>
      <c r="AI10" s="1">
        <v>1</v>
      </c>
      <c r="AJ10" s="1">
        <v>0</v>
      </c>
      <c r="AK10" s="1">
        <v>1</v>
      </c>
      <c r="AL10" s="1">
        <v>1</v>
      </c>
      <c r="AM10" s="1">
        <v>1</v>
      </c>
      <c r="AN10" s="1">
        <v>1</v>
      </c>
      <c r="AO10" s="1">
        <v>1</v>
      </c>
      <c r="AP10" s="1">
        <v>1</v>
      </c>
      <c r="AQ10" s="1">
        <v>1</v>
      </c>
      <c r="AR10" s="1">
        <v>0</v>
      </c>
      <c r="AS10" s="1">
        <v>1</v>
      </c>
      <c r="AT10" s="1">
        <v>1</v>
      </c>
      <c r="AU10" s="1">
        <v>1</v>
      </c>
      <c r="AV10" s="1">
        <v>1</v>
      </c>
      <c r="AW10" s="1">
        <v>1</v>
      </c>
      <c r="AX10" s="1">
        <v>1</v>
      </c>
      <c r="AY10" s="1">
        <v>1</v>
      </c>
      <c r="AZ10" s="1">
        <v>1</v>
      </c>
      <c r="BA10" s="1">
        <v>1</v>
      </c>
      <c r="BB10" s="1">
        <v>1</v>
      </c>
      <c r="BC10" s="1">
        <v>1</v>
      </c>
      <c r="BD10" s="1">
        <v>1</v>
      </c>
      <c r="BE10" s="1">
        <v>1</v>
      </c>
      <c r="BF10" s="1">
        <v>1</v>
      </c>
      <c r="BG10" s="1">
        <v>1</v>
      </c>
      <c r="BH10" s="1">
        <v>1</v>
      </c>
      <c r="BI10" s="1">
        <v>0</v>
      </c>
      <c r="BJ10" s="1">
        <v>1</v>
      </c>
      <c r="BK10" s="1">
        <v>1</v>
      </c>
      <c r="BL10" s="7">
        <f t="shared" si="0"/>
        <v>52</v>
      </c>
      <c r="BM10" s="9">
        <f t="shared" si="1"/>
        <v>2704</v>
      </c>
    </row>
    <row r="11" spans="1:65" x14ac:dyDescent="0.25">
      <c r="A11" s="2">
        <v>45434.40006630787</v>
      </c>
      <c r="B11" s="3">
        <v>51</v>
      </c>
      <c r="C11" s="1" t="s">
        <v>74</v>
      </c>
      <c r="D11" s="1">
        <v>1</v>
      </c>
      <c r="E11" s="1">
        <v>1</v>
      </c>
      <c r="F11" s="1">
        <v>1</v>
      </c>
      <c r="G11" s="1">
        <v>0</v>
      </c>
      <c r="H11" s="1">
        <v>1</v>
      </c>
      <c r="I11" s="1">
        <v>0</v>
      </c>
      <c r="J11" s="1">
        <v>1</v>
      </c>
      <c r="K11" s="1">
        <v>1</v>
      </c>
      <c r="L11" s="1">
        <v>1</v>
      </c>
      <c r="M11" s="1">
        <v>1</v>
      </c>
      <c r="N11" s="1">
        <v>1</v>
      </c>
      <c r="O11" s="1">
        <v>1</v>
      </c>
      <c r="P11" s="1">
        <v>1</v>
      </c>
      <c r="Q11" s="1">
        <v>0</v>
      </c>
      <c r="R11" s="1">
        <v>1</v>
      </c>
      <c r="S11" s="1">
        <v>1</v>
      </c>
      <c r="T11" s="1">
        <v>1</v>
      </c>
      <c r="U11" s="1">
        <v>1</v>
      </c>
      <c r="V11" s="1">
        <v>1</v>
      </c>
      <c r="W11" s="1">
        <v>1</v>
      </c>
      <c r="X11" s="1">
        <v>1</v>
      </c>
      <c r="Y11" s="1">
        <v>1</v>
      </c>
      <c r="Z11" s="1">
        <v>1</v>
      </c>
      <c r="AA11" s="1">
        <v>1</v>
      </c>
      <c r="AB11" s="1">
        <v>1</v>
      </c>
      <c r="AC11" s="1">
        <v>1</v>
      </c>
      <c r="AD11" s="1">
        <v>0</v>
      </c>
      <c r="AE11" s="1">
        <v>1</v>
      </c>
      <c r="AF11" s="1">
        <v>1</v>
      </c>
      <c r="AG11" s="1">
        <v>1</v>
      </c>
      <c r="AH11" s="1">
        <v>1</v>
      </c>
      <c r="AI11" s="1">
        <v>0</v>
      </c>
      <c r="AJ11" s="1">
        <v>1</v>
      </c>
      <c r="AK11" s="1">
        <v>1</v>
      </c>
      <c r="AL11" s="1">
        <v>1</v>
      </c>
      <c r="AM11" s="1">
        <v>0</v>
      </c>
      <c r="AN11" s="1">
        <v>1</v>
      </c>
      <c r="AO11" s="1">
        <v>1</v>
      </c>
      <c r="AP11" s="1">
        <v>0</v>
      </c>
      <c r="AQ11" s="1">
        <v>1</v>
      </c>
      <c r="AR11" s="1">
        <v>1</v>
      </c>
      <c r="AS11" s="1">
        <v>0</v>
      </c>
      <c r="AT11" s="1">
        <v>1</v>
      </c>
      <c r="AU11" s="1">
        <v>0</v>
      </c>
      <c r="AV11" s="1">
        <v>1</v>
      </c>
      <c r="AW11" s="1">
        <v>1</v>
      </c>
      <c r="AX11" s="1">
        <v>1</v>
      </c>
      <c r="AY11" s="1">
        <v>1</v>
      </c>
      <c r="AZ11" s="1">
        <v>1</v>
      </c>
      <c r="BA11" s="1">
        <v>1</v>
      </c>
      <c r="BB11" s="1">
        <v>1</v>
      </c>
      <c r="BC11" s="1">
        <v>1</v>
      </c>
      <c r="BD11" s="1">
        <v>1</v>
      </c>
      <c r="BE11" s="1">
        <v>1</v>
      </c>
      <c r="BF11" s="1">
        <v>1</v>
      </c>
      <c r="BG11" s="1">
        <v>1</v>
      </c>
      <c r="BH11" s="1">
        <v>1</v>
      </c>
      <c r="BI11" s="1">
        <v>1</v>
      </c>
      <c r="BJ11" s="1">
        <v>1</v>
      </c>
      <c r="BK11" s="1">
        <v>1</v>
      </c>
      <c r="BL11" s="7">
        <f t="shared" si="0"/>
        <v>51</v>
      </c>
      <c r="BM11" s="9">
        <f t="shared" si="1"/>
        <v>2601</v>
      </c>
    </row>
    <row r="12" spans="1:65" x14ac:dyDescent="0.25">
      <c r="A12" s="2">
        <v>45434.394093750001</v>
      </c>
      <c r="B12" s="3">
        <v>50</v>
      </c>
      <c r="C12" s="1" t="s">
        <v>68</v>
      </c>
      <c r="D12" s="1">
        <v>1</v>
      </c>
      <c r="E12" s="1">
        <v>0</v>
      </c>
      <c r="F12" s="1">
        <v>1</v>
      </c>
      <c r="G12" s="1">
        <v>1</v>
      </c>
      <c r="H12" s="1">
        <v>1</v>
      </c>
      <c r="I12" s="1">
        <v>1</v>
      </c>
      <c r="J12" s="1">
        <v>1</v>
      </c>
      <c r="K12" s="1">
        <v>0</v>
      </c>
      <c r="L12" s="1">
        <v>1</v>
      </c>
      <c r="M12" s="1">
        <v>0</v>
      </c>
      <c r="N12" s="1">
        <v>1</v>
      </c>
      <c r="O12" s="1">
        <v>1</v>
      </c>
      <c r="P12" s="1">
        <v>1</v>
      </c>
      <c r="Q12" s="1">
        <v>1</v>
      </c>
      <c r="R12" s="1">
        <v>1</v>
      </c>
      <c r="S12" s="1">
        <v>1</v>
      </c>
      <c r="T12" s="1">
        <v>1</v>
      </c>
      <c r="U12" s="1">
        <v>0</v>
      </c>
      <c r="V12" s="1">
        <v>0</v>
      </c>
      <c r="W12" s="1">
        <v>0</v>
      </c>
      <c r="X12" s="1">
        <v>1</v>
      </c>
      <c r="Y12" s="1">
        <v>1</v>
      </c>
      <c r="Z12" s="1">
        <v>0</v>
      </c>
      <c r="AA12" s="1">
        <v>1</v>
      </c>
      <c r="AB12" s="1">
        <v>1</v>
      </c>
      <c r="AC12" s="1">
        <v>1</v>
      </c>
      <c r="AD12" s="1">
        <v>1</v>
      </c>
      <c r="AE12" s="1">
        <v>1</v>
      </c>
      <c r="AF12" s="1">
        <v>1</v>
      </c>
      <c r="AG12" s="1">
        <v>1</v>
      </c>
      <c r="AH12" s="1">
        <v>1</v>
      </c>
      <c r="AI12" s="1">
        <v>1</v>
      </c>
      <c r="AJ12" s="1">
        <v>1</v>
      </c>
      <c r="AK12" s="1">
        <v>1</v>
      </c>
      <c r="AL12" s="1">
        <v>1</v>
      </c>
      <c r="AM12" s="1">
        <v>1</v>
      </c>
      <c r="AN12" s="1">
        <v>1</v>
      </c>
      <c r="AO12" s="1">
        <v>1</v>
      </c>
      <c r="AP12" s="1">
        <v>1</v>
      </c>
      <c r="AQ12" s="1">
        <v>1</v>
      </c>
      <c r="AR12" s="1">
        <v>1</v>
      </c>
      <c r="AS12" s="1">
        <v>1</v>
      </c>
      <c r="AT12" s="1">
        <v>1</v>
      </c>
      <c r="AU12" s="1">
        <v>0</v>
      </c>
      <c r="AV12" s="1">
        <v>0</v>
      </c>
      <c r="AW12" s="1">
        <v>1</v>
      </c>
      <c r="AX12" s="1">
        <v>1</v>
      </c>
      <c r="AY12" s="1">
        <v>1</v>
      </c>
      <c r="AZ12" s="1">
        <v>1</v>
      </c>
      <c r="BA12" s="1">
        <v>1</v>
      </c>
      <c r="BB12" s="1">
        <v>1</v>
      </c>
      <c r="BC12" s="1">
        <v>0</v>
      </c>
      <c r="BD12" s="1">
        <v>1</v>
      </c>
      <c r="BE12" s="1">
        <v>1</v>
      </c>
      <c r="BF12" s="1">
        <v>1</v>
      </c>
      <c r="BG12" s="1">
        <v>1</v>
      </c>
      <c r="BH12" s="1">
        <v>1</v>
      </c>
      <c r="BI12" s="1">
        <v>1</v>
      </c>
      <c r="BJ12" s="1">
        <v>1</v>
      </c>
      <c r="BK12" s="1">
        <v>1</v>
      </c>
      <c r="BL12" s="7">
        <f t="shared" si="0"/>
        <v>50</v>
      </c>
      <c r="BM12" s="9">
        <f t="shared" si="1"/>
        <v>2500</v>
      </c>
    </row>
    <row r="13" spans="1:65" x14ac:dyDescent="0.25">
      <c r="A13" s="2">
        <v>45434.402655428239</v>
      </c>
      <c r="B13" s="3">
        <v>50</v>
      </c>
      <c r="C13" s="1" t="s">
        <v>78</v>
      </c>
      <c r="D13" s="1">
        <v>1</v>
      </c>
      <c r="E13" s="1">
        <v>1</v>
      </c>
      <c r="F13" s="1">
        <v>1</v>
      </c>
      <c r="G13" s="1">
        <v>1</v>
      </c>
      <c r="H13" s="1">
        <v>1</v>
      </c>
      <c r="I13" s="1">
        <v>1</v>
      </c>
      <c r="J13" s="1">
        <v>1</v>
      </c>
      <c r="K13" s="1">
        <v>1</v>
      </c>
      <c r="L13" s="1">
        <v>1</v>
      </c>
      <c r="M13" s="1">
        <v>1</v>
      </c>
      <c r="N13" s="1">
        <v>1</v>
      </c>
      <c r="O13" s="1">
        <v>1</v>
      </c>
      <c r="P13" s="1">
        <v>1</v>
      </c>
      <c r="Q13" s="1">
        <v>1</v>
      </c>
      <c r="R13" s="1">
        <v>1</v>
      </c>
      <c r="S13" s="1">
        <v>1</v>
      </c>
      <c r="T13" s="1">
        <v>1</v>
      </c>
      <c r="U13" s="1">
        <v>0</v>
      </c>
      <c r="V13" s="1">
        <v>1</v>
      </c>
      <c r="W13" s="1">
        <v>0</v>
      </c>
      <c r="X13" s="1">
        <v>1</v>
      </c>
      <c r="Y13" s="1">
        <v>1</v>
      </c>
      <c r="Z13" s="1">
        <v>1</v>
      </c>
      <c r="AA13" s="1">
        <v>1</v>
      </c>
      <c r="AB13" s="1">
        <v>1</v>
      </c>
      <c r="AC13" s="1">
        <v>1</v>
      </c>
      <c r="AD13" s="1">
        <v>0</v>
      </c>
      <c r="AE13" s="1">
        <v>1</v>
      </c>
      <c r="AF13" s="1">
        <v>1</v>
      </c>
      <c r="AG13" s="1">
        <v>1</v>
      </c>
      <c r="AH13" s="1">
        <v>1</v>
      </c>
      <c r="AI13" s="1">
        <v>0</v>
      </c>
      <c r="AJ13" s="1">
        <v>1</v>
      </c>
      <c r="AK13" s="1">
        <v>1</v>
      </c>
      <c r="AL13" s="1">
        <v>1</v>
      </c>
      <c r="AM13" s="1">
        <v>1</v>
      </c>
      <c r="AN13" s="1">
        <v>1</v>
      </c>
      <c r="AO13" s="1">
        <v>1</v>
      </c>
      <c r="AP13" s="1">
        <v>1</v>
      </c>
      <c r="AQ13" s="1">
        <v>1</v>
      </c>
      <c r="AR13" s="1">
        <v>0</v>
      </c>
      <c r="AS13" s="1">
        <v>1</v>
      </c>
      <c r="AT13" s="1">
        <v>1</v>
      </c>
      <c r="AU13" s="1">
        <v>1</v>
      </c>
      <c r="AV13" s="1">
        <v>0</v>
      </c>
      <c r="AW13" s="1">
        <v>0</v>
      </c>
      <c r="AX13" s="1">
        <v>1</v>
      </c>
      <c r="AY13" s="1">
        <v>1</v>
      </c>
      <c r="AZ13" s="1">
        <v>1</v>
      </c>
      <c r="BA13" s="1">
        <v>1</v>
      </c>
      <c r="BB13" s="1">
        <v>0</v>
      </c>
      <c r="BC13" s="1">
        <v>1</v>
      </c>
      <c r="BD13" s="1">
        <v>1</v>
      </c>
      <c r="BE13" s="1">
        <v>1</v>
      </c>
      <c r="BF13" s="1">
        <v>1</v>
      </c>
      <c r="BG13" s="1">
        <v>1</v>
      </c>
      <c r="BH13" s="1">
        <v>1</v>
      </c>
      <c r="BI13" s="1">
        <v>0</v>
      </c>
      <c r="BJ13" s="1">
        <v>1</v>
      </c>
      <c r="BK13" s="1">
        <v>0</v>
      </c>
      <c r="BL13" s="7">
        <f t="shared" si="0"/>
        <v>50</v>
      </c>
      <c r="BM13" s="9">
        <f t="shared" si="1"/>
        <v>2500</v>
      </c>
    </row>
    <row r="14" spans="1:65" x14ac:dyDescent="0.25">
      <c r="A14" s="2">
        <v>45434.406074409722</v>
      </c>
      <c r="B14" s="3">
        <v>48</v>
      </c>
      <c r="C14" s="1" t="s">
        <v>84</v>
      </c>
      <c r="D14" s="1">
        <v>1</v>
      </c>
      <c r="E14" s="1">
        <v>0</v>
      </c>
      <c r="F14" s="1">
        <v>0</v>
      </c>
      <c r="G14" s="1">
        <v>1</v>
      </c>
      <c r="H14" s="1">
        <v>1</v>
      </c>
      <c r="I14" s="1">
        <v>0</v>
      </c>
      <c r="J14" s="1">
        <v>0</v>
      </c>
      <c r="K14" s="1">
        <v>1</v>
      </c>
      <c r="L14" s="1">
        <v>1</v>
      </c>
      <c r="M14" s="1">
        <v>1</v>
      </c>
      <c r="N14" s="1">
        <v>1</v>
      </c>
      <c r="O14" s="1">
        <v>1</v>
      </c>
      <c r="P14" s="1">
        <v>1</v>
      </c>
      <c r="Q14" s="1">
        <v>1</v>
      </c>
      <c r="R14" s="1">
        <v>0</v>
      </c>
      <c r="S14" s="1">
        <v>1</v>
      </c>
      <c r="T14" s="1">
        <v>1</v>
      </c>
      <c r="U14" s="1">
        <v>1</v>
      </c>
      <c r="V14" s="1">
        <v>1</v>
      </c>
      <c r="W14" s="1">
        <v>1</v>
      </c>
      <c r="X14" s="1">
        <v>1</v>
      </c>
      <c r="Y14" s="1">
        <v>1</v>
      </c>
      <c r="Z14" s="1">
        <v>1</v>
      </c>
      <c r="AA14" s="1">
        <v>1</v>
      </c>
      <c r="AB14" s="1">
        <v>1</v>
      </c>
      <c r="AC14" s="1">
        <v>1</v>
      </c>
      <c r="AD14" s="1">
        <v>0</v>
      </c>
      <c r="AE14" s="1">
        <v>1</v>
      </c>
      <c r="AF14" s="1">
        <v>1</v>
      </c>
      <c r="AG14" s="1">
        <v>1</v>
      </c>
      <c r="AH14" s="1">
        <v>1</v>
      </c>
      <c r="AI14" s="1">
        <v>1</v>
      </c>
      <c r="AJ14" s="1">
        <v>1</v>
      </c>
      <c r="AK14" s="1">
        <v>1</v>
      </c>
      <c r="AL14" s="1">
        <v>1</v>
      </c>
      <c r="AM14" s="1">
        <v>0</v>
      </c>
      <c r="AN14" s="1">
        <v>1</v>
      </c>
      <c r="AO14" s="1">
        <v>0</v>
      </c>
      <c r="AP14" s="1">
        <v>1</v>
      </c>
      <c r="AQ14" s="1">
        <v>1</v>
      </c>
      <c r="AR14" s="1">
        <v>1</v>
      </c>
      <c r="AS14" s="1">
        <v>1</v>
      </c>
      <c r="AT14" s="1">
        <v>1</v>
      </c>
      <c r="AU14" s="1">
        <v>1</v>
      </c>
      <c r="AV14" s="1">
        <v>1</v>
      </c>
      <c r="AW14" s="1">
        <v>0</v>
      </c>
      <c r="AX14" s="1">
        <v>1</v>
      </c>
      <c r="AY14" s="1">
        <v>1</v>
      </c>
      <c r="AZ14" s="1">
        <v>1</v>
      </c>
      <c r="BA14" s="1">
        <v>1</v>
      </c>
      <c r="BB14" s="1">
        <v>1</v>
      </c>
      <c r="BC14" s="1">
        <v>1</v>
      </c>
      <c r="BD14" s="1">
        <v>0</v>
      </c>
      <c r="BE14" s="1">
        <v>1</v>
      </c>
      <c r="BF14" s="1">
        <v>1</v>
      </c>
      <c r="BG14" s="1">
        <v>1</v>
      </c>
      <c r="BH14" s="1">
        <v>1</v>
      </c>
      <c r="BI14" s="1">
        <v>0</v>
      </c>
      <c r="BJ14" s="1">
        <v>1</v>
      </c>
      <c r="BK14" s="1">
        <v>0</v>
      </c>
      <c r="BL14" s="7">
        <f t="shared" si="0"/>
        <v>48</v>
      </c>
      <c r="BM14" s="9">
        <f t="shared" si="1"/>
        <v>2304</v>
      </c>
    </row>
    <row r="15" spans="1:65" x14ac:dyDescent="0.25">
      <c r="A15" s="2">
        <v>45434.398584282404</v>
      </c>
      <c r="B15" s="3">
        <v>47</v>
      </c>
      <c r="C15" s="1" t="s">
        <v>72</v>
      </c>
      <c r="D15" s="1">
        <v>1</v>
      </c>
      <c r="E15" s="1">
        <v>1</v>
      </c>
      <c r="F15" s="1">
        <v>1</v>
      </c>
      <c r="G15" s="1">
        <v>1</v>
      </c>
      <c r="H15" s="1">
        <v>1</v>
      </c>
      <c r="I15" s="1">
        <v>1</v>
      </c>
      <c r="J15" s="1">
        <v>1</v>
      </c>
      <c r="K15" s="1">
        <v>0</v>
      </c>
      <c r="L15" s="1">
        <v>1</v>
      </c>
      <c r="M15" s="1">
        <v>1</v>
      </c>
      <c r="N15" s="1">
        <v>1</v>
      </c>
      <c r="O15" s="1">
        <v>0</v>
      </c>
      <c r="P15" s="1">
        <v>1</v>
      </c>
      <c r="Q15" s="1">
        <v>1</v>
      </c>
      <c r="R15" s="1">
        <v>1</v>
      </c>
      <c r="S15" s="1">
        <v>1</v>
      </c>
      <c r="T15" s="1">
        <v>1</v>
      </c>
      <c r="U15" s="1">
        <v>0</v>
      </c>
      <c r="V15" s="1">
        <v>1</v>
      </c>
      <c r="W15" s="1">
        <v>0</v>
      </c>
      <c r="X15" s="1">
        <v>0</v>
      </c>
      <c r="Y15" s="1">
        <v>1</v>
      </c>
      <c r="Z15" s="1">
        <v>0</v>
      </c>
      <c r="AA15" s="1">
        <v>1</v>
      </c>
      <c r="AB15" s="1">
        <v>1</v>
      </c>
      <c r="AC15" s="1">
        <v>1</v>
      </c>
      <c r="AD15" s="1">
        <v>0</v>
      </c>
      <c r="AE15" s="1">
        <v>1</v>
      </c>
      <c r="AF15" s="1">
        <v>1</v>
      </c>
      <c r="AG15" s="1">
        <v>1</v>
      </c>
      <c r="AH15" s="1">
        <v>1</v>
      </c>
      <c r="AI15" s="1">
        <v>1</v>
      </c>
      <c r="AJ15" s="1">
        <v>1</v>
      </c>
      <c r="AK15" s="1">
        <v>1</v>
      </c>
      <c r="AL15" s="1">
        <v>1</v>
      </c>
      <c r="AM15" s="1">
        <v>1</v>
      </c>
      <c r="AN15" s="1">
        <v>1</v>
      </c>
      <c r="AO15" s="1">
        <v>1</v>
      </c>
      <c r="AP15" s="1">
        <v>1</v>
      </c>
      <c r="AQ15" s="1">
        <v>1</v>
      </c>
      <c r="AR15" s="1">
        <v>0</v>
      </c>
      <c r="AS15" s="1">
        <v>1</v>
      </c>
      <c r="AT15" s="1">
        <v>1</v>
      </c>
      <c r="AU15" s="1">
        <v>0</v>
      </c>
      <c r="AV15" s="1">
        <v>1</v>
      </c>
      <c r="AW15" s="1">
        <v>1</v>
      </c>
      <c r="AX15" s="1">
        <v>0</v>
      </c>
      <c r="AY15" s="1">
        <v>1</v>
      </c>
      <c r="AZ15" s="1">
        <v>1</v>
      </c>
      <c r="BA15" s="1">
        <v>1</v>
      </c>
      <c r="BB15" s="1">
        <v>1</v>
      </c>
      <c r="BC15" s="1">
        <v>1</v>
      </c>
      <c r="BD15" s="1">
        <v>1</v>
      </c>
      <c r="BE15" s="1">
        <v>1</v>
      </c>
      <c r="BF15" s="1">
        <v>1</v>
      </c>
      <c r="BG15" s="1">
        <v>1</v>
      </c>
      <c r="BH15" s="1">
        <v>1</v>
      </c>
      <c r="BI15" s="1">
        <v>0</v>
      </c>
      <c r="BJ15" s="1">
        <v>0</v>
      </c>
      <c r="BK15" s="1">
        <v>0</v>
      </c>
      <c r="BL15" s="7">
        <f t="shared" si="0"/>
        <v>47</v>
      </c>
      <c r="BM15" s="9">
        <f t="shared" si="1"/>
        <v>2209</v>
      </c>
    </row>
    <row r="16" spans="1:65" x14ac:dyDescent="0.25">
      <c r="A16" s="2">
        <v>45434.402329965276</v>
      </c>
      <c r="B16" s="3">
        <v>47</v>
      </c>
      <c r="C16" s="1" t="s">
        <v>77</v>
      </c>
      <c r="D16" s="1">
        <v>1</v>
      </c>
      <c r="E16" s="1">
        <v>1</v>
      </c>
      <c r="F16" s="1">
        <v>1</v>
      </c>
      <c r="G16" s="1">
        <v>1</v>
      </c>
      <c r="H16" s="1">
        <v>1</v>
      </c>
      <c r="I16" s="1">
        <v>0</v>
      </c>
      <c r="J16" s="1">
        <v>1</v>
      </c>
      <c r="K16" s="1">
        <v>0</v>
      </c>
      <c r="L16" s="1">
        <v>1</v>
      </c>
      <c r="M16" s="1">
        <v>1</v>
      </c>
      <c r="N16" s="1">
        <v>1</v>
      </c>
      <c r="O16" s="1">
        <v>1</v>
      </c>
      <c r="P16" s="1">
        <v>1</v>
      </c>
      <c r="Q16" s="1">
        <v>1</v>
      </c>
      <c r="R16" s="1">
        <v>0</v>
      </c>
      <c r="S16" s="1">
        <v>1</v>
      </c>
      <c r="T16" s="1">
        <v>1</v>
      </c>
      <c r="U16" s="1">
        <v>1</v>
      </c>
      <c r="V16" s="1">
        <v>1</v>
      </c>
      <c r="W16" s="1">
        <v>0</v>
      </c>
      <c r="X16" s="1">
        <v>1</v>
      </c>
      <c r="Y16" s="1">
        <v>1</v>
      </c>
      <c r="Z16" s="1">
        <v>1</v>
      </c>
      <c r="AA16" s="1">
        <v>1</v>
      </c>
      <c r="AB16" s="1">
        <v>1</v>
      </c>
      <c r="AC16" s="1">
        <v>0</v>
      </c>
      <c r="AD16" s="1">
        <v>0</v>
      </c>
      <c r="AE16" s="1">
        <v>1</v>
      </c>
      <c r="AF16" s="1">
        <v>1</v>
      </c>
      <c r="AG16" s="1">
        <v>1</v>
      </c>
      <c r="AH16" s="1">
        <v>1</v>
      </c>
      <c r="AI16" s="1">
        <v>1</v>
      </c>
      <c r="AJ16" s="1">
        <v>1</v>
      </c>
      <c r="AK16" s="1">
        <v>1</v>
      </c>
      <c r="AL16" s="1">
        <v>1</v>
      </c>
      <c r="AM16" s="1">
        <v>1</v>
      </c>
      <c r="AN16" s="1">
        <v>1</v>
      </c>
      <c r="AO16" s="1">
        <v>1</v>
      </c>
      <c r="AP16" s="1">
        <v>0</v>
      </c>
      <c r="AQ16" s="1">
        <v>1</v>
      </c>
      <c r="AR16" s="1">
        <v>0</v>
      </c>
      <c r="AS16" s="1">
        <v>0</v>
      </c>
      <c r="AT16" s="1">
        <v>1</v>
      </c>
      <c r="AU16" s="1">
        <v>1</v>
      </c>
      <c r="AV16" s="1">
        <v>1</v>
      </c>
      <c r="AW16" s="1">
        <v>0</v>
      </c>
      <c r="AX16" s="1">
        <v>1</v>
      </c>
      <c r="AY16" s="1">
        <v>1</v>
      </c>
      <c r="AZ16" s="1">
        <v>1</v>
      </c>
      <c r="BA16" s="1">
        <v>1</v>
      </c>
      <c r="BB16" s="1">
        <v>1</v>
      </c>
      <c r="BC16" s="1">
        <v>1</v>
      </c>
      <c r="BD16" s="1">
        <v>1</v>
      </c>
      <c r="BE16" s="1">
        <v>1</v>
      </c>
      <c r="BF16" s="1">
        <v>1</v>
      </c>
      <c r="BG16" s="1">
        <v>0</v>
      </c>
      <c r="BH16" s="1">
        <v>1</v>
      </c>
      <c r="BI16" s="1">
        <v>0</v>
      </c>
      <c r="BJ16" s="1">
        <v>1</v>
      </c>
      <c r="BK16" s="1">
        <v>0</v>
      </c>
      <c r="BL16" s="7">
        <f t="shared" si="0"/>
        <v>47</v>
      </c>
      <c r="BM16" s="9">
        <f t="shared" si="1"/>
        <v>2209</v>
      </c>
    </row>
    <row r="17" spans="1:65" x14ac:dyDescent="0.25">
      <c r="A17" s="2">
        <v>45434.40633618056</v>
      </c>
      <c r="B17" s="3">
        <v>47</v>
      </c>
      <c r="C17" s="1" t="s">
        <v>86</v>
      </c>
      <c r="D17" s="1">
        <v>1</v>
      </c>
      <c r="E17" s="1">
        <v>1</v>
      </c>
      <c r="F17" s="1">
        <v>1</v>
      </c>
      <c r="G17" s="1">
        <v>1</v>
      </c>
      <c r="H17" s="1">
        <v>1</v>
      </c>
      <c r="I17" s="1">
        <v>1</v>
      </c>
      <c r="J17" s="1">
        <v>1</v>
      </c>
      <c r="K17" s="1">
        <v>1</v>
      </c>
      <c r="L17" s="1">
        <v>1</v>
      </c>
      <c r="M17" s="1">
        <v>1</v>
      </c>
      <c r="N17" s="1">
        <v>1</v>
      </c>
      <c r="O17" s="1">
        <v>1</v>
      </c>
      <c r="P17" s="1">
        <v>1</v>
      </c>
      <c r="Q17" s="1">
        <v>1</v>
      </c>
      <c r="R17" s="1">
        <v>0</v>
      </c>
      <c r="S17" s="1">
        <v>1</v>
      </c>
      <c r="T17" s="1">
        <v>0</v>
      </c>
      <c r="U17" s="1">
        <v>0</v>
      </c>
      <c r="V17" s="1">
        <v>0</v>
      </c>
      <c r="W17" s="1">
        <v>0</v>
      </c>
      <c r="X17" s="1">
        <v>0</v>
      </c>
      <c r="Y17" s="1">
        <v>1</v>
      </c>
      <c r="Z17" s="1">
        <v>1</v>
      </c>
      <c r="AA17" s="1">
        <v>1</v>
      </c>
      <c r="AB17" s="1">
        <v>1</v>
      </c>
      <c r="AC17" s="1">
        <v>1</v>
      </c>
      <c r="AD17" s="1">
        <v>0</v>
      </c>
      <c r="AE17" s="1">
        <v>1</v>
      </c>
      <c r="AF17" s="1">
        <v>1</v>
      </c>
      <c r="AG17" s="1">
        <v>1</v>
      </c>
      <c r="AH17" s="1">
        <v>1</v>
      </c>
      <c r="AI17" s="1">
        <v>1</v>
      </c>
      <c r="AJ17" s="1">
        <v>1</v>
      </c>
      <c r="AK17" s="1">
        <v>1</v>
      </c>
      <c r="AL17" s="1">
        <v>1</v>
      </c>
      <c r="AM17" s="1">
        <v>1</v>
      </c>
      <c r="AN17" s="1">
        <v>1</v>
      </c>
      <c r="AO17" s="1">
        <v>1</v>
      </c>
      <c r="AP17" s="1">
        <v>1</v>
      </c>
      <c r="AQ17" s="1">
        <v>1</v>
      </c>
      <c r="AR17" s="1">
        <v>0</v>
      </c>
      <c r="AS17" s="1">
        <v>1</v>
      </c>
      <c r="AT17" s="1">
        <v>1</v>
      </c>
      <c r="AU17" s="1">
        <v>1</v>
      </c>
      <c r="AV17" s="1">
        <v>1</v>
      </c>
      <c r="AW17" s="1">
        <v>0</v>
      </c>
      <c r="AX17" s="1">
        <v>1</v>
      </c>
      <c r="AY17" s="1">
        <v>1</v>
      </c>
      <c r="AZ17" s="1">
        <v>0</v>
      </c>
      <c r="BA17" s="1">
        <v>0</v>
      </c>
      <c r="BB17" s="1">
        <v>1</v>
      </c>
      <c r="BC17" s="1">
        <v>0</v>
      </c>
      <c r="BD17" s="1">
        <v>1</v>
      </c>
      <c r="BE17" s="1">
        <v>1</v>
      </c>
      <c r="BF17" s="1">
        <v>1</v>
      </c>
      <c r="BG17" s="1">
        <v>1</v>
      </c>
      <c r="BH17" s="1">
        <v>1</v>
      </c>
      <c r="BI17" s="1">
        <v>1</v>
      </c>
      <c r="BJ17" s="1">
        <v>1</v>
      </c>
      <c r="BK17" s="1">
        <v>0</v>
      </c>
      <c r="BL17" s="7">
        <f t="shared" si="0"/>
        <v>47</v>
      </c>
      <c r="BM17" s="9">
        <f t="shared" si="1"/>
        <v>2209</v>
      </c>
    </row>
    <row r="18" spans="1:65" x14ac:dyDescent="0.25">
      <c r="A18" s="2">
        <v>45434.406333969906</v>
      </c>
      <c r="B18" s="3">
        <v>47</v>
      </c>
      <c r="C18" s="1" t="s">
        <v>87</v>
      </c>
      <c r="D18" s="1">
        <v>1</v>
      </c>
      <c r="E18" s="1">
        <v>1</v>
      </c>
      <c r="F18" s="1">
        <v>1</v>
      </c>
      <c r="G18" s="1">
        <v>1</v>
      </c>
      <c r="H18" s="1">
        <v>1</v>
      </c>
      <c r="I18" s="1">
        <v>1</v>
      </c>
      <c r="J18" s="1">
        <v>1</v>
      </c>
      <c r="K18" s="1">
        <v>1</v>
      </c>
      <c r="L18" s="1">
        <v>1</v>
      </c>
      <c r="M18" s="1">
        <v>1</v>
      </c>
      <c r="N18" s="1">
        <v>1</v>
      </c>
      <c r="O18" s="1">
        <v>1</v>
      </c>
      <c r="P18" s="1">
        <v>1</v>
      </c>
      <c r="Q18" s="1">
        <v>1</v>
      </c>
      <c r="R18" s="1">
        <v>0</v>
      </c>
      <c r="S18" s="1">
        <v>1</v>
      </c>
      <c r="T18" s="1">
        <v>0</v>
      </c>
      <c r="U18" s="1">
        <v>0</v>
      </c>
      <c r="V18" s="1">
        <v>0</v>
      </c>
      <c r="W18" s="1">
        <v>0</v>
      </c>
      <c r="X18" s="1">
        <v>0</v>
      </c>
      <c r="Y18" s="1">
        <v>1</v>
      </c>
      <c r="Z18" s="1">
        <v>1</v>
      </c>
      <c r="AA18" s="1">
        <v>1</v>
      </c>
      <c r="AB18" s="1">
        <v>1</v>
      </c>
      <c r="AC18" s="1">
        <v>1</v>
      </c>
      <c r="AD18" s="1">
        <v>0</v>
      </c>
      <c r="AE18" s="1">
        <v>1</v>
      </c>
      <c r="AF18" s="1">
        <v>1</v>
      </c>
      <c r="AG18" s="1">
        <v>1</v>
      </c>
      <c r="AH18" s="1">
        <v>1</v>
      </c>
      <c r="AI18" s="1">
        <v>1</v>
      </c>
      <c r="AJ18" s="1">
        <v>1</v>
      </c>
      <c r="AK18" s="1">
        <v>1</v>
      </c>
      <c r="AL18" s="1">
        <v>1</v>
      </c>
      <c r="AM18" s="1">
        <v>1</v>
      </c>
      <c r="AN18" s="1">
        <v>1</v>
      </c>
      <c r="AO18" s="1">
        <v>1</v>
      </c>
      <c r="AP18" s="1">
        <v>1</v>
      </c>
      <c r="AQ18" s="1">
        <v>1</v>
      </c>
      <c r="AR18" s="1">
        <v>0</v>
      </c>
      <c r="AS18" s="1">
        <v>1</v>
      </c>
      <c r="AT18" s="1">
        <v>1</v>
      </c>
      <c r="AU18" s="1">
        <v>1</v>
      </c>
      <c r="AV18" s="1">
        <v>1</v>
      </c>
      <c r="AW18" s="1">
        <v>0</v>
      </c>
      <c r="AX18" s="1">
        <v>1</v>
      </c>
      <c r="AY18" s="1">
        <v>1</v>
      </c>
      <c r="AZ18" s="1">
        <v>0</v>
      </c>
      <c r="BA18" s="1">
        <v>0</v>
      </c>
      <c r="BB18" s="1">
        <v>1</v>
      </c>
      <c r="BC18" s="1">
        <v>0</v>
      </c>
      <c r="BD18" s="1">
        <v>1</v>
      </c>
      <c r="BE18" s="1">
        <v>1</v>
      </c>
      <c r="BF18" s="1">
        <v>1</v>
      </c>
      <c r="BG18" s="1">
        <v>1</v>
      </c>
      <c r="BH18" s="1">
        <v>1</v>
      </c>
      <c r="BI18" s="1">
        <v>1</v>
      </c>
      <c r="BJ18" s="1">
        <v>1</v>
      </c>
      <c r="BK18" s="1">
        <v>0</v>
      </c>
      <c r="BL18" s="7">
        <f t="shared" si="0"/>
        <v>47</v>
      </c>
      <c r="BM18" s="9">
        <f t="shared" si="1"/>
        <v>2209</v>
      </c>
    </row>
    <row r="19" spans="1:65" x14ac:dyDescent="0.25">
      <c r="A19" s="2">
        <v>45434.393166226851</v>
      </c>
      <c r="B19" s="3">
        <v>46</v>
      </c>
      <c r="C19" s="1" t="s">
        <v>67</v>
      </c>
      <c r="D19" s="1">
        <v>1</v>
      </c>
      <c r="E19" s="1">
        <v>0</v>
      </c>
      <c r="F19" s="1">
        <v>1</v>
      </c>
      <c r="G19" s="1">
        <v>1</v>
      </c>
      <c r="H19" s="1">
        <v>1</v>
      </c>
      <c r="I19" s="1">
        <v>1</v>
      </c>
      <c r="J19" s="1">
        <v>1</v>
      </c>
      <c r="K19" s="1">
        <v>1</v>
      </c>
      <c r="L19" s="1">
        <v>0</v>
      </c>
      <c r="M19" s="1">
        <v>1</v>
      </c>
      <c r="N19" s="1">
        <v>1</v>
      </c>
      <c r="O19" s="1">
        <v>1</v>
      </c>
      <c r="P19" s="1">
        <v>1</v>
      </c>
      <c r="Q19" s="1">
        <v>1</v>
      </c>
      <c r="R19" s="1">
        <v>1</v>
      </c>
      <c r="S19" s="1">
        <v>1</v>
      </c>
      <c r="T19" s="1">
        <v>1</v>
      </c>
      <c r="U19" s="1">
        <v>0</v>
      </c>
      <c r="V19" s="1">
        <v>0</v>
      </c>
      <c r="W19" s="1">
        <v>0</v>
      </c>
      <c r="X19" s="1">
        <v>1</v>
      </c>
      <c r="Y19" s="1">
        <v>1</v>
      </c>
      <c r="Z19" s="1">
        <v>1</v>
      </c>
      <c r="AA19" s="1">
        <v>1</v>
      </c>
      <c r="AB19" s="1">
        <v>1</v>
      </c>
      <c r="AC19" s="1">
        <v>1</v>
      </c>
      <c r="AD19" s="1">
        <v>0</v>
      </c>
      <c r="AE19" s="1">
        <v>1</v>
      </c>
      <c r="AF19" s="1">
        <v>1</v>
      </c>
      <c r="AG19" s="1">
        <v>1</v>
      </c>
      <c r="AH19" s="1">
        <v>1</v>
      </c>
      <c r="AI19" s="1">
        <v>1</v>
      </c>
      <c r="AJ19" s="1">
        <v>1</v>
      </c>
      <c r="AK19" s="1">
        <v>1</v>
      </c>
      <c r="AL19" s="1">
        <v>1</v>
      </c>
      <c r="AM19" s="1">
        <v>1</v>
      </c>
      <c r="AN19" s="1">
        <v>1</v>
      </c>
      <c r="AO19" s="1">
        <v>0</v>
      </c>
      <c r="AP19" s="1">
        <v>0</v>
      </c>
      <c r="AQ19" s="1">
        <v>0</v>
      </c>
      <c r="AR19" s="1">
        <v>1</v>
      </c>
      <c r="AS19" s="1">
        <v>1</v>
      </c>
      <c r="AT19" s="1">
        <v>0</v>
      </c>
      <c r="AU19" s="1">
        <v>0</v>
      </c>
      <c r="AV19" s="1">
        <v>0</v>
      </c>
      <c r="AW19" s="1">
        <v>1</v>
      </c>
      <c r="AX19" s="1">
        <v>1</v>
      </c>
      <c r="AY19" s="1">
        <v>1</v>
      </c>
      <c r="AZ19" s="1">
        <v>1</v>
      </c>
      <c r="BA19" s="1">
        <v>1</v>
      </c>
      <c r="BB19" s="1">
        <v>1</v>
      </c>
      <c r="BC19" s="1">
        <v>0</v>
      </c>
      <c r="BD19" s="1">
        <v>1</v>
      </c>
      <c r="BE19" s="1">
        <v>1</v>
      </c>
      <c r="BF19" s="1">
        <v>1</v>
      </c>
      <c r="BG19" s="1">
        <v>1</v>
      </c>
      <c r="BH19" s="1">
        <v>1</v>
      </c>
      <c r="BI19" s="1">
        <v>1</v>
      </c>
      <c r="BJ19" s="1">
        <v>1</v>
      </c>
      <c r="BK19" s="1">
        <v>0</v>
      </c>
      <c r="BL19" s="7">
        <f t="shared" si="0"/>
        <v>46</v>
      </c>
      <c r="BM19" s="9">
        <f t="shared" si="1"/>
        <v>2116</v>
      </c>
    </row>
    <row r="20" spans="1:65" x14ac:dyDescent="0.25">
      <c r="A20" s="2">
        <v>45434.387413761579</v>
      </c>
      <c r="B20" s="3">
        <v>44</v>
      </c>
      <c r="C20" s="1" t="s">
        <v>62</v>
      </c>
      <c r="D20" s="1">
        <v>1</v>
      </c>
      <c r="E20" s="1">
        <v>0</v>
      </c>
      <c r="F20" s="1">
        <v>1</v>
      </c>
      <c r="G20" s="1">
        <v>1</v>
      </c>
      <c r="H20" s="1">
        <v>1</v>
      </c>
      <c r="I20" s="1">
        <v>1</v>
      </c>
      <c r="J20" s="1">
        <v>1</v>
      </c>
      <c r="K20" s="1">
        <v>0</v>
      </c>
      <c r="L20" s="1">
        <v>0</v>
      </c>
      <c r="M20" s="1">
        <v>0</v>
      </c>
      <c r="N20" s="1">
        <v>1</v>
      </c>
      <c r="O20" s="1">
        <v>1</v>
      </c>
      <c r="P20" s="1">
        <v>1</v>
      </c>
      <c r="Q20" s="1">
        <v>1</v>
      </c>
      <c r="R20" s="1">
        <v>1</v>
      </c>
      <c r="S20" s="1">
        <v>1</v>
      </c>
      <c r="T20" s="1">
        <v>1</v>
      </c>
      <c r="U20" s="1">
        <v>0</v>
      </c>
      <c r="V20" s="1">
        <v>1</v>
      </c>
      <c r="W20" s="1">
        <v>0</v>
      </c>
      <c r="X20" s="1">
        <v>1</v>
      </c>
      <c r="Y20" s="1">
        <v>0</v>
      </c>
      <c r="Z20" s="1">
        <v>1</v>
      </c>
      <c r="AA20" s="1">
        <v>1</v>
      </c>
      <c r="AB20" s="1">
        <v>1</v>
      </c>
      <c r="AC20" s="1">
        <v>1</v>
      </c>
      <c r="AD20" s="1">
        <v>0</v>
      </c>
      <c r="AE20" s="1">
        <v>1</v>
      </c>
      <c r="AF20" s="1">
        <v>1</v>
      </c>
      <c r="AG20" s="1">
        <v>1</v>
      </c>
      <c r="AH20" s="1">
        <v>1</v>
      </c>
      <c r="AI20" s="1">
        <v>1</v>
      </c>
      <c r="AJ20" s="1">
        <v>1</v>
      </c>
      <c r="AK20" s="1">
        <v>0</v>
      </c>
      <c r="AL20" s="1">
        <v>1</v>
      </c>
      <c r="AM20" s="1">
        <v>1</v>
      </c>
      <c r="AN20" s="1">
        <v>1</v>
      </c>
      <c r="AO20" s="1">
        <v>1</v>
      </c>
      <c r="AP20" s="1">
        <v>0</v>
      </c>
      <c r="AQ20" s="1">
        <v>1</v>
      </c>
      <c r="AR20" s="1">
        <v>0</v>
      </c>
      <c r="AS20" s="1">
        <v>0</v>
      </c>
      <c r="AT20" s="1">
        <v>1</v>
      </c>
      <c r="AU20" s="1">
        <v>1</v>
      </c>
      <c r="AV20" s="1">
        <v>0</v>
      </c>
      <c r="AW20" s="1">
        <v>0</v>
      </c>
      <c r="AX20" s="1">
        <v>1</v>
      </c>
      <c r="AY20" s="1">
        <v>1</v>
      </c>
      <c r="AZ20" s="1">
        <v>1</v>
      </c>
      <c r="BA20" s="1">
        <v>1</v>
      </c>
      <c r="BB20" s="1">
        <v>1</v>
      </c>
      <c r="BC20" s="1">
        <v>0</v>
      </c>
      <c r="BD20" s="1">
        <v>1</v>
      </c>
      <c r="BE20" s="1">
        <v>1</v>
      </c>
      <c r="BF20" s="1">
        <v>1</v>
      </c>
      <c r="BG20" s="1">
        <v>1</v>
      </c>
      <c r="BH20" s="1">
        <v>1</v>
      </c>
      <c r="BI20" s="1">
        <v>0</v>
      </c>
      <c r="BJ20" s="1">
        <v>1</v>
      </c>
      <c r="BK20" s="1">
        <v>1</v>
      </c>
      <c r="BL20" s="7">
        <f t="shared" si="0"/>
        <v>44</v>
      </c>
      <c r="BM20" s="9">
        <f t="shared" si="1"/>
        <v>1936</v>
      </c>
    </row>
    <row r="21" spans="1:65" x14ac:dyDescent="0.25">
      <c r="A21" s="2">
        <v>45434.391979722219</v>
      </c>
      <c r="B21" s="3">
        <v>43</v>
      </c>
      <c r="C21" s="1" t="s">
        <v>66</v>
      </c>
      <c r="D21" s="1">
        <v>1</v>
      </c>
      <c r="E21" s="1">
        <v>1</v>
      </c>
      <c r="F21" s="1">
        <v>0</v>
      </c>
      <c r="G21" s="1">
        <v>1</v>
      </c>
      <c r="H21" s="1">
        <v>0</v>
      </c>
      <c r="I21" s="1">
        <v>1</v>
      </c>
      <c r="J21" s="1">
        <v>1</v>
      </c>
      <c r="K21" s="1">
        <v>1</v>
      </c>
      <c r="L21" s="1">
        <v>0</v>
      </c>
      <c r="M21" s="1">
        <v>0</v>
      </c>
      <c r="N21" s="1">
        <v>1</v>
      </c>
      <c r="O21" s="1">
        <v>1</v>
      </c>
      <c r="P21" s="1">
        <v>0</v>
      </c>
      <c r="Q21" s="1">
        <v>1</v>
      </c>
      <c r="R21" s="1">
        <v>0</v>
      </c>
      <c r="S21" s="1">
        <v>1</v>
      </c>
      <c r="T21" s="1">
        <v>1</v>
      </c>
      <c r="U21" s="1">
        <v>0</v>
      </c>
      <c r="V21" s="1">
        <v>1</v>
      </c>
      <c r="W21" s="1">
        <v>1</v>
      </c>
      <c r="X21" s="1">
        <v>1</v>
      </c>
      <c r="Y21" s="1">
        <v>1</v>
      </c>
      <c r="Z21" s="1">
        <v>1</v>
      </c>
      <c r="AA21" s="1">
        <v>1</v>
      </c>
      <c r="AB21" s="1">
        <v>1</v>
      </c>
      <c r="AC21" s="1">
        <v>0</v>
      </c>
      <c r="AD21" s="1">
        <v>0</v>
      </c>
      <c r="AE21" s="1">
        <v>1</v>
      </c>
      <c r="AF21" s="1">
        <v>1</v>
      </c>
      <c r="AG21" s="1">
        <v>1</v>
      </c>
      <c r="AH21" s="1">
        <v>1</v>
      </c>
      <c r="AI21" s="1">
        <v>1</v>
      </c>
      <c r="AJ21" s="1">
        <v>0</v>
      </c>
      <c r="AK21" s="1">
        <v>1</v>
      </c>
      <c r="AL21" s="1">
        <v>1</v>
      </c>
      <c r="AM21" s="1">
        <v>1</v>
      </c>
      <c r="AN21" s="1">
        <v>1</v>
      </c>
      <c r="AO21" s="1">
        <v>1</v>
      </c>
      <c r="AP21" s="1">
        <v>0</v>
      </c>
      <c r="AQ21" s="1">
        <v>1</v>
      </c>
      <c r="AR21" s="1">
        <v>1</v>
      </c>
      <c r="AS21" s="1">
        <v>0</v>
      </c>
      <c r="AT21" s="1">
        <v>1</v>
      </c>
      <c r="AU21" s="1">
        <v>0</v>
      </c>
      <c r="AV21" s="1">
        <v>0</v>
      </c>
      <c r="AW21" s="1">
        <v>0</v>
      </c>
      <c r="AX21" s="1">
        <v>1</v>
      </c>
      <c r="AY21" s="1">
        <v>1</v>
      </c>
      <c r="AZ21" s="1">
        <v>1</v>
      </c>
      <c r="BA21" s="1">
        <v>1</v>
      </c>
      <c r="BB21" s="1">
        <v>1</v>
      </c>
      <c r="BC21" s="1">
        <v>1</v>
      </c>
      <c r="BD21" s="1">
        <v>1</v>
      </c>
      <c r="BE21" s="1">
        <v>1</v>
      </c>
      <c r="BF21" s="1">
        <v>1</v>
      </c>
      <c r="BG21" s="1">
        <v>1</v>
      </c>
      <c r="BH21" s="1">
        <v>1</v>
      </c>
      <c r="BI21" s="1">
        <v>0</v>
      </c>
      <c r="BJ21" s="1">
        <v>1</v>
      </c>
      <c r="BK21" s="1">
        <v>0</v>
      </c>
      <c r="BL21" s="7">
        <f t="shared" si="0"/>
        <v>43</v>
      </c>
      <c r="BM21" s="9">
        <f t="shared" si="1"/>
        <v>1849</v>
      </c>
    </row>
    <row r="22" spans="1:65" x14ac:dyDescent="0.25">
      <c r="A22" s="2">
        <v>45434.408149814815</v>
      </c>
      <c r="B22" s="3">
        <v>42</v>
      </c>
      <c r="C22" s="1" t="s">
        <v>90</v>
      </c>
      <c r="D22" s="1">
        <v>1</v>
      </c>
      <c r="E22" s="1">
        <v>1</v>
      </c>
      <c r="F22" s="1">
        <v>1</v>
      </c>
      <c r="G22" s="1">
        <v>1</v>
      </c>
      <c r="H22" s="1">
        <v>1</v>
      </c>
      <c r="I22" s="1">
        <v>1</v>
      </c>
      <c r="J22" s="1">
        <v>1</v>
      </c>
      <c r="K22" s="1">
        <v>1</v>
      </c>
      <c r="L22" s="1">
        <v>1</v>
      </c>
      <c r="M22" s="1">
        <v>1</v>
      </c>
      <c r="N22" s="1">
        <v>1</v>
      </c>
      <c r="O22" s="1">
        <v>1</v>
      </c>
      <c r="P22" s="1">
        <v>1</v>
      </c>
      <c r="Q22" s="1">
        <v>0</v>
      </c>
      <c r="R22" s="1">
        <v>1</v>
      </c>
      <c r="S22" s="1">
        <v>1</v>
      </c>
      <c r="T22" s="1">
        <v>1</v>
      </c>
      <c r="U22" s="1">
        <v>0</v>
      </c>
      <c r="V22" s="1">
        <v>1</v>
      </c>
      <c r="W22" s="1">
        <v>0</v>
      </c>
      <c r="X22" s="1">
        <v>0</v>
      </c>
      <c r="Y22" s="1">
        <v>0</v>
      </c>
      <c r="Z22" s="1">
        <v>1</v>
      </c>
      <c r="AA22" s="1">
        <v>1</v>
      </c>
      <c r="AB22" s="1">
        <v>1</v>
      </c>
      <c r="AC22" s="1">
        <v>0</v>
      </c>
      <c r="AD22" s="1">
        <v>0</v>
      </c>
      <c r="AE22" s="1">
        <v>1</v>
      </c>
      <c r="AF22" s="1">
        <v>1</v>
      </c>
      <c r="AG22" s="1">
        <v>0</v>
      </c>
      <c r="AH22" s="1">
        <v>1</v>
      </c>
      <c r="AI22" s="1">
        <v>1</v>
      </c>
      <c r="AJ22" s="1">
        <v>1</v>
      </c>
      <c r="AK22" s="1">
        <v>1</v>
      </c>
      <c r="AL22" s="1">
        <v>1</v>
      </c>
      <c r="AM22" s="1">
        <v>0</v>
      </c>
      <c r="AN22" s="1">
        <v>0</v>
      </c>
      <c r="AO22" s="1">
        <v>1</v>
      </c>
      <c r="AP22" s="1">
        <v>1</v>
      </c>
      <c r="AQ22" s="1">
        <v>1</v>
      </c>
      <c r="AR22" s="1">
        <v>0</v>
      </c>
      <c r="AS22" s="1">
        <v>0</v>
      </c>
      <c r="AT22" s="1">
        <v>1</v>
      </c>
      <c r="AU22" s="1">
        <v>0</v>
      </c>
      <c r="AV22" s="1">
        <v>1</v>
      </c>
      <c r="AW22" s="1">
        <v>0</v>
      </c>
      <c r="AX22" s="1">
        <v>1</v>
      </c>
      <c r="AY22" s="1">
        <v>1</v>
      </c>
      <c r="AZ22" s="1">
        <v>0</v>
      </c>
      <c r="BA22" s="1">
        <v>1</v>
      </c>
      <c r="BB22" s="1">
        <v>1</v>
      </c>
      <c r="BC22" s="1">
        <v>0</v>
      </c>
      <c r="BD22" s="1">
        <v>0</v>
      </c>
      <c r="BE22" s="1">
        <v>1</v>
      </c>
      <c r="BF22" s="1">
        <v>1</v>
      </c>
      <c r="BG22" s="1">
        <v>1</v>
      </c>
      <c r="BH22" s="1">
        <v>1</v>
      </c>
      <c r="BI22" s="1">
        <v>1</v>
      </c>
      <c r="BJ22" s="1">
        <v>1</v>
      </c>
      <c r="BK22" s="1">
        <v>0</v>
      </c>
      <c r="BL22" s="7">
        <f t="shared" si="0"/>
        <v>42</v>
      </c>
      <c r="BM22" s="9">
        <f t="shared" si="1"/>
        <v>1764</v>
      </c>
    </row>
    <row r="23" spans="1:65" x14ac:dyDescent="0.25">
      <c r="A23" s="2">
        <v>45434.386339050921</v>
      </c>
      <c r="B23" s="3">
        <v>41</v>
      </c>
      <c r="C23" s="1" t="s">
        <v>61</v>
      </c>
      <c r="D23" s="1">
        <v>1</v>
      </c>
      <c r="E23" s="1">
        <v>1</v>
      </c>
      <c r="F23" s="1">
        <v>1</v>
      </c>
      <c r="G23" s="1">
        <v>1</v>
      </c>
      <c r="H23" s="1">
        <v>1</v>
      </c>
      <c r="I23" s="1">
        <v>1</v>
      </c>
      <c r="J23" s="1">
        <v>1</v>
      </c>
      <c r="K23" s="1">
        <v>0</v>
      </c>
      <c r="L23" s="1">
        <v>1</v>
      </c>
      <c r="M23" s="1">
        <v>1</v>
      </c>
      <c r="N23" s="1">
        <v>0</v>
      </c>
      <c r="O23" s="1">
        <v>1</v>
      </c>
      <c r="P23" s="1">
        <v>1</v>
      </c>
      <c r="Q23" s="1">
        <v>1</v>
      </c>
      <c r="R23" s="1">
        <v>1</v>
      </c>
      <c r="S23" s="1">
        <v>1</v>
      </c>
      <c r="T23" s="1">
        <v>1</v>
      </c>
      <c r="U23" s="1">
        <v>1</v>
      </c>
      <c r="V23" s="1">
        <v>1</v>
      </c>
      <c r="W23" s="1">
        <v>0</v>
      </c>
      <c r="X23" s="1">
        <v>0</v>
      </c>
      <c r="Y23" s="1">
        <v>1</v>
      </c>
      <c r="Z23" s="1">
        <v>1</v>
      </c>
      <c r="AA23" s="1">
        <v>1</v>
      </c>
      <c r="AB23" s="1">
        <v>0</v>
      </c>
      <c r="AC23" s="1">
        <v>0</v>
      </c>
      <c r="AD23" s="1">
        <v>0</v>
      </c>
      <c r="AE23" s="1">
        <v>1</v>
      </c>
      <c r="AF23" s="1">
        <v>1</v>
      </c>
      <c r="AG23" s="1">
        <v>1</v>
      </c>
      <c r="AH23" s="1">
        <v>1</v>
      </c>
      <c r="AI23" s="1">
        <v>0</v>
      </c>
      <c r="AJ23" s="1">
        <v>1</v>
      </c>
      <c r="AK23" s="1">
        <v>1</v>
      </c>
      <c r="AL23" s="1">
        <v>1</v>
      </c>
      <c r="AM23" s="1">
        <v>0</v>
      </c>
      <c r="AN23" s="1">
        <v>1</v>
      </c>
      <c r="AO23" s="1">
        <v>0</v>
      </c>
      <c r="AP23" s="1">
        <v>0</v>
      </c>
      <c r="AQ23" s="1">
        <v>1</v>
      </c>
      <c r="AR23" s="1">
        <v>0</v>
      </c>
      <c r="AS23" s="1">
        <v>0</v>
      </c>
      <c r="AT23" s="1">
        <v>1</v>
      </c>
      <c r="AU23" s="1">
        <v>0</v>
      </c>
      <c r="AV23" s="1">
        <v>0</v>
      </c>
      <c r="AW23" s="1">
        <v>0</v>
      </c>
      <c r="AX23" s="1">
        <v>1</v>
      </c>
      <c r="AY23" s="1">
        <v>1</v>
      </c>
      <c r="AZ23" s="1">
        <v>1</v>
      </c>
      <c r="BA23" s="1">
        <v>1</v>
      </c>
      <c r="BB23" s="1">
        <v>1</v>
      </c>
      <c r="BC23" s="1">
        <v>1</v>
      </c>
      <c r="BD23" s="1">
        <v>0</v>
      </c>
      <c r="BE23" s="1">
        <v>1</v>
      </c>
      <c r="BF23" s="1">
        <v>1</v>
      </c>
      <c r="BG23" s="1">
        <v>1</v>
      </c>
      <c r="BH23" s="1">
        <v>1</v>
      </c>
      <c r="BI23" s="1">
        <v>0</v>
      </c>
      <c r="BJ23" s="1">
        <v>0</v>
      </c>
      <c r="BK23" s="1">
        <v>1</v>
      </c>
      <c r="BL23" s="7">
        <f t="shared" si="0"/>
        <v>41</v>
      </c>
      <c r="BM23" s="9">
        <f t="shared" si="1"/>
        <v>1681</v>
      </c>
    </row>
    <row r="24" spans="1:65" x14ac:dyDescent="0.25">
      <c r="A24" s="2">
        <v>45434.4014665625</v>
      </c>
      <c r="B24" s="3">
        <v>35</v>
      </c>
      <c r="C24" s="1" t="s">
        <v>75</v>
      </c>
      <c r="D24" s="1">
        <v>1</v>
      </c>
      <c r="E24" s="1">
        <v>1</v>
      </c>
      <c r="F24" s="1">
        <v>1</v>
      </c>
      <c r="G24" s="1">
        <v>0</v>
      </c>
      <c r="H24" s="1">
        <v>1</v>
      </c>
      <c r="I24" s="1">
        <v>0</v>
      </c>
      <c r="J24" s="1">
        <v>1</v>
      </c>
      <c r="K24" s="1">
        <v>1</v>
      </c>
      <c r="L24" s="1">
        <v>0</v>
      </c>
      <c r="M24" s="1">
        <v>0</v>
      </c>
      <c r="N24" s="1">
        <v>0</v>
      </c>
      <c r="O24" s="1">
        <v>1</v>
      </c>
      <c r="P24" s="1">
        <v>1</v>
      </c>
      <c r="Q24" s="1">
        <v>0</v>
      </c>
      <c r="R24" s="1">
        <v>0</v>
      </c>
      <c r="S24" s="1">
        <v>1</v>
      </c>
      <c r="T24" s="1">
        <v>1</v>
      </c>
      <c r="U24" s="1">
        <v>0</v>
      </c>
      <c r="V24" s="1">
        <v>1</v>
      </c>
      <c r="W24" s="1">
        <v>0</v>
      </c>
      <c r="X24" s="1">
        <v>0</v>
      </c>
      <c r="Y24" s="1">
        <v>1</v>
      </c>
      <c r="Z24" s="1">
        <v>1</v>
      </c>
      <c r="AA24" s="1">
        <v>1</v>
      </c>
      <c r="AB24" s="1">
        <v>1</v>
      </c>
      <c r="AC24" s="1">
        <v>1</v>
      </c>
      <c r="AD24" s="1">
        <v>0</v>
      </c>
      <c r="AE24" s="1">
        <v>1</v>
      </c>
      <c r="AF24" s="1">
        <v>1</v>
      </c>
      <c r="AG24" s="1">
        <v>1</v>
      </c>
      <c r="AH24" s="1">
        <v>0</v>
      </c>
      <c r="AI24" s="1">
        <v>0</v>
      </c>
      <c r="AJ24" s="1">
        <v>0</v>
      </c>
      <c r="AK24" s="1">
        <v>1</v>
      </c>
      <c r="AL24" s="1">
        <v>1</v>
      </c>
      <c r="AM24" s="1">
        <v>1</v>
      </c>
      <c r="AN24" s="1">
        <v>1</v>
      </c>
      <c r="AO24" s="1">
        <v>1</v>
      </c>
      <c r="AP24" s="1">
        <v>0</v>
      </c>
      <c r="AQ24" s="1">
        <v>0</v>
      </c>
      <c r="AR24" s="1">
        <v>0</v>
      </c>
      <c r="AS24" s="1">
        <v>0</v>
      </c>
      <c r="AT24" s="1">
        <v>1</v>
      </c>
      <c r="AU24" s="1">
        <v>1</v>
      </c>
      <c r="AV24" s="1">
        <v>0</v>
      </c>
      <c r="AW24" s="1">
        <v>0</v>
      </c>
      <c r="AX24" s="1">
        <v>0</v>
      </c>
      <c r="AY24" s="1">
        <v>1</v>
      </c>
      <c r="AZ24" s="1">
        <v>1</v>
      </c>
      <c r="BA24" s="1">
        <v>1</v>
      </c>
      <c r="BB24" s="1">
        <v>1</v>
      </c>
      <c r="BC24" s="1">
        <v>0</v>
      </c>
      <c r="BD24" s="1">
        <v>0</v>
      </c>
      <c r="BE24" s="1">
        <v>1</v>
      </c>
      <c r="BF24" s="1">
        <v>1</v>
      </c>
      <c r="BG24" s="1">
        <v>0</v>
      </c>
      <c r="BH24" s="1">
        <v>1</v>
      </c>
      <c r="BI24" s="1">
        <v>0</v>
      </c>
      <c r="BJ24" s="1">
        <v>1</v>
      </c>
      <c r="BK24" s="1">
        <v>1</v>
      </c>
      <c r="BL24" s="7">
        <f t="shared" si="0"/>
        <v>35</v>
      </c>
      <c r="BM24" s="9">
        <f t="shared" si="1"/>
        <v>1225</v>
      </c>
    </row>
    <row r="25" spans="1:65" x14ac:dyDescent="0.25">
      <c r="A25" s="2">
        <v>45434.388523414353</v>
      </c>
      <c r="B25" s="3">
        <v>34</v>
      </c>
      <c r="C25" s="1" t="s">
        <v>63</v>
      </c>
      <c r="D25" s="1">
        <v>1</v>
      </c>
      <c r="E25" s="1">
        <v>1</v>
      </c>
      <c r="F25" s="1">
        <v>1</v>
      </c>
      <c r="G25" s="1">
        <v>1</v>
      </c>
      <c r="H25" s="1">
        <v>1</v>
      </c>
      <c r="I25" s="1">
        <v>0</v>
      </c>
      <c r="J25" s="1">
        <v>0</v>
      </c>
      <c r="K25" s="1">
        <v>0</v>
      </c>
      <c r="L25" s="1">
        <v>0</v>
      </c>
      <c r="M25" s="1">
        <v>1</v>
      </c>
      <c r="N25" s="1">
        <v>0</v>
      </c>
      <c r="O25" s="1">
        <v>1</v>
      </c>
      <c r="P25" s="1">
        <v>1</v>
      </c>
      <c r="Q25" s="1">
        <v>0</v>
      </c>
      <c r="R25" s="1">
        <v>0</v>
      </c>
      <c r="S25" s="1">
        <v>1</v>
      </c>
      <c r="T25" s="1">
        <v>0</v>
      </c>
      <c r="U25" s="1">
        <v>0</v>
      </c>
      <c r="V25" s="1">
        <v>1</v>
      </c>
      <c r="W25" s="1">
        <v>1</v>
      </c>
      <c r="X25" s="1">
        <v>0</v>
      </c>
      <c r="Y25" s="1">
        <v>1</v>
      </c>
      <c r="Z25" s="1">
        <v>0</v>
      </c>
      <c r="AA25" s="1">
        <v>1</v>
      </c>
      <c r="AB25" s="1">
        <v>1</v>
      </c>
      <c r="AC25" s="1">
        <v>1</v>
      </c>
      <c r="AD25" s="1">
        <v>1</v>
      </c>
      <c r="AE25" s="1">
        <v>1</v>
      </c>
      <c r="AF25" s="1">
        <v>1</v>
      </c>
      <c r="AG25" s="1">
        <v>1</v>
      </c>
      <c r="AH25" s="1">
        <v>1</v>
      </c>
      <c r="AI25" s="1">
        <v>0</v>
      </c>
      <c r="AJ25" s="1">
        <v>0</v>
      </c>
      <c r="AK25" s="1">
        <v>1</v>
      </c>
      <c r="AL25" s="1">
        <v>1</v>
      </c>
      <c r="AM25" s="1">
        <v>0</v>
      </c>
      <c r="AN25" s="1">
        <v>0</v>
      </c>
      <c r="AO25" s="1">
        <v>1</v>
      </c>
      <c r="AP25" s="1">
        <v>0</v>
      </c>
      <c r="AQ25" s="1">
        <v>0</v>
      </c>
      <c r="AR25" s="1">
        <v>0</v>
      </c>
      <c r="AS25" s="1">
        <v>0</v>
      </c>
      <c r="AT25" s="1">
        <v>1</v>
      </c>
      <c r="AU25" s="1">
        <v>0</v>
      </c>
      <c r="AV25" s="1">
        <v>0</v>
      </c>
      <c r="AW25" s="1">
        <v>0</v>
      </c>
      <c r="AX25" s="1">
        <v>1</v>
      </c>
      <c r="AY25" s="1">
        <v>0</v>
      </c>
      <c r="AZ25" s="1">
        <v>1</v>
      </c>
      <c r="BA25" s="1">
        <v>1</v>
      </c>
      <c r="BB25" s="1">
        <v>0</v>
      </c>
      <c r="BC25" s="1">
        <v>1</v>
      </c>
      <c r="BD25" s="1">
        <v>1</v>
      </c>
      <c r="BE25" s="1">
        <v>1</v>
      </c>
      <c r="BF25" s="1">
        <v>1</v>
      </c>
      <c r="BG25" s="1">
        <v>1</v>
      </c>
      <c r="BH25" s="1">
        <v>1</v>
      </c>
      <c r="BI25" s="1">
        <v>0</v>
      </c>
      <c r="BJ25" s="1">
        <v>1</v>
      </c>
      <c r="BK25" s="1">
        <v>0</v>
      </c>
      <c r="BL25" s="7">
        <f t="shared" si="0"/>
        <v>34</v>
      </c>
      <c r="BM25" s="9">
        <f t="shared" si="1"/>
        <v>1156</v>
      </c>
    </row>
    <row r="26" spans="1:65" x14ac:dyDescent="0.25">
      <c r="A26" s="2">
        <v>45434.390434814813</v>
      </c>
      <c r="B26" s="3">
        <v>34</v>
      </c>
      <c r="C26" s="1" t="s">
        <v>64</v>
      </c>
      <c r="D26" s="1">
        <v>1</v>
      </c>
      <c r="E26" s="1">
        <v>1</v>
      </c>
      <c r="F26" s="1">
        <v>0</v>
      </c>
      <c r="G26" s="1">
        <v>1</v>
      </c>
      <c r="H26" s="1">
        <v>0</v>
      </c>
      <c r="I26" s="1">
        <v>0</v>
      </c>
      <c r="J26" s="1">
        <v>1</v>
      </c>
      <c r="K26" s="1">
        <v>1</v>
      </c>
      <c r="L26" s="1">
        <v>0</v>
      </c>
      <c r="M26" s="1">
        <v>0</v>
      </c>
      <c r="N26" s="1">
        <v>0</v>
      </c>
      <c r="O26" s="1">
        <v>0</v>
      </c>
      <c r="P26" s="1">
        <v>0</v>
      </c>
      <c r="Q26" s="1">
        <v>1</v>
      </c>
      <c r="R26" s="1">
        <v>1</v>
      </c>
      <c r="S26" s="1">
        <v>1</v>
      </c>
      <c r="T26" s="1">
        <v>1</v>
      </c>
      <c r="U26" s="1">
        <v>0</v>
      </c>
      <c r="V26" s="1">
        <v>0</v>
      </c>
      <c r="W26" s="1">
        <v>0</v>
      </c>
      <c r="X26" s="1">
        <v>0</v>
      </c>
      <c r="Y26" s="1">
        <v>1</v>
      </c>
      <c r="Z26" s="1">
        <v>1</v>
      </c>
      <c r="AA26" s="1">
        <v>1</v>
      </c>
      <c r="AB26" s="1">
        <v>1</v>
      </c>
      <c r="AC26" s="1">
        <v>0</v>
      </c>
      <c r="AD26" s="1">
        <v>0</v>
      </c>
      <c r="AE26" s="1">
        <v>1</v>
      </c>
      <c r="AF26" s="1">
        <v>0</v>
      </c>
      <c r="AG26" s="1">
        <v>1</v>
      </c>
      <c r="AH26" s="1">
        <v>1</v>
      </c>
      <c r="AI26" s="1">
        <v>0</v>
      </c>
      <c r="AJ26" s="1">
        <v>0</v>
      </c>
      <c r="AK26" s="1">
        <v>1</v>
      </c>
      <c r="AL26" s="1">
        <v>1</v>
      </c>
      <c r="AM26" s="1">
        <v>0</v>
      </c>
      <c r="AN26" s="1">
        <v>1</v>
      </c>
      <c r="AO26" s="1">
        <v>1</v>
      </c>
      <c r="AP26" s="1">
        <v>0</v>
      </c>
      <c r="AQ26" s="1">
        <v>0</v>
      </c>
      <c r="AR26" s="1">
        <v>1</v>
      </c>
      <c r="AS26" s="1">
        <v>1</v>
      </c>
      <c r="AT26" s="1">
        <v>1</v>
      </c>
      <c r="AU26" s="1">
        <v>0</v>
      </c>
      <c r="AV26" s="1">
        <v>1</v>
      </c>
      <c r="AW26" s="1">
        <v>0</v>
      </c>
      <c r="AX26" s="1">
        <v>0</v>
      </c>
      <c r="AY26" s="1">
        <v>1</v>
      </c>
      <c r="AZ26" s="1">
        <v>1</v>
      </c>
      <c r="BA26" s="1">
        <v>1</v>
      </c>
      <c r="BB26" s="1">
        <v>0</v>
      </c>
      <c r="BC26" s="1">
        <v>1</v>
      </c>
      <c r="BD26" s="1">
        <v>1</v>
      </c>
      <c r="BE26" s="1">
        <v>1</v>
      </c>
      <c r="BF26" s="1">
        <v>1</v>
      </c>
      <c r="BG26" s="1">
        <v>1</v>
      </c>
      <c r="BH26" s="1">
        <v>1</v>
      </c>
      <c r="BI26" s="1">
        <v>0</v>
      </c>
      <c r="BJ26" s="1">
        <v>1</v>
      </c>
      <c r="BK26" s="1">
        <v>0</v>
      </c>
      <c r="BL26" s="7">
        <f t="shared" si="0"/>
        <v>34</v>
      </c>
      <c r="BM26" s="9">
        <f t="shared" si="1"/>
        <v>1156</v>
      </c>
    </row>
    <row r="27" spans="1:65" x14ac:dyDescent="0.25">
      <c r="A27" s="2">
        <v>45434.401543749998</v>
      </c>
      <c r="B27" s="3">
        <v>34</v>
      </c>
      <c r="C27" s="1" t="s">
        <v>76</v>
      </c>
      <c r="D27" s="1">
        <v>1</v>
      </c>
      <c r="E27" s="1">
        <v>1</v>
      </c>
      <c r="F27" s="1">
        <v>1</v>
      </c>
      <c r="G27" s="1">
        <v>1</v>
      </c>
      <c r="H27" s="1">
        <v>0</v>
      </c>
      <c r="I27" s="1">
        <v>1</v>
      </c>
      <c r="J27" s="1">
        <v>1</v>
      </c>
      <c r="K27" s="1">
        <v>0</v>
      </c>
      <c r="L27" s="1">
        <v>0</v>
      </c>
      <c r="M27" s="1">
        <v>1</v>
      </c>
      <c r="N27" s="1">
        <v>0</v>
      </c>
      <c r="O27" s="1">
        <v>1</v>
      </c>
      <c r="P27" s="1">
        <v>1</v>
      </c>
      <c r="Q27" s="1">
        <v>1</v>
      </c>
      <c r="R27" s="1">
        <v>0</v>
      </c>
      <c r="S27" s="1">
        <v>1</v>
      </c>
      <c r="T27" s="1">
        <v>1</v>
      </c>
      <c r="U27" s="1">
        <v>0</v>
      </c>
      <c r="V27" s="1">
        <v>0</v>
      </c>
      <c r="W27" s="1">
        <v>0</v>
      </c>
      <c r="X27" s="1">
        <v>0</v>
      </c>
      <c r="Y27" s="1">
        <v>1</v>
      </c>
      <c r="Z27" s="1">
        <v>0</v>
      </c>
      <c r="AA27" s="1">
        <v>1</v>
      </c>
      <c r="AB27" s="1">
        <v>1</v>
      </c>
      <c r="AC27" s="1">
        <v>0</v>
      </c>
      <c r="AD27" s="1">
        <v>0</v>
      </c>
      <c r="AE27" s="1">
        <v>1</v>
      </c>
      <c r="AF27" s="1">
        <v>1</v>
      </c>
      <c r="AG27" s="1">
        <v>1</v>
      </c>
      <c r="AH27" s="1">
        <v>0</v>
      </c>
      <c r="AI27" s="1">
        <v>1</v>
      </c>
      <c r="AJ27" s="1">
        <v>1</v>
      </c>
      <c r="AK27" s="1">
        <v>1</v>
      </c>
      <c r="AL27" s="1">
        <v>1</v>
      </c>
      <c r="AM27" s="1">
        <v>1</v>
      </c>
      <c r="AN27" s="1">
        <v>1</v>
      </c>
      <c r="AO27" s="1">
        <v>0</v>
      </c>
      <c r="AP27" s="1">
        <v>1</v>
      </c>
      <c r="AQ27" s="1">
        <v>1</v>
      </c>
      <c r="AR27" s="1">
        <v>0</v>
      </c>
      <c r="AS27" s="1">
        <v>1</v>
      </c>
      <c r="AT27" s="1">
        <v>1</v>
      </c>
      <c r="AU27" s="1">
        <v>0</v>
      </c>
      <c r="AV27" s="1">
        <v>0</v>
      </c>
      <c r="AW27" s="1">
        <v>0</v>
      </c>
      <c r="AX27" s="1">
        <v>0</v>
      </c>
      <c r="AY27" s="1">
        <v>1</v>
      </c>
      <c r="AZ27" s="1">
        <v>1</v>
      </c>
      <c r="BA27" s="1">
        <v>0</v>
      </c>
      <c r="BB27" s="1">
        <v>1</v>
      </c>
      <c r="BC27" s="1">
        <v>0</v>
      </c>
      <c r="BD27" s="1">
        <v>0</v>
      </c>
      <c r="BE27" s="1">
        <v>0</v>
      </c>
      <c r="BF27" s="1">
        <v>0</v>
      </c>
      <c r="BG27" s="1">
        <v>0</v>
      </c>
      <c r="BH27" s="1">
        <v>0</v>
      </c>
      <c r="BI27" s="1">
        <v>1</v>
      </c>
      <c r="BJ27" s="1">
        <v>1</v>
      </c>
      <c r="BK27" s="1">
        <v>1</v>
      </c>
      <c r="BL27" s="7">
        <f t="shared" si="0"/>
        <v>34</v>
      </c>
      <c r="BM27" s="9">
        <f t="shared" si="1"/>
        <v>1156</v>
      </c>
    </row>
    <row r="28" spans="1:65" x14ac:dyDescent="0.25">
      <c r="A28" s="2">
        <v>45434.396568310185</v>
      </c>
      <c r="B28" s="3">
        <v>33</v>
      </c>
      <c r="C28" s="1" t="s">
        <v>71</v>
      </c>
      <c r="D28" s="1">
        <v>1</v>
      </c>
      <c r="E28" s="1">
        <v>1</v>
      </c>
      <c r="F28" s="1">
        <v>1</v>
      </c>
      <c r="G28" s="1">
        <v>0</v>
      </c>
      <c r="H28" s="1">
        <v>0</v>
      </c>
      <c r="I28" s="1">
        <v>1</v>
      </c>
      <c r="J28" s="1">
        <v>0</v>
      </c>
      <c r="K28" s="1">
        <v>1</v>
      </c>
      <c r="L28" s="1">
        <v>0</v>
      </c>
      <c r="M28" s="1">
        <v>0</v>
      </c>
      <c r="N28" s="1">
        <v>1</v>
      </c>
      <c r="O28" s="1">
        <v>0</v>
      </c>
      <c r="P28" s="1">
        <v>1</v>
      </c>
      <c r="Q28" s="1">
        <v>0</v>
      </c>
      <c r="R28" s="1">
        <v>1</v>
      </c>
      <c r="S28" s="1">
        <v>1</v>
      </c>
      <c r="T28" s="1">
        <v>1</v>
      </c>
      <c r="U28" s="1">
        <v>0</v>
      </c>
      <c r="V28" s="1">
        <v>1</v>
      </c>
      <c r="W28" s="1">
        <v>1</v>
      </c>
      <c r="X28" s="1">
        <v>0</v>
      </c>
      <c r="Y28" s="1">
        <v>1</v>
      </c>
      <c r="Z28" s="1">
        <v>1</v>
      </c>
      <c r="AA28" s="1">
        <v>1</v>
      </c>
      <c r="AB28" s="1">
        <v>1</v>
      </c>
      <c r="AC28" s="1">
        <v>1</v>
      </c>
      <c r="AD28" s="1">
        <v>0</v>
      </c>
      <c r="AE28" s="1">
        <v>1</v>
      </c>
      <c r="AF28" s="1">
        <v>1</v>
      </c>
      <c r="AG28" s="1">
        <v>1</v>
      </c>
      <c r="AH28" s="1">
        <v>1</v>
      </c>
      <c r="AI28" s="1">
        <v>1</v>
      </c>
      <c r="AJ28" s="1">
        <v>1</v>
      </c>
      <c r="AK28" s="1">
        <v>1</v>
      </c>
      <c r="AL28" s="1">
        <v>1</v>
      </c>
      <c r="AM28" s="1">
        <v>1</v>
      </c>
      <c r="AN28" s="1">
        <v>1</v>
      </c>
      <c r="AO28" s="1">
        <v>0</v>
      </c>
      <c r="AP28" s="1">
        <v>0</v>
      </c>
      <c r="AQ28" s="1">
        <v>0</v>
      </c>
      <c r="AR28" s="1">
        <v>0</v>
      </c>
      <c r="AS28" s="1">
        <v>0</v>
      </c>
      <c r="AT28" s="1">
        <v>0</v>
      </c>
      <c r="AU28" s="1">
        <v>0</v>
      </c>
      <c r="AV28" s="1">
        <v>1</v>
      </c>
      <c r="AW28" s="1">
        <v>0</v>
      </c>
      <c r="AX28" s="1">
        <v>0</v>
      </c>
      <c r="AY28" s="1">
        <v>0</v>
      </c>
      <c r="AZ28" s="1">
        <v>0</v>
      </c>
      <c r="BA28" s="1">
        <v>0</v>
      </c>
      <c r="BB28" s="1">
        <v>0</v>
      </c>
      <c r="BC28" s="1">
        <v>1</v>
      </c>
      <c r="BD28" s="1">
        <v>0</v>
      </c>
      <c r="BE28" s="1">
        <v>1</v>
      </c>
      <c r="BF28" s="1">
        <v>1</v>
      </c>
      <c r="BG28" s="1">
        <v>1</v>
      </c>
      <c r="BH28" s="1">
        <v>0</v>
      </c>
      <c r="BI28" s="1">
        <v>0</v>
      </c>
      <c r="BJ28" s="1">
        <v>1</v>
      </c>
      <c r="BK28" s="1">
        <v>0</v>
      </c>
      <c r="BL28" s="7">
        <f t="shared" si="0"/>
        <v>33</v>
      </c>
      <c r="BM28" s="9">
        <f t="shared" si="1"/>
        <v>1089</v>
      </c>
    </row>
    <row r="29" spans="1:65" x14ac:dyDescent="0.25">
      <c r="A29" s="2">
        <v>45434.404815682872</v>
      </c>
      <c r="B29" s="3">
        <v>31</v>
      </c>
      <c r="C29" s="1" t="s">
        <v>82</v>
      </c>
      <c r="D29" s="1">
        <v>1</v>
      </c>
      <c r="E29" s="1">
        <v>0</v>
      </c>
      <c r="F29" s="1">
        <v>0</v>
      </c>
      <c r="G29" s="1">
        <v>0</v>
      </c>
      <c r="H29" s="1">
        <v>0</v>
      </c>
      <c r="I29" s="1">
        <v>1</v>
      </c>
      <c r="J29" s="1">
        <v>0</v>
      </c>
      <c r="K29" s="1">
        <v>1</v>
      </c>
      <c r="L29" s="1">
        <v>1</v>
      </c>
      <c r="M29" s="1">
        <v>1</v>
      </c>
      <c r="N29" s="1">
        <v>0</v>
      </c>
      <c r="O29" s="1">
        <v>1</v>
      </c>
      <c r="P29" s="1">
        <v>0</v>
      </c>
      <c r="Q29" s="1">
        <v>1</v>
      </c>
      <c r="R29" s="1">
        <v>0</v>
      </c>
      <c r="S29" s="1">
        <v>1</v>
      </c>
      <c r="T29" s="1">
        <v>1</v>
      </c>
      <c r="U29" s="1">
        <v>1</v>
      </c>
      <c r="V29" s="1">
        <v>0</v>
      </c>
      <c r="W29" s="1">
        <v>1</v>
      </c>
      <c r="X29" s="1">
        <v>1</v>
      </c>
      <c r="Y29" s="1">
        <v>1</v>
      </c>
      <c r="Z29" s="1">
        <v>0</v>
      </c>
      <c r="AA29" s="1">
        <v>0</v>
      </c>
      <c r="AB29" s="1">
        <v>1</v>
      </c>
      <c r="AC29" s="1">
        <v>0</v>
      </c>
      <c r="AD29" s="1">
        <v>0</v>
      </c>
      <c r="AE29" s="1">
        <v>1</v>
      </c>
      <c r="AF29" s="1">
        <v>1</v>
      </c>
      <c r="AG29" s="1">
        <v>0</v>
      </c>
      <c r="AH29" s="1">
        <v>1</v>
      </c>
      <c r="AI29" s="1">
        <v>0</v>
      </c>
      <c r="AJ29" s="1">
        <v>1</v>
      </c>
      <c r="AK29" s="1">
        <v>1</v>
      </c>
      <c r="AL29" s="1">
        <v>0</v>
      </c>
      <c r="AM29" s="1">
        <v>1</v>
      </c>
      <c r="AN29" s="1">
        <v>1</v>
      </c>
      <c r="AO29" s="1">
        <v>0</v>
      </c>
      <c r="AP29" s="1">
        <v>0</v>
      </c>
      <c r="AQ29" s="1">
        <v>1</v>
      </c>
      <c r="AR29" s="1">
        <v>1</v>
      </c>
      <c r="AS29" s="1">
        <v>1</v>
      </c>
      <c r="AT29" s="1">
        <v>0</v>
      </c>
      <c r="AU29" s="1">
        <v>0</v>
      </c>
      <c r="AV29" s="1">
        <v>0</v>
      </c>
      <c r="AW29" s="1">
        <v>0</v>
      </c>
      <c r="AX29" s="1">
        <v>1</v>
      </c>
      <c r="AY29" s="1">
        <v>1</v>
      </c>
      <c r="AZ29" s="1">
        <v>0</v>
      </c>
      <c r="BA29" s="1">
        <v>0</v>
      </c>
      <c r="BB29" s="1">
        <v>1</v>
      </c>
      <c r="BC29" s="1">
        <v>0</v>
      </c>
      <c r="BD29" s="1">
        <v>1</v>
      </c>
      <c r="BE29" s="1">
        <v>0</v>
      </c>
      <c r="BF29" s="1">
        <v>1</v>
      </c>
      <c r="BG29" s="1">
        <v>1</v>
      </c>
      <c r="BH29" s="1">
        <v>0</v>
      </c>
      <c r="BI29" s="1">
        <v>0</v>
      </c>
      <c r="BJ29" s="1">
        <v>1</v>
      </c>
      <c r="BK29" s="1">
        <v>0</v>
      </c>
      <c r="BL29" s="7">
        <f t="shared" si="0"/>
        <v>31</v>
      </c>
      <c r="BM29" s="9">
        <f t="shared" si="1"/>
        <v>961</v>
      </c>
    </row>
    <row r="30" spans="1:65" x14ac:dyDescent="0.25">
      <c r="A30" s="2">
        <v>45434.404964467598</v>
      </c>
      <c r="B30" s="3">
        <v>31</v>
      </c>
      <c r="C30" s="1" t="s">
        <v>83</v>
      </c>
      <c r="D30" s="1">
        <v>1</v>
      </c>
      <c r="E30" s="1">
        <v>0</v>
      </c>
      <c r="F30" s="1">
        <v>1</v>
      </c>
      <c r="G30" s="1">
        <v>0</v>
      </c>
      <c r="H30" s="1">
        <v>0</v>
      </c>
      <c r="I30" s="1">
        <v>0</v>
      </c>
      <c r="J30" s="1">
        <v>1</v>
      </c>
      <c r="K30" s="1">
        <v>1</v>
      </c>
      <c r="L30" s="1">
        <v>0</v>
      </c>
      <c r="M30" s="1">
        <v>1</v>
      </c>
      <c r="N30" s="1">
        <v>1</v>
      </c>
      <c r="O30" s="1">
        <v>1</v>
      </c>
      <c r="P30" s="1">
        <v>1</v>
      </c>
      <c r="Q30" s="1">
        <v>1</v>
      </c>
      <c r="R30" s="1">
        <v>0</v>
      </c>
      <c r="S30" s="1">
        <v>1</v>
      </c>
      <c r="T30" s="1">
        <v>1</v>
      </c>
      <c r="U30" s="1">
        <v>0</v>
      </c>
      <c r="V30" s="1">
        <v>0</v>
      </c>
      <c r="W30" s="1">
        <v>0</v>
      </c>
      <c r="X30" s="1">
        <v>0</v>
      </c>
      <c r="Y30" s="1">
        <v>1</v>
      </c>
      <c r="Z30" s="1">
        <v>1</v>
      </c>
      <c r="AA30" s="1">
        <v>0</v>
      </c>
      <c r="AB30" s="1">
        <v>1</v>
      </c>
      <c r="AC30" s="1">
        <v>0</v>
      </c>
      <c r="AD30" s="1">
        <v>0</v>
      </c>
      <c r="AE30" s="1">
        <v>1</v>
      </c>
      <c r="AF30" s="1">
        <v>1</v>
      </c>
      <c r="AG30" s="1">
        <v>1</v>
      </c>
      <c r="AH30" s="1">
        <v>1</v>
      </c>
      <c r="AI30" s="1">
        <v>1</v>
      </c>
      <c r="AJ30" s="1">
        <v>1</v>
      </c>
      <c r="AK30" s="1">
        <v>0</v>
      </c>
      <c r="AL30" s="1">
        <v>0</v>
      </c>
      <c r="AM30" s="1">
        <v>0</v>
      </c>
      <c r="AN30" s="1">
        <v>1</v>
      </c>
      <c r="AO30" s="1">
        <v>0</v>
      </c>
      <c r="AP30" s="1">
        <v>0</v>
      </c>
      <c r="AQ30" s="1">
        <v>1</v>
      </c>
      <c r="AR30" s="1">
        <v>1</v>
      </c>
      <c r="AS30" s="1">
        <v>0</v>
      </c>
      <c r="AT30" s="1">
        <v>0</v>
      </c>
      <c r="AU30" s="1">
        <v>0</v>
      </c>
      <c r="AV30" s="1">
        <v>1</v>
      </c>
      <c r="AW30" s="1">
        <v>0</v>
      </c>
      <c r="AX30" s="1">
        <v>1</v>
      </c>
      <c r="AY30" s="1">
        <v>1</v>
      </c>
      <c r="AZ30" s="1">
        <v>1</v>
      </c>
      <c r="BA30" s="1">
        <v>0</v>
      </c>
      <c r="BB30" s="1">
        <v>1</v>
      </c>
      <c r="BC30" s="1">
        <v>0</v>
      </c>
      <c r="BD30" s="1">
        <v>0</v>
      </c>
      <c r="BE30" s="1">
        <v>0</v>
      </c>
      <c r="BF30" s="1">
        <v>1</v>
      </c>
      <c r="BG30" s="1">
        <v>0</v>
      </c>
      <c r="BH30" s="1">
        <v>0</v>
      </c>
      <c r="BI30" s="1">
        <v>1</v>
      </c>
      <c r="BJ30" s="1">
        <v>1</v>
      </c>
      <c r="BK30" s="1">
        <v>0</v>
      </c>
      <c r="BL30" s="7">
        <f t="shared" si="0"/>
        <v>31</v>
      </c>
      <c r="BM30" s="9">
        <f t="shared" si="1"/>
        <v>961</v>
      </c>
    </row>
    <row r="31" spans="1:65" x14ac:dyDescent="0.25">
      <c r="A31" s="2">
        <v>45434.406166550922</v>
      </c>
      <c r="B31" s="3">
        <v>26</v>
      </c>
      <c r="C31" s="1" t="s">
        <v>85</v>
      </c>
      <c r="D31" s="1">
        <v>1</v>
      </c>
      <c r="E31" s="1">
        <v>0</v>
      </c>
      <c r="F31" s="1">
        <v>1</v>
      </c>
      <c r="G31" s="1">
        <v>0</v>
      </c>
      <c r="H31" s="1">
        <v>0</v>
      </c>
      <c r="I31" s="1">
        <v>0</v>
      </c>
      <c r="J31" s="1">
        <v>0</v>
      </c>
      <c r="K31" s="1">
        <v>0</v>
      </c>
      <c r="L31" s="1">
        <v>0</v>
      </c>
      <c r="M31" s="1">
        <v>0</v>
      </c>
      <c r="N31" s="1">
        <v>1</v>
      </c>
      <c r="O31" s="1">
        <v>0</v>
      </c>
      <c r="P31" s="1">
        <v>0</v>
      </c>
      <c r="Q31" s="1">
        <v>1</v>
      </c>
      <c r="R31" s="1">
        <v>0</v>
      </c>
      <c r="S31" s="1">
        <v>0</v>
      </c>
      <c r="T31" s="1">
        <v>1</v>
      </c>
      <c r="U31" s="1">
        <v>0</v>
      </c>
      <c r="V31" s="1">
        <v>0</v>
      </c>
      <c r="W31" s="1">
        <v>0</v>
      </c>
      <c r="X31" s="1">
        <v>0</v>
      </c>
      <c r="Y31" s="1">
        <v>0</v>
      </c>
      <c r="Z31" s="1">
        <v>0</v>
      </c>
      <c r="AA31" s="1">
        <v>0</v>
      </c>
      <c r="AB31" s="1">
        <v>0</v>
      </c>
      <c r="AC31" s="1">
        <v>0</v>
      </c>
      <c r="AD31" s="1">
        <v>0</v>
      </c>
      <c r="AE31" s="1">
        <v>1</v>
      </c>
      <c r="AF31" s="1">
        <v>1</v>
      </c>
      <c r="AG31" s="1">
        <v>0</v>
      </c>
      <c r="AH31" s="1">
        <v>0</v>
      </c>
      <c r="AI31" s="1">
        <v>1</v>
      </c>
      <c r="AJ31" s="1">
        <v>0</v>
      </c>
      <c r="AK31" s="1">
        <v>0</v>
      </c>
      <c r="AL31" s="1">
        <v>0</v>
      </c>
      <c r="AM31" s="1">
        <v>0</v>
      </c>
      <c r="AN31" s="1">
        <v>1</v>
      </c>
      <c r="AO31" s="1">
        <v>0</v>
      </c>
      <c r="AP31" s="1">
        <v>0</v>
      </c>
      <c r="AQ31" s="1">
        <v>1</v>
      </c>
      <c r="AR31" s="1">
        <v>0</v>
      </c>
      <c r="AS31" s="1">
        <v>0</v>
      </c>
      <c r="AT31" s="1">
        <v>0</v>
      </c>
      <c r="AU31" s="1">
        <v>1</v>
      </c>
      <c r="AV31" s="1">
        <v>1</v>
      </c>
      <c r="AW31" s="1">
        <v>1</v>
      </c>
      <c r="AX31" s="1">
        <v>0</v>
      </c>
      <c r="AY31" s="1">
        <v>1</v>
      </c>
      <c r="AZ31" s="1">
        <v>1</v>
      </c>
      <c r="BA31" s="1">
        <v>1</v>
      </c>
      <c r="BB31" s="1">
        <v>1</v>
      </c>
      <c r="BC31" s="1">
        <v>1</v>
      </c>
      <c r="BD31" s="1">
        <v>1</v>
      </c>
      <c r="BE31" s="1">
        <v>1</v>
      </c>
      <c r="BF31" s="1">
        <v>1</v>
      </c>
      <c r="BG31" s="1">
        <v>1</v>
      </c>
      <c r="BH31" s="1">
        <v>1</v>
      </c>
      <c r="BI31" s="1">
        <v>1</v>
      </c>
      <c r="BJ31" s="1">
        <v>1</v>
      </c>
      <c r="BK31" s="1">
        <v>1</v>
      </c>
      <c r="BL31" s="7">
        <f t="shared" si="0"/>
        <v>26</v>
      </c>
      <c r="BM31" s="9">
        <f t="shared" si="1"/>
        <v>676</v>
      </c>
    </row>
    <row r="32" spans="1:65" x14ac:dyDescent="0.25">
      <c r="A32" s="2">
        <v>45434.384032233793</v>
      </c>
      <c r="B32" s="3">
        <v>20</v>
      </c>
      <c r="C32" s="1" t="s">
        <v>60</v>
      </c>
      <c r="D32" s="1">
        <v>1</v>
      </c>
      <c r="E32" s="1">
        <v>0</v>
      </c>
      <c r="F32" s="1">
        <v>0</v>
      </c>
      <c r="G32" s="1">
        <v>0</v>
      </c>
      <c r="H32" s="1">
        <v>1</v>
      </c>
      <c r="I32" s="1">
        <v>0</v>
      </c>
      <c r="J32" s="1">
        <v>0</v>
      </c>
      <c r="K32" s="1">
        <v>0</v>
      </c>
      <c r="L32" s="1">
        <v>1</v>
      </c>
      <c r="M32" s="1">
        <v>1</v>
      </c>
      <c r="N32" s="1">
        <v>0</v>
      </c>
      <c r="O32" s="1">
        <v>0</v>
      </c>
      <c r="P32" s="1">
        <v>0</v>
      </c>
      <c r="Q32" s="1">
        <v>0</v>
      </c>
      <c r="R32" s="1">
        <v>1</v>
      </c>
      <c r="S32" s="1">
        <v>1</v>
      </c>
      <c r="T32" s="1">
        <v>1</v>
      </c>
      <c r="U32" s="1">
        <v>1</v>
      </c>
      <c r="V32" s="1">
        <v>0</v>
      </c>
      <c r="W32" s="1">
        <v>0</v>
      </c>
      <c r="X32" s="1">
        <v>0</v>
      </c>
      <c r="Y32" s="1">
        <v>0</v>
      </c>
      <c r="Z32" s="1">
        <v>1</v>
      </c>
      <c r="AA32" s="1">
        <v>1</v>
      </c>
      <c r="AB32" s="1">
        <v>1</v>
      </c>
      <c r="AC32" s="1">
        <v>0</v>
      </c>
      <c r="AD32" s="1">
        <v>0</v>
      </c>
      <c r="AE32" s="1">
        <v>1</v>
      </c>
      <c r="AF32" s="1">
        <v>0</v>
      </c>
      <c r="AG32" s="1">
        <v>0</v>
      </c>
      <c r="AH32" s="1">
        <v>0</v>
      </c>
      <c r="AI32" s="1">
        <v>1</v>
      </c>
      <c r="AJ32" s="1">
        <v>0</v>
      </c>
      <c r="AK32" s="1">
        <v>0</v>
      </c>
      <c r="AL32" s="1">
        <v>0</v>
      </c>
      <c r="AM32" s="1">
        <v>0</v>
      </c>
      <c r="AN32" s="1">
        <v>1</v>
      </c>
      <c r="AO32" s="1">
        <v>0</v>
      </c>
      <c r="AP32" s="1">
        <v>0</v>
      </c>
      <c r="AQ32" s="1">
        <v>1</v>
      </c>
      <c r="AR32" s="1">
        <v>0</v>
      </c>
      <c r="AS32" s="1">
        <v>0</v>
      </c>
      <c r="AT32" s="1">
        <v>0</v>
      </c>
      <c r="AU32" s="1">
        <v>0</v>
      </c>
      <c r="AV32" s="1">
        <v>1</v>
      </c>
      <c r="AW32" s="1">
        <v>0</v>
      </c>
      <c r="AX32" s="1">
        <v>0</v>
      </c>
      <c r="AY32" s="1">
        <v>0</v>
      </c>
      <c r="AZ32" s="1">
        <v>0</v>
      </c>
      <c r="BA32" s="1">
        <v>0</v>
      </c>
      <c r="BB32" s="1">
        <v>1</v>
      </c>
      <c r="BC32" s="1">
        <v>1</v>
      </c>
      <c r="BD32" s="1">
        <v>0</v>
      </c>
      <c r="BE32" s="1">
        <v>0</v>
      </c>
      <c r="BF32" s="1">
        <v>0</v>
      </c>
      <c r="BG32" s="1">
        <v>0</v>
      </c>
      <c r="BH32" s="1">
        <v>1</v>
      </c>
      <c r="BI32" s="1">
        <v>0</v>
      </c>
      <c r="BJ32" s="1">
        <v>0</v>
      </c>
      <c r="BK32" s="1">
        <v>1</v>
      </c>
      <c r="BL32" s="7">
        <f t="shared" si="0"/>
        <v>20</v>
      </c>
      <c r="BM32" s="9">
        <f t="shared" si="1"/>
        <v>400</v>
      </c>
    </row>
  </sheetData>
  <sortState xmlns:xlrd2="http://schemas.microsoft.com/office/spreadsheetml/2017/richdata2" ref="A1:BM32">
    <sortCondition descending="1" ref="B1:B3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7AC1-3C61-4EB0-B4EC-4F19C91858DD}">
  <dimension ref="A2:BL29"/>
  <sheetViews>
    <sheetView zoomScale="78" zoomScaleNormal="78" workbookViewId="0">
      <selection activeCell="D23" sqref="D23"/>
    </sheetView>
  </sheetViews>
  <sheetFormatPr defaultRowHeight="13.2" x14ac:dyDescent="0.25"/>
  <cols>
    <col min="2" max="2" width="31.77734375" customWidth="1"/>
  </cols>
  <sheetData>
    <row r="2" spans="1:64" x14ac:dyDescent="0.25">
      <c r="A2" s="3">
        <v>60</v>
      </c>
      <c r="B2" s="1" t="s">
        <v>88</v>
      </c>
      <c r="C2" s="1">
        <v>1</v>
      </c>
      <c r="D2" s="1">
        <v>1</v>
      </c>
      <c r="E2" s="1">
        <v>1</v>
      </c>
      <c r="F2" s="1">
        <v>1</v>
      </c>
      <c r="G2" s="1">
        <v>1</v>
      </c>
      <c r="H2" s="1">
        <v>1</v>
      </c>
      <c r="I2" s="1">
        <v>1</v>
      </c>
      <c r="J2" s="1">
        <v>1</v>
      </c>
      <c r="K2" s="1">
        <v>1</v>
      </c>
      <c r="L2" s="1">
        <v>1</v>
      </c>
      <c r="M2" s="1">
        <v>1</v>
      </c>
      <c r="N2" s="1">
        <v>1</v>
      </c>
      <c r="O2" s="1">
        <v>1</v>
      </c>
      <c r="P2" s="1">
        <v>1</v>
      </c>
      <c r="Q2" s="1">
        <v>1</v>
      </c>
      <c r="R2" s="1">
        <v>1</v>
      </c>
      <c r="S2" s="1">
        <v>1</v>
      </c>
      <c r="T2" s="1">
        <v>1</v>
      </c>
      <c r="U2" s="1">
        <v>1</v>
      </c>
      <c r="V2" s="1">
        <v>1</v>
      </c>
      <c r="W2" s="1">
        <v>1</v>
      </c>
      <c r="X2" s="1">
        <v>1</v>
      </c>
      <c r="Y2" s="1">
        <v>1</v>
      </c>
      <c r="Z2" s="1">
        <v>1</v>
      </c>
      <c r="AA2" s="1">
        <v>1</v>
      </c>
      <c r="AB2" s="1">
        <v>1</v>
      </c>
      <c r="AC2" s="1">
        <v>1</v>
      </c>
      <c r="AD2" s="1">
        <v>1</v>
      </c>
      <c r="AE2" s="1">
        <v>1</v>
      </c>
      <c r="AF2" s="1">
        <v>1</v>
      </c>
      <c r="AG2" s="1">
        <v>1</v>
      </c>
      <c r="AH2" s="1">
        <v>1</v>
      </c>
      <c r="AI2" s="1">
        <v>1</v>
      </c>
      <c r="AJ2" s="1">
        <v>1</v>
      </c>
      <c r="AK2" s="1">
        <v>1</v>
      </c>
      <c r="AL2" s="1">
        <v>1</v>
      </c>
      <c r="AM2" s="1">
        <v>1</v>
      </c>
      <c r="AN2" s="1">
        <v>1</v>
      </c>
      <c r="AO2" s="1">
        <v>1</v>
      </c>
      <c r="AP2" s="1">
        <v>1</v>
      </c>
      <c r="AQ2" s="1">
        <v>1</v>
      </c>
      <c r="AR2" s="1">
        <v>1</v>
      </c>
      <c r="AS2" s="1">
        <v>1</v>
      </c>
      <c r="AT2" s="1">
        <v>1</v>
      </c>
      <c r="AU2" s="1">
        <v>1</v>
      </c>
      <c r="AV2" s="1">
        <v>1</v>
      </c>
      <c r="AW2" s="1">
        <v>1</v>
      </c>
      <c r="AX2" s="1">
        <v>1</v>
      </c>
      <c r="AY2" s="1">
        <v>1</v>
      </c>
      <c r="AZ2" s="1">
        <v>1</v>
      </c>
      <c r="BA2" s="1">
        <v>1</v>
      </c>
      <c r="BB2" s="1">
        <v>1</v>
      </c>
      <c r="BC2" s="1">
        <v>1</v>
      </c>
      <c r="BD2" s="1">
        <v>1</v>
      </c>
      <c r="BE2" s="1">
        <v>1</v>
      </c>
      <c r="BF2" s="1">
        <v>1</v>
      </c>
      <c r="BG2" s="1">
        <v>1</v>
      </c>
      <c r="BH2" s="1">
        <v>1</v>
      </c>
      <c r="BI2" s="1">
        <v>1</v>
      </c>
      <c r="BJ2" s="1">
        <v>1</v>
      </c>
      <c r="BK2" s="7">
        <f t="shared" ref="BK2:BK9" si="0">SUM(C2:BJ2)</f>
        <v>60</v>
      </c>
      <c r="BL2" s="9">
        <f t="shared" ref="BL2:BL9" si="1">BK2*BK2</f>
        <v>3600</v>
      </c>
    </row>
    <row r="3" spans="1:64" x14ac:dyDescent="0.25">
      <c r="A3" s="3">
        <v>59</v>
      </c>
      <c r="B3" s="1" t="s">
        <v>79</v>
      </c>
      <c r="C3" s="1">
        <v>1</v>
      </c>
      <c r="D3" s="1">
        <v>1</v>
      </c>
      <c r="E3" s="1">
        <v>1</v>
      </c>
      <c r="F3" s="1">
        <v>1</v>
      </c>
      <c r="G3" s="1">
        <v>1</v>
      </c>
      <c r="H3" s="1">
        <v>1</v>
      </c>
      <c r="I3" s="1">
        <v>1</v>
      </c>
      <c r="J3" s="1">
        <v>1</v>
      </c>
      <c r="K3" s="1">
        <v>1</v>
      </c>
      <c r="L3" s="1">
        <v>1</v>
      </c>
      <c r="M3" s="1">
        <v>1</v>
      </c>
      <c r="N3" s="1">
        <v>1</v>
      </c>
      <c r="O3" s="1">
        <v>1</v>
      </c>
      <c r="P3" s="1">
        <v>1</v>
      </c>
      <c r="Q3" s="1">
        <v>1</v>
      </c>
      <c r="R3" s="1">
        <v>1</v>
      </c>
      <c r="S3" s="1">
        <v>1</v>
      </c>
      <c r="T3" s="1">
        <v>1</v>
      </c>
      <c r="U3" s="1">
        <v>1</v>
      </c>
      <c r="V3" s="1">
        <v>1</v>
      </c>
      <c r="W3" s="1">
        <v>1</v>
      </c>
      <c r="X3" s="1">
        <v>1</v>
      </c>
      <c r="Y3" s="1">
        <v>1</v>
      </c>
      <c r="Z3" s="1">
        <v>1</v>
      </c>
      <c r="AA3" s="1">
        <v>1</v>
      </c>
      <c r="AB3" s="1">
        <v>1</v>
      </c>
      <c r="AC3" s="1">
        <v>1</v>
      </c>
      <c r="AD3" s="1">
        <v>1</v>
      </c>
      <c r="AE3" s="1">
        <v>1</v>
      </c>
      <c r="AF3" s="1">
        <v>1</v>
      </c>
      <c r="AG3" s="1">
        <v>1</v>
      </c>
      <c r="AH3" s="1">
        <v>0</v>
      </c>
      <c r="AI3" s="1">
        <v>1</v>
      </c>
      <c r="AJ3" s="1">
        <v>1</v>
      </c>
      <c r="AK3" s="1">
        <v>1</v>
      </c>
      <c r="AL3" s="1">
        <v>1</v>
      </c>
      <c r="AM3" s="1">
        <v>1</v>
      </c>
      <c r="AN3" s="1">
        <v>1</v>
      </c>
      <c r="AO3" s="1">
        <v>1</v>
      </c>
      <c r="AP3" s="1">
        <v>1</v>
      </c>
      <c r="AQ3" s="1">
        <v>1</v>
      </c>
      <c r="AR3" s="1">
        <v>1</v>
      </c>
      <c r="AS3" s="1">
        <v>1</v>
      </c>
      <c r="AT3" s="1">
        <v>1</v>
      </c>
      <c r="AU3" s="1">
        <v>1</v>
      </c>
      <c r="AV3" s="1">
        <v>1</v>
      </c>
      <c r="AW3" s="1">
        <v>1</v>
      </c>
      <c r="AX3" s="1">
        <v>1</v>
      </c>
      <c r="AY3" s="1">
        <v>1</v>
      </c>
      <c r="AZ3" s="1">
        <v>1</v>
      </c>
      <c r="BA3" s="1">
        <v>1</v>
      </c>
      <c r="BB3" s="1">
        <v>1</v>
      </c>
      <c r="BC3" s="1">
        <v>1</v>
      </c>
      <c r="BD3" s="1">
        <v>1</v>
      </c>
      <c r="BE3" s="1">
        <v>1</v>
      </c>
      <c r="BF3" s="1">
        <v>1</v>
      </c>
      <c r="BG3" s="1">
        <v>1</v>
      </c>
      <c r="BH3" s="1">
        <v>1</v>
      </c>
      <c r="BI3" s="1">
        <v>1</v>
      </c>
      <c r="BJ3" s="1">
        <v>1</v>
      </c>
      <c r="BK3" s="7">
        <f t="shared" si="0"/>
        <v>59</v>
      </c>
      <c r="BL3" s="9">
        <f t="shared" si="1"/>
        <v>3481</v>
      </c>
    </row>
    <row r="4" spans="1:64" x14ac:dyDescent="0.25">
      <c r="A4" s="3">
        <v>59</v>
      </c>
      <c r="B4" s="1" t="s">
        <v>89</v>
      </c>
      <c r="C4" s="1">
        <v>1</v>
      </c>
      <c r="D4" s="1">
        <v>1</v>
      </c>
      <c r="E4" s="1">
        <v>1</v>
      </c>
      <c r="F4" s="1">
        <v>1</v>
      </c>
      <c r="G4" s="1">
        <v>1</v>
      </c>
      <c r="H4" s="1">
        <v>1</v>
      </c>
      <c r="I4" s="1">
        <v>1</v>
      </c>
      <c r="J4" s="1">
        <v>1</v>
      </c>
      <c r="K4" s="1">
        <v>1</v>
      </c>
      <c r="L4" s="1">
        <v>1</v>
      </c>
      <c r="M4" s="1">
        <v>1</v>
      </c>
      <c r="N4" s="1">
        <v>1</v>
      </c>
      <c r="O4" s="1">
        <v>1</v>
      </c>
      <c r="P4" s="1">
        <v>1</v>
      </c>
      <c r="Q4" s="1">
        <v>1</v>
      </c>
      <c r="R4" s="1">
        <v>1</v>
      </c>
      <c r="S4" s="1">
        <v>1</v>
      </c>
      <c r="T4" s="1">
        <v>1</v>
      </c>
      <c r="U4" s="1">
        <v>1</v>
      </c>
      <c r="V4" s="1">
        <v>1</v>
      </c>
      <c r="W4" s="1">
        <v>0</v>
      </c>
      <c r="X4" s="1">
        <v>1</v>
      </c>
      <c r="Y4" s="1">
        <v>1</v>
      </c>
      <c r="Z4" s="1">
        <v>1</v>
      </c>
      <c r="AA4" s="1">
        <v>1</v>
      </c>
      <c r="AB4" s="1">
        <v>1</v>
      </c>
      <c r="AC4" s="1">
        <v>1</v>
      </c>
      <c r="AD4" s="1">
        <v>1</v>
      </c>
      <c r="AE4" s="1">
        <v>1</v>
      </c>
      <c r="AF4" s="1">
        <v>1</v>
      </c>
      <c r="AG4" s="1">
        <v>1</v>
      </c>
      <c r="AH4" s="1">
        <v>1</v>
      </c>
      <c r="AI4" s="1">
        <v>1</v>
      </c>
      <c r="AJ4" s="1">
        <v>1</v>
      </c>
      <c r="AK4" s="1">
        <v>1</v>
      </c>
      <c r="AL4" s="1">
        <v>1</v>
      </c>
      <c r="AM4" s="1">
        <v>1</v>
      </c>
      <c r="AN4" s="1">
        <v>1</v>
      </c>
      <c r="AO4" s="1">
        <v>1</v>
      </c>
      <c r="AP4" s="1">
        <v>1</v>
      </c>
      <c r="AQ4" s="1">
        <v>1</v>
      </c>
      <c r="AR4" s="1">
        <v>1</v>
      </c>
      <c r="AS4" s="1">
        <v>1</v>
      </c>
      <c r="AT4" s="1">
        <v>1</v>
      </c>
      <c r="AU4" s="1">
        <v>1</v>
      </c>
      <c r="AV4" s="1">
        <v>1</v>
      </c>
      <c r="AW4" s="1">
        <v>1</v>
      </c>
      <c r="AX4" s="1">
        <v>1</v>
      </c>
      <c r="AY4" s="1">
        <v>1</v>
      </c>
      <c r="AZ4" s="1">
        <v>1</v>
      </c>
      <c r="BA4" s="1">
        <v>1</v>
      </c>
      <c r="BB4" s="1">
        <v>1</v>
      </c>
      <c r="BC4" s="1">
        <v>1</v>
      </c>
      <c r="BD4" s="1">
        <v>1</v>
      </c>
      <c r="BE4" s="1">
        <v>1</v>
      </c>
      <c r="BF4" s="1">
        <v>1</v>
      </c>
      <c r="BG4" s="1">
        <v>1</v>
      </c>
      <c r="BH4" s="1">
        <v>1</v>
      </c>
      <c r="BI4" s="1">
        <v>1</v>
      </c>
      <c r="BJ4" s="1">
        <v>1</v>
      </c>
      <c r="BK4" s="7">
        <f t="shared" si="0"/>
        <v>59</v>
      </c>
      <c r="BL4" s="9">
        <f t="shared" si="1"/>
        <v>3481</v>
      </c>
    </row>
    <row r="5" spans="1:64" x14ac:dyDescent="0.25">
      <c r="A5" s="3">
        <v>56</v>
      </c>
      <c r="B5" s="1" t="s">
        <v>80</v>
      </c>
      <c r="C5" s="1">
        <v>1</v>
      </c>
      <c r="D5" s="1">
        <v>0</v>
      </c>
      <c r="E5" s="1">
        <v>1</v>
      </c>
      <c r="F5" s="1">
        <v>0</v>
      </c>
      <c r="G5" s="1">
        <v>1</v>
      </c>
      <c r="H5" s="1">
        <v>1</v>
      </c>
      <c r="I5" s="1">
        <v>1</v>
      </c>
      <c r="J5" s="1">
        <v>1</v>
      </c>
      <c r="K5" s="1">
        <v>1</v>
      </c>
      <c r="L5" s="1">
        <v>1</v>
      </c>
      <c r="M5" s="1">
        <v>1</v>
      </c>
      <c r="N5" s="1">
        <v>1</v>
      </c>
      <c r="O5" s="1">
        <v>1</v>
      </c>
      <c r="P5" s="1">
        <v>0</v>
      </c>
      <c r="Q5" s="1">
        <v>1</v>
      </c>
      <c r="R5" s="1">
        <v>1</v>
      </c>
      <c r="S5" s="1">
        <v>1</v>
      </c>
      <c r="T5" s="1">
        <v>1</v>
      </c>
      <c r="U5" s="1">
        <v>1</v>
      </c>
      <c r="V5" s="1">
        <v>1</v>
      </c>
      <c r="W5" s="1">
        <v>1</v>
      </c>
      <c r="X5" s="1">
        <v>1</v>
      </c>
      <c r="Y5" s="1">
        <v>0</v>
      </c>
      <c r="Z5" s="1">
        <v>1</v>
      </c>
      <c r="AA5" s="1">
        <v>1</v>
      </c>
      <c r="AB5" s="1">
        <v>1</v>
      </c>
      <c r="AC5" s="1">
        <v>1</v>
      </c>
      <c r="AD5" s="1">
        <v>1</v>
      </c>
      <c r="AE5" s="1">
        <v>1</v>
      </c>
      <c r="AF5" s="1">
        <v>1</v>
      </c>
      <c r="AG5" s="1">
        <v>1</v>
      </c>
      <c r="AH5" s="1">
        <v>1</v>
      </c>
      <c r="AI5" s="1">
        <v>1</v>
      </c>
      <c r="AJ5" s="1">
        <v>1</v>
      </c>
      <c r="AK5" s="1">
        <v>1</v>
      </c>
      <c r="AL5" s="1">
        <v>1</v>
      </c>
      <c r="AM5" s="1">
        <v>1</v>
      </c>
      <c r="AN5" s="1">
        <v>1</v>
      </c>
      <c r="AO5" s="1">
        <v>1</v>
      </c>
      <c r="AP5" s="1">
        <v>1</v>
      </c>
      <c r="AQ5" s="1">
        <v>1</v>
      </c>
      <c r="AR5" s="1">
        <v>1</v>
      </c>
      <c r="AS5" s="1">
        <v>1</v>
      </c>
      <c r="AT5" s="1">
        <v>1</v>
      </c>
      <c r="AU5" s="1">
        <v>1</v>
      </c>
      <c r="AV5" s="1">
        <v>1</v>
      </c>
      <c r="AW5" s="1">
        <v>1</v>
      </c>
      <c r="AX5" s="1">
        <v>1</v>
      </c>
      <c r="AY5" s="1">
        <v>1</v>
      </c>
      <c r="AZ5" s="1">
        <v>1</v>
      </c>
      <c r="BA5" s="1">
        <v>1</v>
      </c>
      <c r="BB5" s="1">
        <v>1</v>
      </c>
      <c r="BC5" s="1">
        <v>1</v>
      </c>
      <c r="BD5" s="1">
        <v>1</v>
      </c>
      <c r="BE5" s="1">
        <v>1</v>
      </c>
      <c r="BF5" s="1">
        <v>1</v>
      </c>
      <c r="BG5" s="1">
        <v>1</v>
      </c>
      <c r="BH5" s="1">
        <v>1</v>
      </c>
      <c r="BI5" s="1">
        <v>1</v>
      </c>
      <c r="BJ5" s="1">
        <v>1</v>
      </c>
      <c r="BK5" s="7">
        <f t="shared" si="0"/>
        <v>56</v>
      </c>
      <c r="BL5" s="9">
        <f t="shared" si="1"/>
        <v>3136</v>
      </c>
    </row>
    <row r="6" spans="1:64" x14ac:dyDescent="0.25">
      <c r="A6" s="3">
        <v>55</v>
      </c>
      <c r="B6" s="1" t="s">
        <v>91</v>
      </c>
      <c r="C6" s="1">
        <v>1</v>
      </c>
      <c r="D6" s="1">
        <v>1</v>
      </c>
      <c r="E6" s="1">
        <v>1</v>
      </c>
      <c r="F6" s="1">
        <v>1</v>
      </c>
      <c r="G6" s="1">
        <v>1</v>
      </c>
      <c r="H6" s="1">
        <v>1</v>
      </c>
      <c r="I6" s="1">
        <v>1</v>
      </c>
      <c r="J6" s="1">
        <v>0</v>
      </c>
      <c r="K6" s="1">
        <v>1</v>
      </c>
      <c r="L6" s="1">
        <v>1</v>
      </c>
      <c r="M6" s="1">
        <v>1</v>
      </c>
      <c r="N6" s="1">
        <v>1</v>
      </c>
      <c r="O6" s="1">
        <v>1</v>
      </c>
      <c r="P6" s="1">
        <v>1</v>
      </c>
      <c r="Q6" s="1">
        <v>1</v>
      </c>
      <c r="R6" s="1">
        <v>1</v>
      </c>
      <c r="S6" s="1">
        <v>1</v>
      </c>
      <c r="T6" s="1">
        <v>1</v>
      </c>
      <c r="U6" s="1">
        <v>1</v>
      </c>
      <c r="V6" s="1">
        <v>0</v>
      </c>
      <c r="W6" s="1">
        <v>1</v>
      </c>
      <c r="X6" s="1">
        <v>1</v>
      </c>
      <c r="Y6" s="1">
        <v>1</v>
      </c>
      <c r="Z6" s="1">
        <v>1</v>
      </c>
      <c r="AA6" s="1">
        <v>1</v>
      </c>
      <c r="AB6" s="1">
        <v>1</v>
      </c>
      <c r="AC6" s="1">
        <v>1</v>
      </c>
      <c r="AD6" s="1">
        <v>1</v>
      </c>
      <c r="AE6" s="1">
        <v>1</v>
      </c>
      <c r="AF6" s="1">
        <v>1</v>
      </c>
      <c r="AG6" s="1">
        <v>1</v>
      </c>
      <c r="AH6" s="1">
        <v>1</v>
      </c>
      <c r="AI6" s="1">
        <v>1</v>
      </c>
      <c r="AJ6" s="1">
        <v>1</v>
      </c>
      <c r="AK6" s="1">
        <v>1</v>
      </c>
      <c r="AL6" s="1">
        <v>1</v>
      </c>
      <c r="AM6" s="1">
        <v>1</v>
      </c>
      <c r="AN6" s="1">
        <v>1</v>
      </c>
      <c r="AO6" s="1">
        <v>0</v>
      </c>
      <c r="AP6" s="1">
        <v>1</v>
      </c>
      <c r="AQ6" s="1">
        <v>1</v>
      </c>
      <c r="AR6" s="1">
        <v>1</v>
      </c>
      <c r="AS6" s="1">
        <v>1</v>
      </c>
      <c r="AT6" s="1">
        <v>0</v>
      </c>
      <c r="AU6" s="1">
        <v>1</v>
      </c>
      <c r="AV6" s="1">
        <v>0</v>
      </c>
      <c r="AW6" s="1">
        <v>1</v>
      </c>
      <c r="AX6" s="1">
        <v>1</v>
      </c>
      <c r="AY6" s="1">
        <v>1</v>
      </c>
      <c r="AZ6" s="1">
        <v>1</v>
      </c>
      <c r="BA6" s="1">
        <v>1</v>
      </c>
      <c r="BB6" s="1">
        <v>1</v>
      </c>
      <c r="BC6" s="1">
        <v>1</v>
      </c>
      <c r="BD6" s="1">
        <v>1</v>
      </c>
      <c r="BE6" s="1">
        <v>1</v>
      </c>
      <c r="BF6" s="1">
        <v>1</v>
      </c>
      <c r="BG6" s="1">
        <v>1</v>
      </c>
      <c r="BH6" s="1">
        <v>1</v>
      </c>
      <c r="BI6" s="1">
        <v>1</v>
      </c>
      <c r="BJ6" s="1">
        <v>1</v>
      </c>
      <c r="BK6" s="7">
        <f t="shared" si="0"/>
        <v>55</v>
      </c>
      <c r="BL6" s="9">
        <f t="shared" si="1"/>
        <v>3025</v>
      </c>
    </row>
    <row r="7" spans="1:64" x14ac:dyDescent="0.25">
      <c r="A7" s="3">
        <v>53</v>
      </c>
      <c r="B7" s="1" t="s">
        <v>65</v>
      </c>
      <c r="C7" s="1">
        <v>1</v>
      </c>
      <c r="D7" s="1">
        <v>1</v>
      </c>
      <c r="E7" s="1">
        <v>0</v>
      </c>
      <c r="F7" s="1">
        <v>1</v>
      </c>
      <c r="G7" s="1">
        <v>1</v>
      </c>
      <c r="H7" s="1">
        <v>1</v>
      </c>
      <c r="I7" s="1">
        <v>1</v>
      </c>
      <c r="J7" s="1">
        <v>1</v>
      </c>
      <c r="K7" s="1">
        <v>1</v>
      </c>
      <c r="L7" s="1">
        <v>1</v>
      </c>
      <c r="M7" s="1">
        <v>1</v>
      </c>
      <c r="N7" s="1">
        <v>1</v>
      </c>
      <c r="O7" s="1">
        <v>1</v>
      </c>
      <c r="P7" s="1">
        <v>1</v>
      </c>
      <c r="Q7" s="1">
        <v>1</v>
      </c>
      <c r="R7" s="1">
        <v>1</v>
      </c>
      <c r="S7" s="1">
        <v>1</v>
      </c>
      <c r="T7" s="1">
        <v>1</v>
      </c>
      <c r="U7" s="1">
        <v>1</v>
      </c>
      <c r="V7" s="1">
        <v>1</v>
      </c>
      <c r="W7" s="1">
        <v>1</v>
      </c>
      <c r="X7" s="1">
        <v>0</v>
      </c>
      <c r="Y7" s="1">
        <v>1</v>
      </c>
      <c r="Z7" s="1">
        <v>1</v>
      </c>
      <c r="AA7" s="1">
        <v>1</v>
      </c>
      <c r="AB7" s="1">
        <v>1</v>
      </c>
      <c r="AC7" s="1">
        <v>0</v>
      </c>
      <c r="AD7" s="1">
        <v>1</v>
      </c>
      <c r="AE7" s="1">
        <v>1</v>
      </c>
      <c r="AF7" s="1">
        <v>1</v>
      </c>
      <c r="AG7" s="1">
        <v>1</v>
      </c>
      <c r="AH7" s="1">
        <v>1</v>
      </c>
      <c r="AI7" s="1">
        <v>1</v>
      </c>
      <c r="AJ7" s="1">
        <v>1</v>
      </c>
      <c r="AK7" s="1">
        <v>1</v>
      </c>
      <c r="AL7" s="1">
        <v>0</v>
      </c>
      <c r="AM7" s="1">
        <v>1</v>
      </c>
      <c r="AN7" s="1">
        <v>0</v>
      </c>
      <c r="AO7" s="1">
        <v>1</v>
      </c>
      <c r="AP7" s="1">
        <v>1</v>
      </c>
      <c r="AQ7" s="1">
        <v>1</v>
      </c>
      <c r="AR7" s="1">
        <v>1</v>
      </c>
      <c r="AS7" s="1">
        <v>1</v>
      </c>
      <c r="AT7" s="1">
        <v>1</v>
      </c>
      <c r="AU7" s="1">
        <v>1</v>
      </c>
      <c r="AV7" s="1">
        <v>1</v>
      </c>
      <c r="AW7" s="1">
        <v>1</v>
      </c>
      <c r="AX7" s="1">
        <v>1</v>
      </c>
      <c r="AY7" s="1">
        <v>1</v>
      </c>
      <c r="AZ7" s="1">
        <v>1</v>
      </c>
      <c r="BA7" s="1">
        <v>1</v>
      </c>
      <c r="BB7" s="1">
        <v>0</v>
      </c>
      <c r="BC7" s="1">
        <v>1</v>
      </c>
      <c r="BD7" s="1">
        <v>1</v>
      </c>
      <c r="BE7" s="1">
        <v>1</v>
      </c>
      <c r="BF7" s="1">
        <v>1</v>
      </c>
      <c r="BG7" s="1">
        <v>1</v>
      </c>
      <c r="BH7" s="1">
        <v>0</v>
      </c>
      <c r="BI7" s="1">
        <v>1</v>
      </c>
      <c r="BJ7" s="1">
        <v>1</v>
      </c>
      <c r="BK7" s="7">
        <f t="shared" si="0"/>
        <v>53</v>
      </c>
      <c r="BL7" s="9">
        <f t="shared" si="1"/>
        <v>2809</v>
      </c>
    </row>
    <row r="8" spans="1:64" x14ac:dyDescent="0.25">
      <c r="A8" s="3">
        <v>53</v>
      </c>
      <c r="B8" s="1" t="s">
        <v>69</v>
      </c>
      <c r="C8" s="1">
        <v>1</v>
      </c>
      <c r="D8" s="1">
        <v>1</v>
      </c>
      <c r="E8" s="1">
        <v>1</v>
      </c>
      <c r="F8" s="1">
        <v>1</v>
      </c>
      <c r="G8" s="1">
        <v>1</v>
      </c>
      <c r="H8" s="1">
        <v>1</v>
      </c>
      <c r="I8" s="1">
        <v>1</v>
      </c>
      <c r="J8" s="1">
        <v>1</v>
      </c>
      <c r="K8" s="1">
        <v>0</v>
      </c>
      <c r="L8" s="1">
        <v>1</v>
      </c>
      <c r="M8" s="1">
        <v>1</v>
      </c>
      <c r="N8" s="1">
        <v>1</v>
      </c>
      <c r="O8" s="1">
        <v>1</v>
      </c>
      <c r="P8" s="1">
        <v>1</v>
      </c>
      <c r="Q8" s="1">
        <v>1</v>
      </c>
      <c r="R8" s="1">
        <v>1</v>
      </c>
      <c r="S8" s="1">
        <v>1</v>
      </c>
      <c r="T8" s="1">
        <v>0</v>
      </c>
      <c r="U8" s="1">
        <v>1</v>
      </c>
      <c r="V8" s="1">
        <v>0</v>
      </c>
      <c r="W8" s="1">
        <v>1</v>
      </c>
      <c r="X8" s="1">
        <v>1</v>
      </c>
      <c r="Y8" s="1">
        <v>1</v>
      </c>
      <c r="Z8" s="1">
        <v>1</v>
      </c>
      <c r="AA8" s="1">
        <v>1</v>
      </c>
      <c r="AB8" s="1">
        <v>1</v>
      </c>
      <c r="AC8" s="1">
        <v>0</v>
      </c>
      <c r="AD8" s="1">
        <v>1</v>
      </c>
      <c r="AE8" s="1">
        <v>1</v>
      </c>
      <c r="AF8" s="1">
        <v>1</v>
      </c>
      <c r="AG8" s="1">
        <v>1</v>
      </c>
      <c r="AH8" s="1">
        <v>1</v>
      </c>
      <c r="AI8" s="1">
        <v>1</v>
      </c>
      <c r="AJ8" s="1">
        <v>1</v>
      </c>
      <c r="AK8" s="1">
        <v>1</v>
      </c>
      <c r="AL8" s="1">
        <v>1</v>
      </c>
      <c r="AM8" s="1">
        <v>1</v>
      </c>
      <c r="AN8" s="1">
        <v>1</v>
      </c>
      <c r="AO8" s="1">
        <v>1</v>
      </c>
      <c r="AP8" s="1">
        <v>1</v>
      </c>
      <c r="AQ8" s="1">
        <v>1</v>
      </c>
      <c r="AR8" s="1">
        <v>0</v>
      </c>
      <c r="AS8" s="1">
        <v>1</v>
      </c>
      <c r="AT8" s="1">
        <v>1</v>
      </c>
      <c r="AU8" s="1">
        <v>0</v>
      </c>
      <c r="AV8" s="1">
        <v>1</v>
      </c>
      <c r="AW8" s="1">
        <v>1</v>
      </c>
      <c r="AX8" s="1">
        <v>1</v>
      </c>
      <c r="AY8" s="1">
        <v>1</v>
      </c>
      <c r="AZ8" s="1">
        <v>1</v>
      </c>
      <c r="BA8" s="1">
        <v>1</v>
      </c>
      <c r="BB8" s="1">
        <v>1</v>
      </c>
      <c r="BC8" s="1">
        <v>1</v>
      </c>
      <c r="BD8" s="1">
        <v>1</v>
      </c>
      <c r="BE8" s="1">
        <v>1</v>
      </c>
      <c r="BF8" s="1">
        <v>1</v>
      </c>
      <c r="BG8" s="1">
        <v>1</v>
      </c>
      <c r="BH8" s="1">
        <v>0</v>
      </c>
      <c r="BI8" s="1">
        <v>1</v>
      </c>
      <c r="BJ8" s="1">
        <v>1</v>
      </c>
      <c r="BK8" s="7">
        <f t="shared" si="0"/>
        <v>53</v>
      </c>
      <c r="BL8" s="9">
        <f t="shared" si="1"/>
        <v>2809</v>
      </c>
    </row>
    <row r="9" spans="1:64" x14ac:dyDescent="0.25">
      <c r="A9" s="3">
        <v>53</v>
      </c>
      <c r="B9" s="1" t="s">
        <v>81</v>
      </c>
      <c r="C9" s="1">
        <v>1</v>
      </c>
      <c r="D9" s="1">
        <v>1</v>
      </c>
      <c r="E9" s="1">
        <v>1</v>
      </c>
      <c r="F9" s="1">
        <v>1</v>
      </c>
      <c r="G9" s="1">
        <v>1</v>
      </c>
      <c r="H9" s="1">
        <v>1</v>
      </c>
      <c r="I9" s="1">
        <v>1</v>
      </c>
      <c r="J9" s="1">
        <v>1</v>
      </c>
      <c r="K9" s="1">
        <v>1</v>
      </c>
      <c r="L9" s="1">
        <v>1</v>
      </c>
      <c r="M9" s="1">
        <v>1</v>
      </c>
      <c r="N9" s="1">
        <v>1</v>
      </c>
      <c r="O9" s="1">
        <v>1</v>
      </c>
      <c r="P9" s="1">
        <v>1</v>
      </c>
      <c r="Q9" s="1">
        <v>1</v>
      </c>
      <c r="R9" s="1">
        <v>1</v>
      </c>
      <c r="S9" s="1">
        <v>1</v>
      </c>
      <c r="T9" s="1">
        <v>1</v>
      </c>
      <c r="U9" s="1">
        <v>1</v>
      </c>
      <c r="V9" s="1">
        <v>1</v>
      </c>
      <c r="W9" s="1">
        <v>1</v>
      </c>
      <c r="X9" s="1">
        <v>1</v>
      </c>
      <c r="Y9" s="1">
        <v>1</v>
      </c>
      <c r="Z9" s="1">
        <v>1</v>
      </c>
      <c r="AA9" s="1">
        <v>1</v>
      </c>
      <c r="AB9" s="1">
        <v>1</v>
      </c>
      <c r="AC9" s="1">
        <v>0</v>
      </c>
      <c r="AD9" s="1">
        <v>1</v>
      </c>
      <c r="AE9" s="1">
        <v>1</v>
      </c>
      <c r="AF9" s="1">
        <v>1</v>
      </c>
      <c r="AG9" s="1">
        <v>1</v>
      </c>
      <c r="AH9" s="1">
        <v>1</v>
      </c>
      <c r="AI9" s="1">
        <v>1</v>
      </c>
      <c r="AJ9" s="1">
        <v>0</v>
      </c>
      <c r="AK9" s="1">
        <v>1</v>
      </c>
      <c r="AL9" s="1">
        <v>0</v>
      </c>
      <c r="AM9" s="1">
        <v>1</v>
      </c>
      <c r="AN9" s="1">
        <v>1</v>
      </c>
      <c r="AO9" s="1">
        <v>1</v>
      </c>
      <c r="AP9" s="1">
        <v>1</v>
      </c>
      <c r="AQ9" s="1">
        <v>1</v>
      </c>
      <c r="AR9" s="1">
        <v>0</v>
      </c>
      <c r="AS9" s="1">
        <v>1</v>
      </c>
      <c r="AT9" s="1">
        <v>1</v>
      </c>
      <c r="AU9" s="1">
        <v>1</v>
      </c>
      <c r="AV9" s="1">
        <v>1</v>
      </c>
      <c r="AW9" s="1">
        <v>1</v>
      </c>
      <c r="AX9" s="1">
        <v>0</v>
      </c>
      <c r="AY9" s="1">
        <v>1</v>
      </c>
      <c r="AZ9" s="1">
        <v>0</v>
      </c>
      <c r="BA9" s="1">
        <v>1</v>
      </c>
      <c r="BB9" s="1">
        <v>1</v>
      </c>
      <c r="BC9" s="1">
        <v>1</v>
      </c>
      <c r="BD9" s="1">
        <v>1</v>
      </c>
      <c r="BE9" s="1">
        <v>1</v>
      </c>
      <c r="BF9" s="1">
        <v>1</v>
      </c>
      <c r="BG9" s="1">
        <v>1</v>
      </c>
      <c r="BH9" s="1">
        <v>0</v>
      </c>
      <c r="BI9" s="1">
        <v>1</v>
      </c>
      <c r="BJ9" s="1">
        <v>1</v>
      </c>
      <c r="BK9" s="7">
        <f t="shared" si="0"/>
        <v>53</v>
      </c>
      <c r="BL9" s="9">
        <f t="shared" si="1"/>
        <v>2809</v>
      </c>
    </row>
    <row r="10" spans="1:64" x14ac:dyDescent="0.25">
      <c r="B10" s="1" t="s">
        <v>107</v>
      </c>
      <c r="C10">
        <f>SUM(C2:C9)</f>
        <v>8</v>
      </c>
      <c r="D10">
        <f t="shared" ref="D10:J10" si="2">SUM(D2:D9)</f>
        <v>7</v>
      </c>
      <c r="E10">
        <f t="shared" si="2"/>
        <v>7</v>
      </c>
      <c r="F10">
        <f t="shared" si="2"/>
        <v>7</v>
      </c>
      <c r="G10">
        <f t="shared" si="2"/>
        <v>8</v>
      </c>
      <c r="H10">
        <f t="shared" si="2"/>
        <v>8</v>
      </c>
      <c r="I10">
        <f t="shared" si="2"/>
        <v>8</v>
      </c>
      <c r="J10">
        <f t="shared" si="2"/>
        <v>7</v>
      </c>
      <c r="K10">
        <f t="shared" ref="K10" si="3">SUM(K2:K9)</f>
        <v>7</v>
      </c>
      <c r="L10">
        <f t="shared" ref="L10" si="4">SUM(L2:L9)</f>
        <v>8</v>
      </c>
      <c r="M10">
        <f t="shared" ref="M10" si="5">SUM(M2:M9)</f>
        <v>8</v>
      </c>
      <c r="N10">
        <f t="shared" ref="N10" si="6">SUM(N2:N9)</f>
        <v>8</v>
      </c>
      <c r="O10">
        <f t="shared" ref="O10" si="7">SUM(O2:O9)</f>
        <v>8</v>
      </c>
      <c r="P10">
        <f t="shared" ref="P10:Q10" si="8">SUM(P2:P9)</f>
        <v>7</v>
      </c>
      <c r="Q10">
        <f t="shared" si="8"/>
        <v>8</v>
      </c>
      <c r="R10">
        <f t="shared" ref="R10" si="9">SUM(R2:R9)</f>
        <v>8</v>
      </c>
      <c r="S10">
        <f t="shared" ref="S10" si="10">SUM(S2:S9)</f>
        <v>8</v>
      </c>
      <c r="T10">
        <f t="shared" ref="T10" si="11">SUM(T2:T9)</f>
        <v>7</v>
      </c>
      <c r="U10">
        <f t="shared" ref="U10" si="12">SUM(U2:U9)</f>
        <v>8</v>
      </c>
      <c r="V10">
        <f t="shared" ref="V10:W10" si="13">SUM(V2:V9)</f>
        <v>6</v>
      </c>
      <c r="W10">
        <f t="shared" si="13"/>
        <v>7</v>
      </c>
      <c r="X10">
        <f t="shared" ref="X10" si="14">SUM(X2:X9)</f>
        <v>7</v>
      </c>
      <c r="Y10">
        <f t="shared" ref="Y10" si="15">SUM(Y2:Y9)</f>
        <v>7</v>
      </c>
      <c r="Z10">
        <f t="shared" ref="Z10" si="16">SUM(Z2:Z9)</f>
        <v>8</v>
      </c>
      <c r="AA10">
        <f t="shared" ref="AA10" si="17">SUM(AA2:AA9)</f>
        <v>8</v>
      </c>
      <c r="AB10">
        <f t="shared" ref="AB10" si="18">SUM(AB2:AB9)</f>
        <v>8</v>
      </c>
      <c r="AC10">
        <f t="shared" ref="AC10" si="19">SUM(AC2:AC9)</f>
        <v>5</v>
      </c>
      <c r="AD10">
        <f t="shared" ref="AD10" si="20">SUM(AD2:AD9)</f>
        <v>8</v>
      </c>
      <c r="AE10">
        <f t="shared" ref="AE10" si="21">SUM(AE2:AE9)</f>
        <v>8</v>
      </c>
      <c r="AF10">
        <f t="shared" ref="AF10" si="22">SUM(AF2:AF9)</f>
        <v>8</v>
      </c>
      <c r="AG10">
        <f t="shared" ref="AG10" si="23">SUM(AG2:AG9)</f>
        <v>8</v>
      </c>
      <c r="AH10">
        <f t="shared" ref="AH10" si="24">SUM(AH2:AH9)</f>
        <v>7</v>
      </c>
      <c r="AI10">
        <f t="shared" ref="AI10" si="25">SUM(AI2:AI9)</f>
        <v>8</v>
      </c>
      <c r="AJ10">
        <f t="shared" ref="AJ10" si="26">SUM(AJ2:AJ9)</f>
        <v>7</v>
      </c>
      <c r="AK10">
        <f t="shared" ref="AK10" si="27">SUM(AK2:AK9)</f>
        <v>8</v>
      </c>
      <c r="AL10">
        <f t="shared" ref="AL10" si="28">SUM(AL2:AL9)</f>
        <v>6</v>
      </c>
      <c r="AM10">
        <f t="shared" ref="AM10" si="29">SUM(AM2:AM9)</f>
        <v>8</v>
      </c>
      <c r="AN10">
        <f t="shared" ref="AN10" si="30">SUM(AN2:AN9)</f>
        <v>7</v>
      </c>
      <c r="AO10">
        <f t="shared" ref="AO10" si="31">SUM(AO2:AO9)</f>
        <v>7</v>
      </c>
      <c r="AP10">
        <f t="shared" ref="AP10:AQ10" si="32">SUM(AP2:AP9)</f>
        <v>8</v>
      </c>
      <c r="AQ10">
        <f t="shared" si="32"/>
        <v>8</v>
      </c>
      <c r="AR10">
        <f t="shared" ref="AR10" si="33">SUM(AR2:AR9)</f>
        <v>6</v>
      </c>
      <c r="AS10">
        <f t="shared" ref="AS10" si="34">SUM(AS2:AS9)</f>
        <v>8</v>
      </c>
      <c r="AT10">
        <f>SUM(AT2:AT9)</f>
        <v>7</v>
      </c>
      <c r="AU10">
        <f t="shared" ref="AU10" si="35">SUM(AU2:AU9)</f>
        <v>7</v>
      </c>
      <c r="AV10">
        <f t="shared" ref="AV10" si="36">SUM(AV2:AV9)</f>
        <v>7</v>
      </c>
      <c r="AW10">
        <f t="shared" ref="AW10" si="37">SUM(AW2:AW9)</f>
        <v>8</v>
      </c>
      <c r="AX10">
        <f t="shared" ref="AX10" si="38">SUM(AX2:AX9)</f>
        <v>7</v>
      </c>
      <c r="AY10">
        <f t="shared" ref="AY10" si="39">SUM(AY2:AY9)</f>
        <v>8</v>
      </c>
      <c r="AZ10">
        <f t="shared" ref="AZ10" si="40">SUM(AZ2:AZ9)</f>
        <v>7</v>
      </c>
      <c r="BA10">
        <f t="shared" ref="BA10" si="41">SUM(BA2:BA9)</f>
        <v>8</v>
      </c>
      <c r="BB10">
        <f t="shared" ref="BB10" si="42">SUM(BB2:BB9)</f>
        <v>7</v>
      </c>
      <c r="BC10">
        <f t="shared" ref="BC10" si="43">SUM(BC2:BC9)</f>
        <v>8</v>
      </c>
      <c r="BD10">
        <f t="shared" ref="BD10" si="44">SUM(BD2:BD9)</f>
        <v>8</v>
      </c>
      <c r="BE10">
        <f t="shared" ref="BE10" si="45">SUM(BE2:BE9)</f>
        <v>8</v>
      </c>
      <c r="BF10">
        <f t="shared" ref="BF10" si="46">SUM(BF2:BF9)</f>
        <v>8</v>
      </c>
      <c r="BG10">
        <f t="shared" ref="BG10" si="47">SUM(BG2:BG9)</f>
        <v>8</v>
      </c>
      <c r="BH10">
        <f t="shared" ref="BH10" si="48">SUM(BH2:BH9)</f>
        <v>5</v>
      </c>
      <c r="BI10">
        <f t="shared" ref="BI10" si="49">SUM(BI2:BI9)</f>
        <v>8</v>
      </c>
      <c r="BJ10">
        <f t="shared" ref="BJ10" si="50">SUM(BJ2:BJ9)</f>
        <v>8</v>
      </c>
      <c r="BK10">
        <f t="shared" ref="BK10" si="51">SUM(BK2:BK9)</f>
        <v>448</v>
      </c>
      <c r="BL10">
        <f t="shared" ref="BL10" si="52">SUM(BL2:BL9)</f>
        <v>25150</v>
      </c>
    </row>
    <row r="12" spans="1:64" x14ac:dyDescent="0.25">
      <c r="A12" s="3">
        <v>34</v>
      </c>
      <c r="B12" s="1" t="s">
        <v>63</v>
      </c>
      <c r="C12" s="1">
        <v>1</v>
      </c>
      <c r="D12" s="1">
        <v>1</v>
      </c>
      <c r="E12" s="1">
        <v>1</v>
      </c>
      <c r="F12" s="1">
        <v>1</v>
      </c>
      <c r="G12" s="1">
        <v>1</v>
      </c>
      <c r="H12" s="1">
        <v>0</v>
      </c>
      <c r="I12" s="1">
        <v>0</v>
      </c>
      <c r="J12" s="1">
        <v>0</v>
      </c>
      <c r="K12" s="1">
        <v>0</v>
      </c>
      <c r="L12" s="1">
        <v>1</v>
      </c>
      <c r="M12" s="1">
        <v>0</v>
      </c>
      <c r="N12" s="1">
        <v>1</v>
      </c>
      <c r="O12" s="1">
        <v>1</v>
      </c>
      <c r="P12" s="1">
        <v>0</v>
      </c>
      <c r="Q12" s="1">
        <v>0</v>
      </c>
      <c r="R12" s="1">
        <v>1</v>
      </c>
      <c r="S12" s="1">
        <v>0</v>
      </c>
      <c r="T12" s="1">
        <v>0</v>
      </c>
      <c r="U12" s="1">
        <v>1</v>
      </c>
      <c r="V12" s="1">
        <v>1</v>
      </c>
      <c r="W12" s="1">
        <v>0</v>
      </c>
      <c r="X12" s="1">
        <v>1</v>
      </c>
      <c r="Y12" s="1">
        <v>0</v>
      </c>
      <c r="Z12" s="1">
        <v>1</v>
      </c>
      <c r="AA12" s="1">
        <v>1</v>
      </c>
      <c r="AB12" s="1">
        <v>1</v>
      </c>
      <c r="AC12" s="1">
        <v>1</v>
      </c>
      <c r="AD12" s="1">
        <v>1</v>
      </c>
      <c r="AE12" s="1">
        <v>1</v>
      </c>
      <c r="AF12" s="1">
        <v>1</v>
      </c>
      <c r="AG12" s="1">
        <v>1</v>
      </c>
      <c r="AH12" s="1">
        <v>0</v>
      </c>
      <c r="AI12" s="1">
        <v>0</v>
      </c>
      <c r="AJ12" s="1">
        <v>1</v>
      </c>
      <c r="AK12" s="1">
        <v>1</v>
      </c>
      <c r="AL12" s="1">
        <v>0</v>
      </c>
      <c r="AM12" s="1">
        <v>0</v>
      </c>
      <c r="AN12" s="1">
        <v>1</v>
      </c>
      <c r="AO12" s="1">
        <v>0</v>
      </c>
      <c r="AP12" s="1">
        <v>0</v>
      </c>
      <c r="AQ12" s="1">
        <v>0</v>
      </c>
      <c r="AR12" s="1">
        <v>0</v>
      </c>
      <c r="AS12" s="1">
        <v>1</v>
      </c>
      <c r="AT12" s="1">
        <v>0</v>
      </c>
      <c r="AU12" s="1">
        <v>0</v>
      </c>
      <c r="AV12" s="1">
        <v>0</v>
      </c>
      <c r="AW12" s="1">
        <v>1</v>
      </c>
      <c r="AX12" s="1">
        <v>0</v>
      </c>
      <c r="AY12" s="1">
        <v>1</v>
      </c>
      <c r="AZ12" s="1">
        <v>1</v>
      </c>
      <c r="BA12" s="1">
        <v>0</v>
      </c>
      <c r="BB12" s="1">
        <v>1</v>
      </c>
      <c r="BC12" s="1">
        <v>1</v>
      </c>
      <c r="BD12" s="1">
        <v>1</v>
      </c>
      <c r="BE12" s="1">
        <v>1</v>
      </c>
      <c r="BF12" s="1">
        <v>1</v>
      </c>
      <c r="BG12" s="1">
        <v>1</v>
      </c>
      <c r="BH12" s="1">
        <v>0</v>
      </c>
      <c r="BI12" s="1">
        <v>1</v>
      </c>
      <c r="BJ12" s="1">
        <v>0</v>
      </c>
      <c r="BK12" s="7">
        <f t="shared" ref="BK12:BK19" si="53">SUM(C12:BJ12)</f>
        <v>34</v>
      </c>
      <c r="BL12" s="9">
        <f t="shared" ref="BL12:BL19" si="54">BK12*BK12</f>
        <v>1156</v>
      </c>
    </row>
    <row r="13" spans="1:64" x14ac:dyDescent="0.25">
      <c r="A13" s="3">
        <v>34</v>
      </c>
      <c r="B13" s="1" t="s">
        <v>64</v>
      </c>
      <c r="C13" s="1">
        <v>1</v>
      </c>
      <c r="D13" s="1">
        <v>1</v>
      </c>
      <c r="E13" s="1">
        <v>0</v>
      </c>
      <c r="F13" s="1">
        <v>1</v>
      </c>
      <c r="G13" s="1">
        <v>0</v>
      </c>
      <c r="H13" s="1">
        <v>0</v>
      </c>
      <c r="I13" s="1">
        <v>1</v>
      </c>
      <c r="J13" s="1">
        <v>1</v>
      </c>
      <c r="K13" s="1">
        <v>0</v>
      </c>
      <c r="L13" s="1">
        <v>0</v>
      </c>
      <c r="M13" s="1">
        <v>0</v>
      </c>
      <c r="N13" s="1">
        <v>0</v>
      </c>
      <c r="O13" s="1">
        <v>0</v>
      </c>
      <c r="P13" s="1">
        <v>1</v>
      </c>
      <c r="Q13" s="1">
        <v>1</v>
      </c>
      <c r="R13" s="1">
        <v>1</v>
      </c>
      <c r="S13" s="1">
        <v>1</v>
      </c>
      <c r="T13" s="1">
        <v>0</v>
      </c>
      <c r="U13" s="1">
        <v>0</v>
      </c>
      <c r="V13" s="1">
        <v>0</v>
      </c>
      <c r="W13" s="1">
        <v>0</v>
      </c>
      <c r="X13" s="1">
        <v>1</v>
      </c>
      <c r="Y13" s="1">
        <v>1</v>
      </c>
      <c r="Z13" s="1">
        <v>1</v>
      </c>
      <c r="AA13" s="1">
        <v>1</v>
      </c>
      <c r="AB13" s="1">
        <v>0</v>
      </c>
      <c r="AC13" s="1">
        <v>0</v>
      </c>
      <c r="AD13" s="1">
        <v>1</v>
      </c>
      <c r="AE13" s="1">
        <v>0</v>
      </c>
      <c r="AF13" s="1">
        <v>1</v>
      </c>
      <c r="AG13" s="1">
        <v>1</v>
      </c>
      <c r="AH13" s="1">
        <v>0</v>
      </c>
      <c r="AI13" s="1">
        <v>0</v>
      </c>
      <c r="AJ13" s="1">
        <v>1</v>
      </c>
      <c r="AK13" s="1">
        <v>1</v>
      </c>
      <c r="AL13" s="1">
        <v>0</v>
      </c>
      <c r="AM13" s="1">
        <v>1</v>
      </c>
      <c r="AN13" s="1">
        <v>1</v>
      </c>
      <c r="AO13" s="1">
        <v>0</v>
      </c>
      <c r="AP13" s="1">
        <v>0</v>
      </c>
      <c r="AQ13" s="1">
        <v>1</v>
      </c>
      <c r="AR13" s="1">
        <v>1</v>
      </c>
      <c r="AS13" s="1">
        <v>1</v>
      </c>
      <c r="AT13" s="1">
        <v>0</v>
      </c>
      <c r="AU13" s="1">
        <v>1</v>
      </c>
      <c r="AV13" s="1">
        <v>0</v>
      </c>
      <c r="AW13" s="1">
        <v>0</v>
      </c>
      <c r="AX13" s="1">
        <v>1</v>
      </c>
      <c r="AY13" s="1">
        <v>1</v>
      </c>
      <c r="AZ13" s="1">
        <v>1</v>
      </c>
      <c r="BA13" s="1">
        <v>0</v>
      </c>
      <c r="BB13" s="1">
        <v>1</v>
      </c>
      <c r="BC13" s="1">
        <v>1</v>
      </c>
      <c r="BD13" s="1">
        <v>1</v>
      </c>
      <c r="BE13" s="1">
        <v>1</v>
      </c>
      <c r="BF13" s="1">
        <v>1</v>
      </c>
      <c r="BG13" s="1">
        <v>1</v>
      </c>
      <c r="BH13" s="1">
        <v>0</v>
      </c>
      <c r="BI13" s="1">
        <v>1</v>
      </c>
      <c r="BJ13" s="1">
        <v>0</v>
      </c>
      <c r="BK13" s="7">
        <f t="shared" si="53"/>
        <v>34</v>
      </c>
      <c r="BL13" s="9">
        <f t="shared" si="54"/>
        <v>1156</v>
      </c>
    </row>
    <row r="14" spans="1:64" x14ac:dyDescent="0.25">
      <c r="A14" s="3">
        <v>34</v>
      </c>
      <c r="B14" s="1" t="s">
        <v>76</v>
      </c>
      <c r="C14" s="1">
        <v>1</v>
      </c>
      <c r="D14" s="1">
        <v>1</v>
      </c>
      <c r="E14" s="1">
        <v>1</v>
      </c>
      <c r="F14" s="1">
        <v>1</v>
      </c>
      <c r="G14" s="1">
        <v>0</v>
      </c>
      <c r="H14" s="1">
        <v>1</v>
      </c>
      <c r="I14" s="1">
        <v>1</v>
      </c>
      <c r="J14" s="1">
        <v>0</v>
      </c>
      <c r="K14" s="1">
        <v>0</v>
      </c>
      <c r="L14" s="1">
        <v>1</v>
      </c>
      <c r="M14" s="1">
        <v>0</v>
      </c>
      <c r="N14" s="1">
        <v>1</v>
      </c>
      <c r="O14" s="1">
        <v>1</v>
      </c>
      <c r="P14" s="1">
        <v>1</v>
      </c>
      <c r="Q14" s="1">
        <v>0</v>
      </c>
      <c r="R14" s="1">
        <v>1</v>
      </c>
      <c r="S14" s="1">
        <v>1</v>
      </c>
      <c r="T14" s="1">
        <v>0</v>
      </c>
      <c r="U14" s="1">
        <v>0</v>
      </c>
      <c r="V14" s="1">
        <v>0</v>
      </c>
      <c r="W14" s="1">
        <v>0</v>
      </c>
      <c r="X14" s="1">
        <v>1</v>
      </c>
      <c r="Y14" s="1">
        <v>0</v>
      </c>
      <c r="Z14" s="1">
        <v>1</v>
      </c>
      <c r="AA14" s="1">
        <v>1</v>
      </c>
      <c r="AB14" s="1">
        <v>0</v>
      </c>
      <c r="AC14" s="1">
        <v>0</v>
      </c>
      <c r="AD14" s="1">
        <v>1</v>
      </c>
      <c r="AE14" s="1">
        <v>1</v>
      </c>
      <c r="AF14" s="1">
        <v>1</v>
      </c>
      <c r="AG14" s="1">
        <v>0</v>
      </c>
      <c r="AH14" s="1">
        <v>1</v>
      </c>
      <c r="AI14" s="1">
        <v>1</v>
      </c>
      <c r="AJ14" s="1">
        <v>1</v>
      </c>
      <c r="AK14" s="1">
        <v>1</v>
      </c>
      <c r="AL14" s="1">
        <v>1</v>
      </c>
      <c r="AM14" s="1">
        <v>1</v>
      </c>
      <c r="AN14" s="1">
        <v>0</v>
      </c>
      <c r="AO14" s="1">
        <v>1</v>
      </c>
      <c r="AP14" s="1">
        <v>1</v>
      </c>
      <c r="AQ14" s="1">
        <v>0</v>
      </c>
      <c r="AR14" s="1">
        <v>1</v>
      </c>
      <c r="AS14" s="1">
        <v>1</v>
      </c>
      <c r="AT14" s="1">
        <v>0</v>
      </c>
      <c r="AU14" s="1">
        <v>0</v>
      </c>
      <c r="AV14" s="1">
        <v>0</v>
      </c>
      <c r="AW14" s="1">
        <v>0</v>
      </c>
      <c r="AX14" s="1">
        <v>1</v>
      </c>
      <c r="AY14" s="1">
        <v>1</v>
      </c>
      <c r="AZ14" s="1">
        <v>0</v>
      </c>
      <c r="BA14" s="1">
        <v>1</v>
      </c>
      <c r="BB14" s="1">
        <v>0</v>
      </c>
      <c r="BC14" s="1">
        <v>0</v>
      </c>
      <c r="BD14" s="1">
        <v>0</v>
      </c>
      <c r="BE14" s="1">
        <v>0</v>
      </c>
      <c r="BF14" s="1">
        <v>0</v>
      </c>
      <c r="BG14" s="1">
        <v>0</v>
      </c>
      <c r="BH14" s="1">
        <v>1</v>
      </c>
      <c r="BI14" s="1">
        <v>1</v>
      </c>
      <c r="BJ14" s="1">
        <v>1</v>
      </c>
      <c r="BK14" s="7">
        <f t="shared" si="53"/>
        <v>34</v>
      </c>
      <c r="BL14" s="9">
        <f t="shared" si="54"/>
        <v>1156</v>
      </c>
    </row>
    <row r="15" spans="1:64" x14ac:dyDescent="0.25">
      <c r="A15" s="3">
        <v>33</v>
      </c>
      <c r="B15" s="1" t="s">
        <v>71</v>
      </c>
      <c r="C15" s="1">
        <v>1</v>
      </c>
      <c r="D15" s="1">
        <v>1</v>
      </c>
      <c r="E15" s="1">
        <v>1</v>
      </c>
      <c r="F15" s="1">
        <v>0</v>
      </c>
      <c r="G15" s="1">
        <v>0</v>
      </c>
      <c r="H15" s="1">
        <v>1</v>
      </c>
      <c r="I15" s="1">
        <v>0</v>
      </c>
      <c r="J15" s="1">
        <v>1</v>
      </c>
      <c r="K15" s="1">
        <v>0</v>
      </c>
      <c r="L15" s="1">
        <v>0</v>
      </c>
      <c r="M15" s="1">
        <v>1</v>
      </c>
      <c r="N15" s="1">
        <v>0</v>
      </c>
      <c r="O15" s="1">
        <v>1</v>
      </c>
      <c r="P15" s="1">
        <v>0</v>
      </c>
      <c r="Q15" s="1">
        <v>1</v>
      </c>
      <c r="R15" s="1">
        <v>1</v>
      </c>
      <c r="S15" s="1">
        <v>1</v>
      </c>
      <c r="T15" s="1">
        <v>0</v>
      </c>
      <c r="U15" s="1">
        <v>1</v>
      </c>
      <c r="V15" s="1">
        <v>1</v>
      </c>
      <c r="W15" s="1">
        <v>0</v>
      </c>
      <c r="X15" s="1">
        <v>1</v>
      </c>
      <c r="Y15" s="1">
        <v>1</v>
      </c>
      <c r="Z15" s="1">
        <v>1</v>
      </c>
      <c r="AA15" s="1">
        <v>1</v>
      </c>
      <c r="AB15" s="1">
        <v>1</v>
      </c>
      <c r="AC15" s="1">
        <v>0</v>
      </c>
      <c r="AD15" s="1">
        <v>1</v>
      </c>
      <c r="AE15" s="1">
        <v>1</v>
      </c>
      <c r="AF15" s="1">
        <v>1</v>
      </c>
      <c r="AG15" s="1">
        <v>1</v>
      </c>
      <c r="AH15" s="1">
        <v>1</v>
      </c>
      <c r="AI15" s="1">
        <v>1</v>
      </c>
      <c r="AJ15" s="1">
        <v>1</v>
      </c>
      <c r="AK15" s="1">
        <v>1</v>
      </c>
      <c r="AL15" s="1">
        <v>1</v>
      </c>
      <c r="AM15" s="1">
        <v>1</v>
      </c>
      <c r="AN15" s="1">
        <v>0</v>
      </c>
      <c r="AO15" s="1">
        <v>0</v>
      </c>
      <c r="AP15" s="1">
        <v>0</v>
      </c>
      <c r="AQ15" s="1">
        <v>0</v>
      </c>
      <c r="AR15" s="1">
        <v>0</v>
      </c>
      <c r="AS15" s="1">
        <v>0</v>
      </c>
      <c r="AT15" s="1">
        <v>0</v>
      </c>
      <c r="AU15" s="1">
        <v>1</v>
      </c>
      <c r="AV15" s="1">
        <v>0</v>
      </c>
      <c r="AW15" s="1">
        <v>0</v>
      </c>
      <c r="AX15" s="1">
        <v>0</v>
      </c>
      <c r="AY15" s="1">
        <v>0</v>
      </c>
      <c r="AZ15" s="1">
        <v>0</v>
      </c>
      <c r="BA15" s="1">
        <v>0</v>
      </c>
      <c r="BB15" s="1">
        <v>1</v>
      </c>
      <c r="BC15" s="1">
        <v>0</v>
      </c>
      <c r="BD15" s="1">
        <v>1</v>
      </c>
      <c r="BE15" s="1">
        <v>1</v>
      </c>
      <c r="BF15" s="1">
        <v>1</v>
      </c>
      <c r="BG15" s="1">
        <v>0</v>
      </c>
      <c r="BH15" s="1">
        <v>0</v>
      </c>
      <c r="BI15" s="1">
        <v>1</v>
      </c>
      <c r="BJ15" s="1">
        <v>0</v>
      </c>
      <c r="BK15" s="7">
        <f t="shared" si="53"/>
        <v>33</v>
      </c>
      <c r="BL15" s="9">
        <f t="shared" si="54"/>
        <v>1089</v>
      </c>
    </row>
    <row r="16" spans="1:64" x14ac:dyDescent="0.25">
      <c r="A16" s="3">
        <v>31</v>
      </c>
      <c r="B16" s="1" t="s">
        <v>82</v>
      </c>
      <c r="C16" s="1">
        <v>1</v>
      </c>
      <c r="D16" s="1">
        <v>0</v>
      </c>
      <c r="E16" s="1">
        <v>0</v>
      </c>
      <c r="F16" s="1">
        <v>0</v>
      </c>
      <c r="G16" s="1">
        <v>0</v>
      </c>
      <c r="H16" s="1">
        <v>1</v>
      </c>
      <c r="I16" s="1">
        <v>0</v>
      </c>
      <c r="J16" s="1">
        <v>1</v>
      </c>
      <c r="K16" s="1">
        <v>1</v>
      </c>
      <c r="L16" s="1">
        <v>1</v>
      </c>
      <c r="M16" s="1">
        <v>0</v>
      </c>
      <c r="N16" s="1">
        <v>1</v>
      </c>
      <c r="O16" s="1">
        <v>0</v>
      </c>
      <c r="P16" s="1">
        <v>1</v>
      </c>
      <c r="Q16" s="1">
        <v>0</v>
      </c>
      <c r="R16" s="1">
        <v>1</v>
      </c>
      <c r="S16" s="1">
        <v>1</v>
      </c>
      <c r="T16" s="1">
        <v>1</v>
      </c>
      <c r="U16" s="1">
        <v>0</v>
      </c>
      <c r="V16" s="1">
        <v>1</v>
      </c>
      <c r="W16" s="1">
        <v>1</v>
      </c>
      <c r="X16" s="1">
        <v>1</v>
      </c>
      <c r="Y16" s="1">
        <v>0</v>
      </c>
      <c r="Z16" s="1">
        <v>0</v>
      </c>
      <c r="AA16" s="1">
        <v>1</v>
      </c>
      <c r="AB16" s="1">
        <v>0</v>
      </c>
      <c r="AC16" s="1">
        <v>0</v>
      </c>
      <c r="AD16" s="1">
        <v>1</v>
      </c>
      <c r="AE16" s="1">
        <v>1</v>
      </c>
      <c r="AF16" s="1">
        <v>0</v>
      </c>
      <c r="AG16" s="1">
        <v>1</v>
      </c>
      <c r="AH16" s="1">
        <v>0</v>
      </c>
      <c r="AI16" s="1">
        <v>1</v>
      </c>
      <c r="AJ16" s="1">
        <v>1</v>
      </c>
      <c r="AK16" s="1">
        <v>0</v>
      </c>
      <c r="AL16" s="1">
        <v>1</v>
      </c>
      <c r="AM16" s="1">
        <v>1</v>
      </c>
      <c r="AN16" s="1">
        <v>0</v>
      </c>
      <c r="AO16" s="1">
        <v>0</v>
      </c>
      <c r="AP16" s="1">
        <v>1</v>
      </c>
      <c r="AQ16" s="1">
        <v>1</v>
      </c>
      <c r="AR16" s="1">
        <v>1</v>
      </c>
      <c r="AS16" s="1">
        <v>0</v>
      </c>
      <c r="AT16" s="1">
        <v>0</v>
      </c>
      <c r="AU16" s="1">
        <v>0</v>
      </c>
      <c r="AV16" s="1">
        <v>0</v>
      </c>
      <c r="AW16" s="1">
        <v>1</v>
      </c>
      <c r="AX16" s="1">
        <v>1</v>
      </c>
      <c r="AY16" s="1">
        <v>0</v>
      </c>
      <c r="AZ16" s="1">
        <v>0</v>
      </c>
      <c r="BA16" s="1">
        <v>1</v>
      </c>
      <c r="BB16" s="1">
        <v>0</v>
      </c>
      <c r="BC16" s="1">
        <v>1</v>
      </c>
      <c r="BD16" s="1">
        <v>0</v>
      </c>
      <c r="BE16" s="1">
        <v>1</v>
      </c>
      <c r="BF16" s="1">
        <v>1</v>
      </c>
      <c r="BG16" s="1">
        <v>0</v>
      </c>
      <c r="BH16" s="1">
        <v>0</v>
      </c>
      <c r="BI16" s="1">
        <v>1</v>
      </c>
      <c r="BJ16" s="1">
        <v>0</v>
      </c>
      <c r="BK16" s="7">
        <f t="shared" si="53"/>
        <v>31</v>
      </c>
      <c r="BL16" s="9">
        <f t="shared" si="54"/>
        <v>961</v>
      </c>
    </row>
    <row r="17" spans="1:64" x14ac:dyDescent="0.25">
      <c r="A17" s="3">
        <v>31</v>
      </c>
      <c r="B17" s="1" t="s">
        <v>83</v>
      </c>
      <c r="C17" s="1">
        <v>1</v>
      </c>
      <c r="D17" s="1">
        <v>0</v>
      </c>
      <c r="E17" s="1">
        <v>1</v>
      </c>
      <c r="F17" s="1">
        <v>0</v>
      </c>
      <c r="G17" s="1">
        <v>0</v>
      </c>
      <c r="H17" s="1">
        <v>0</v>
      </c>
      <c r="I17" s="1">
        <v>1</v>
      </c>
      <c r="J17" s="1">
        <v>1</v>
      </c>
      <c r="K17" s="1">
        <v>0</v>
      </c>
      <c r="L17" s="1">
        <v>1</v>
      </c>
      <c r="M17" s="1">
        <v>1</v>
      </c>
      <c r="N17" s="1">
        <v>1</v>
      </c>
      <c r="O17" s="1">
        <v>1</v>
      </c>
      <c r="P17" s="1">
        <v>1</v>
      </c>
      <c r="Q17" s="1">
        <v>0</v>
      </c>
      <c r="R17" s="1">
        <v>1</v>
      </c>
      <c r="S17" s="1">
        <v>1</v>
      </c>
      <c r="T17" s="1">
        <v>0</v>
      </c>
      <c r="U17" s="1">
        <v>0</v>
      </c>
      <c r="V17" s="1">
        <v>0</v>
      </c>
      <c r="W17" s="1">
        <v>0</v>
      </c>
      <c r="X17" s="1">
        <v>1</v>
      </c>
      <c r="Y17" s="1">
        <v>1</v>
      </c>
      <c r="Z17" s="1">
        <v>0</v>
      </c>
      <c r="AA17" s="1">
        <v>1</v>
      </c>
      <c r="AB17" s="1">
        <v>0</v>
      </c>
      <c r="AC17" s="1">
        <v>0</v>
      </c>
      <c r="AD17" s="1">
        <v>1</v>
      </c>
      <c r="AE17" s="1">
        <v>1</v>
      </c>
      <c r="AF17" s="1">
        <v>1</v>
      </c>
      <c r="AG17" s="1">
        <v>1</v>
      </c>
      <c r="AH17" s="1">
        <v>1</v>
      </c>
      <c r="AI17" s="1">
        <v>1</v>
      </c>
      <c r="AJ17" s="1">
        <v>0</v>
      </c>
      <c r="AK17" s="1">
        <v>0</v>
      </c>
      <c r="AL17" s="1">
        <v>0</v>
      </c>
      <c r="AM17" s="1">
        <v>1</v>
      </c>
      <c r="AN17" s="1">
        <v>0</v>
      </c>
      <c r="AO17" s="1">
        <v>0</v>
      </c>
      <c r="AP17" s="1">
        <v>1</v>
      </c>
      <c r="AQ17" s="1">
        <v>1</v>
      </c>
      <c r="AR17" s="1">
        <v>0</v>
      </c>
      <c r="AS17" s="1">
        <v>0</v>
      </c>
      <c r="AT17" s="1">
        <v>0</v>
      </c>
      <c r="AU17" s="1">
        <v>1</v>
      </c>
      <c r="AV17" s="1">
        <v>0</v>
      </c>
      <c r="AW17" s="1">
        <v>1</v>
      </c>
      <c r="AX17" s="1">
        <v>1</v>
      </c>
      <c r="AY17" s="1">
        <v>1</v>
      </c>
      <c r="AZ17" s="1">
        <v>0</v>
      </c>
      <c r="BA17" s="1">
        <v>1</v>
      </c>
      <c r="BB17" s="1">
        <v>0</v>
      </c>
      <c r="BC17" s="1">
        <v>0</v>
      </c>
      <c r="BD17" s="1">
        <v>0</v>
      </c>
      <c r="BE17" s="1">
        <v>1</v>
      </c>
      <c r="BF17" s="1">
        <v>0</v>
      </c>
      <c r="BG17" s="1">
        <v>0</v>
      </c>
      <c r="BH17" s="1">
        <v>1</v>
      </c>
      <c r="BI17" s="1">
        <v>1</v>
      </c>
      <c r="BJ17" s="1">
        <v>0</v>
      </c>
      <c r="BK17" s="7">
        <f t="shared" si="53"/>
        <v>31</v>
      </c>
      <c r="BL17" s="9">
        <f t="shared" si="54"/>
        <v>961</v>
      </c>
    </row>
    <row r="18" spans="1:64" x14ac:dyDescent="0.25">
      <c r="A18" s="3">
        <v>26</v>
      </c>
      <c r="B18" s="1" t="s">
        <v>85</v>
      </c>
      <c r="C18" s="1">
        <v>1</v>
      </c>
      <c r="D18" s="1">
        <v>0</v>
      </c>
      <c r="E18" s="1">
        <v>1</v>
      </c>
      <c r="F18" s="1">
        <v>0</v>
      </c>
      <c r="G18" s="1">
        <v>0</v>
      </c>
      <c r="H18" s="1">
        <v>0</v>
      </c>
      <c r="I18" s="1">
        <v>0</v>
      </c>
      <c r="J18" s="1">
        <v>0</v>
      </c>
      <c r="K18" s="1">
        <v>0</v>
      </c>
      <c r="L18" s="1">
        <v>0</v>
      </c>
      <c r="M18" s="1">
        <v>1</v>
      </c>
      <c r="N18" s="1">
        <v>0</v>
      </c>
      <c r="O18" s="1">
        <v>0</v>
      </c>
      <c r="P18" s="1">
        <v>1</v>
      </c>
      <c r="Q18" s="1">
        <v>0</v>
      </c>
      <c r="R18" s="1">
        <v>0</v>
      </c>
      <c r="S18" s="1">
        <v>1</v>
      </c>
      <c r="T18" s="1">
        <v>0</v>
      </c>
      <c r="U18" s="1">
        <v>0</v>
      </c>
      <c r="V18" s="1">
        <v>0</v>
      </c>
      <c r="W18" s="1">
        <v>0</v>
      </c>
      <c r="X18" s="1">
        <v>0</v>
      </c>
      <c r="Y18" s="1">
        <v>0</v>
      </c>
      <c r="Z18" s="1">
        <v>0</v>
      </c>
      <c r="AA18" s="1">
        <v>0</v>
      </c>
      <c r="AB18" s="1">
        <v>0</v>
      </c>
      <c r="AC18" s="1">
        <v>0</v>
      </c>
      <c r="AD18" s="1">
        <v>1</v>
      </c>
      <c r="AE18" s="1">
        <v>1</v>
      </c>
      <c r="AF18" s="1">
        <v>0</v>
      </c>
      <c r="AG18" s="1">
        <v>0</v>
      </c>
      <c r="AH18" s="1">
        <v>1</v>
      </c>
      <c r="AI18" s="1">
        <v>0</v>
      </c>
      <c r="AJ18" s="1">
        <v>0</v>
      </c>
      <c r="AK18" s="1">
        <v>0</v>
      </c>
      <c r="AL18" s="1">
        <v>0</v>
      </c>
      <c r="AM18" s="1">
        <v>1</v>
      </c>
      <c r="AN18" s="1">
        <v>0</v>
      </c>
      <c r="AO18" s="1">
        <v>0</v>
      </c>
      <c r="AP18" s="1">
        <v>1</v>
      </c>
      <c r="AQ18" s="1">
        <v>0</v>
      </c>
      <c r="AR18" s="1">
        <v>0</v>
      </c>
      <c r="AS18" s="1">
        <v>0</v>
      </c>
      <c r="AT18" s="1">
        <v>1</v>
      </c>
      <c r="AU18" s="1">
        <v>1</v>
      </c>
      <c r="AV18" s="1">
        <v>1</v>
      </c>
      <c r="AW18" s="1">
        <v>0</v>
      </c>
      <c r="AX18" s="1">
        <v>1</v>
      </c>
      <c r="AY18" s="1">
        <v>1</v>
      </c>
      <c r="AZ18" s="1">
        <v>1</v>
      </c>
      <c r="BA18" s="1">
        <v>1</v>
      </c>
      <c r="BB18" s="1">
        <v>1</v>
      </c>
      <c r="BC18" s="1">
        <v>1</v>
      </c>
      <c r="BD18" s="1">
        <v>1</v>
      </c>
      <c r="BE18" s="1">
        <v>1</v>
      </c>
      <c r="BF18" s="1">
        <v>1</v>
      </c>
      <c r="BG18" s="1">
        <v>1</v>
      </c>
      <c r="BH18" s="1">
        <v>1</v>
      </c>
      <c r="BI18" s="1">
        <v>1</v>
      </c>
      <c r="BJ18" s="1">
        <v>1</v>
      </c>
      <c r="BK18" s="7">
        <f t="shared" si="53"/>
        <v>26</v>
      </c>
      <c r="BL18" s="9">
        <f t="shared" si="54"/>
        <v>676</v>
      </c>
    </row>
    <row r="19" spans="1:64" x14ac:dyDescent="0.25">
      <c r="A19" s="3">
        <v>20</v>
      </c>
      <c r="B19" s="1" t="s">
        <v>60</v>
      </c>
      <c r="C19" s="1">
        <v>1</v>
      </c>
      <c r="D19" s="1">
        <v>0</v>
      </c>
      <c r="E19" s="1">
        <v>0</v>
      </c>
      <c r="F19" s="1">
        <v>0</v>
      </c>
      <c r="G19" s="1">
        <v>1</v>
      </c>
      <c r="H19" s="1">
        <v>0</v>
      </c>
      <c r="I19" s="1">
        <v>0</v>
      </c>
      <c r="J19" s="1">
        <v>0</v>
      </c>
      <c r="K19" s="1">
        <v>1</v>
      </c>
      <c r="L19" s="1">
        <v>1</v>
      </c>
      <c r="M19" s="1">
        <v>0</v>
      </c>
      <c r="N19" s="1">
        <v>0</v>
      </c>
      <c r="O19" s="1">
        <v>0</v>
      </c>
      <c r="P19" s="1">
        <v>0</v>
      </c>
      <c r="Q19" s="1">
        <v>1</v>
      </c>
      <c r="R19" s="1">
        <v>1</v>
      </c>
      <c r="S19" s="1">
        <v>1</v>
      </c>
      <c r="T19" s="1">
        <v>1</v>
      </c>
      <c r="U19" s="1">
        <v>0</v>
      </c>
      <c r="V19" s="1">
        <v>0</v>
      </c>
      <c r="W19" s="1">
        <v>0</v>
      </c>
      <c r="X19" s="1">
        <v>0</v>
      </c>
      <c r="Y19" s="1">
        <v>1</v>
      </c>
      <c r="Z19" s="1">
        <v>1</v>
      </c>
      <c r="AA19" s="1">
        <v>1</v>
      </c>
      <c r="AB19" s="1">
        <v>0</v>
      </c>
      <c r="AC19" s="1">
        <v>0</v>
      </c>
      <c r="AD19" s="1">
        <v>1</v>
      </c>
      <c r="AE19" s="1">
        <v>0</v>
      </c>
      <c r="AF19" s="1">
        <v>0</v>
      </c>
      <c r="AG19" s="1">
        <v>0</v>
      </c>
      <c r="AH19" s="1">
        <v>1</v>
      </c>
      <c r="AI19" s="1">
        <v>0</v>
      </c>
      <c r="AJ19" s="1">
        <v>0</v>
      </c>
      <c r="AK19" s="1">
        <v>0</v>
      </c>
      <c r="AL19" s="1">
        <v>0</v>
      </c>
      <c r="AM19" s="1">
        <v>1</v>
      </c>
      <c r="AN19" s="1">
        <v>0</v>
      </c>
      <c r="AO19" s="1">
        <v>0</v>
      </c>
      <c r="AP19" s="1">
        <v>1</v>
      </c>
      <c r="AQ19" s="1">
        <v>0</v>
      </c>
      <c r="AR19" s="1">
        <v>0</v>
      </c>
      <c r="AS19" s="1">
        <v>0</v>
      </c>
      <c r="AT19" s="1">
        <v>0</v>
      </c>
      <c r="AU19" s="1">
        <v>1</v>
      </c>
      <c r="AV19" s="1">
        <v>0</v>
      </c>
      <c r="AW19" s="1">
        <v>0</v>
      </c>
      <c r="AX19" s="1">
        <v>0</v>
      </c>
      <c r="AY19" s="1">
        <v>0</v>
      </c>
      <c r="AZ19" s="1">
        <v>0</v>
      </c>
      <c r="BA19" s="1">
        <v>1</v>
      </c>
      <c r="BB19" s="1">
        <v>1</v>
      </c>
      <c r="BC19" s="1">
        <v>0</v>
      </c>
      <c r="BD19" s="1">
        <v>0</v>
      </c>
      <c r="BE19" s="1">
        <v>0</v>
      </c>
      <c r="BF19" s="1">
        <v>0</v>
      </c>
      <c r="BG19" s="1">
        <v>1</v>
      </c>
      <c r="BH19" s="1">
        <v>0</v>
      </c>
      <c r="BI19" s="1">
        <v>0</v>
      </c>
      <c r="BJ19" s="1">
        <v>1</v>
      </c>
      <c r="BK19" s="7">
        <f t="shared" si="53"/>
        <v>20</v>
      </c>
      <c r="BL19" s="9">
        <f t="shared" si="54"/>
        <v>400</v>
      </c>
    </row>
    <row r="20" spans="1:64" x14ac:dyDescent="0.25">
      <c r="B20" s="1" t="s">
        <v>107</v>
      </c>
      <c r="C20">
        <f>SUM(C12:C19)</f>
        <v>8</v>
      </c>
      <c r="D20">
        <f t="shared" ref="D20:AD20" si="55">SUM(D12:D19)</f>
        <v>4</v>
      </c>
      <c r="E20">
        <f t="shared" si="55"/>
        <v>5</v>
      </c>
      <c r="F20">
        <f t="shared" si="55"/>
        <v>3</v>
      </c>
      <c r="G20">
        <f t="shared" si="55"/>
        <v>2</v>
      </c>
      <c r="H20">
        <f t="shared" si="55"/>
        <v>3</v>
      </c>
      <c r="I20">
        <f t="shared" si="55"/>
        <v>3</v>
      </c>
      <c r="J20">
        <f t="shared" si="55"/>
        <v>4</v>
      </c>
      <c r="K20">
        <f t="shared" si="55"/>
        <v>2</v>
      </c>
      <c r="L20">
        <f t="shared" si="55"/>
        <v>5</v>
      </c>
      <c r="M20">
        <f t="shared" si="55"/>
        <v>3</v>
      </c>
      <c r="N20">
        <f t="shared" si="55"/>
        <v>4</v>
      </c>
      <c r="O20">
        <f t="shared" si="55"/>
        <v>4</v>
      </c>
      <c r="P20">
        <f t="shared" si="55"/>
        <v>5</v>
      </c>
      <c r="Q20">
        <f t="shared" si="55"/>
        <v>3</v>
      </c>
      <c r="R20">
        <f t="shared" si="55"/>
        <v>7</v>
      </c>
      <c r="S20">
        <f t="shared" si="55"/>
        <v>7</v>
      </c>
      <c r="T20">
        <f t="shared" si="55"/>
        <v>2</v>
      </c>
      <c r="U20">
        <f t="shared" si="55"/>
        <v>2</v>
      </c>
      <c r="V20">
        <f t="shared" si="55"/>
        <v>3</v>
      </c>
      <c r="W20">
        <f t="shared" si="55"/>
        <v>1</v>
      </c>
      <c r="X20">
        <f t="shared" si="55"/>
        <v>6</v>
      </c>
      <c r="Y20">
        <f t="shared" si="55"/>
        <v>4</v>
      </c>
      <c r="Z20">
        <f t="shared" si="55"/>
        <v>5</v>
      </c>
      <c r="AA20">
        <f t="shared" si="55"/>
        <v>7</v>
      </c>
      <c r="AB20">
        <f t="shared" si="55"/>
        <v>2</v>
      </c>
      <c r="AC20">
        <f t="shared" si="55"/>
        <v>1</v>
      </c>
      <c r="AD20">
        <f t="shared" si="55"/>
        <v>8</v>
      </c>
      <c r="AE20">
        <f>SUM(AE12:AE19)</f>
        <v>6</v>
      </c>
      <c r="AF20">
        <f t="shared" ref="AF20" si="56">SUM(AF12:AF19)</f>
        <v>5</v>
      </c>
      <c r="AG20">
        <f t="shared" ref="AG20" si="57">SUM(AG12:AG19)</f>
        <v>5</v>
      </c>
      <c r="AH20">
        <f t="shared" ref="AH20" si="58">SUM(AH12:AH19)</f>
        <v>5</v>
      </c>
      <c r="AI20">
        <f t="shared" ref="AI20" si="59">SUM(AI12:AI19)</f>
        <v>4</v>
      </c>
      <c r="AJ20">
        <f t="shared" ref="AJ20" si="60">SUM(AJ12:AJ19)</f>
        <v>5</v>
      </c>
      <c r="AK20">
        <f t="shared" ref="AK20" si="61">SUM(AK12:AK19)</f>
        <v>4</v>
      </c>
      <c r="AL20">
        <f t="shared" ref="AL20" si="62">SUM(AL12:AL19)</f>
        <v>3</v>
      </c>
      <c r="AM20">
        <f t="shared" ref="AM20" si="63">SUM(AM12:AM19)</f>
        <v>7</v>
      </c>
      <c r="AN20">
        <f t="shared" ref="AN20" si="64">SUM(AN12:AN19)</f>
        <v>2</v>
      </c>
      <c r="AO20">
        <f t="shared" ref="AO20" si="65">SUM(AO12:AO19)</f>
        <v>1</v>
      </c>
      <c r="AP20">
        <f t="shared" ref="AP20" si="66">SUM(AP12:AP19)</f>
        <v>5</v>
      </c>
      <c r="AQ20">
        <f t="shared" ref="AQ20" si="67">SUM(AQ12:AQ19)</f>
        <v>3</v>
      </c>
      <c r="AR20">
        <f t="shared" ref="AR20" si="68">SUM(AR12:AR19)</f>
        <v>3</v>
      </c>
      <c r="AS20">
        <f t="shared" ref="AS20" si="69">SUM(AS12:AS19)</f>
        <v>3</v>
      </c>
      <c r="AT20">
        <f t="shared" ref="AT20" si="70">SUM(AT12:AT19)</f>
        <v>1</v>
      </c>
      <c r="AU20">
        <f t="shared" ref="AU20" si="71">SUM(AU12:AU19)</f>
        <v>5</v>
      </c>
      <c r="AV20">
        <f t="shared" ref="AV20" si="72">SUM(AV12:AV19)</f>
        <v>1</v>
      </c>
      <c r="AW20">
        <f t="shared" ref="AW20" si="73">SUM(AW12:AW19)</f>
        <v>3</v>
      </c>
      <c r="AX20">
        <f t="shared" ref="AX20" si="74">SUM(AX12:AX19)</f>
        <v>5</v>
      </c>
      <c r="AY20">
        <f t="shared" ref="AY20" si="75">SUM(AY12:AY19)</f>
        <v>5</v>
      </c>
      <c r="AZ20">
        <f t="shared" ref="AZ20" si="76">SUM(AZ12:AZ19)</f>
        <v>3</v>
      </c>
      <c r="BA20">
        <f t="shared" ref="BA20" si="77">SUM(BA12:BA19)</f>
        <v>5</v>
      </c>
      <c r="BB20">
        <f t="shared" ref="BB20" si="78">SUM(BB12:BB19)</f>
        <v>5</v>
      </c>
      <c r="BC20">
        <f>SUM(BC12:BC19)</f>
        <v>4</v>
      </c>
      <c r="BD20">
        <f t="shared" ref="BD20" si="79">SUM(BD12:BD19)</f>
        <v>4</v>
      </c>
      <c r="BE20">
        <f t="shared" ref="BE20" si="80">SUM(BE12:BE19)</f>
        <v>6</v>
      </c>
      <c r="BF20">
        <f t="shared" ref="BF20" si="81">SUM(BF12:BF19)</f>
        <v>5</v>
      </c>
      <c r="BG20">
        <f t="shared" ref="BG20" si="82">SUM(BG12:BG19)</f>
        <v>4</v>
      </c>
      <c r="BH20">
        <f t="shared" ref="BH20" si="83">SUM(BH12:BH19)</f>
        <v>3</v>
      </c>
      <c r="BI20">
        <f t="shared" ref="BI20" si="84">SUM(BI12:BI19)</f>
        <v>7</v>
      </c>
      <c r="BJ20">
        <f t="shared" ref="BJ20" si="85">SUM(BJ12:BJ19)</f>
        <v>3</v>
      </c>
      <c r="BK20">
        <f t="shared" ref="BK20" si="86">SUM(BK12:BK19)</f>
        <v>243</v>
      </c>
      <c r="BL20">
        <f t="shared" ref="BL20" si="87">SUM(BL12:BL19)</f>
        <v>7555</v>
      </c>
    </row>
    <row r="22" spans="1:64" x14ac:dyDescent="0.25">
      <c r="B22" s="1" t="s">
        <v>106</v>
      </c>
      <c r="C22">
        <f>SUM(C10/8)-(C20/8)</f>
        <v>0</v>
      </c>
      <c r="D22">
        <f t="shared" ref="D22:BL22" si="88">SUM(D10/8)-(D20/8)</f>
        <v>0.375</v>
      </c>
      <c r="E22">
        <f t="shared" si="88"/>
        <v>0.25</v>
      </c>
      <c r="F22">
        <f t="shared" si="88"/>
        <v>0.5</v>
      </c>
      <c r="G22">
        <f t="shared" si="88"/>
        <v>0.75</v>
      </c>
      <c r="H22">
        <f t="shared" si="88"/>
        <v>0.625</v>
      </c>
      <c r="I22">
        <f t="shared" si="88"/>
        <v>0.625</v>
      </c>
      <c r="J22">
        <f t="shared" si="88"/>
        <v>0.375</v>
      </c>
      <c r="K22">
        <f t="shared" si="88"/>
        <v>0.625</v>
      </c>
      <c r="L22">
        <f t="shared" si="88"/>
        <v>0.375</v>
      </c>
      <c r="M22">
        <f t="shared" si="88"/>
        <v>0.625</v>
      </c>
      <c r="N22">
        <f t="shared" si="88"/>
        <v>0.5</v>
      </c>
      <c r="O22">
        <f t="shared" si="88"/>
        <v>0.5</v>
      </c>
      <c r="P22">
        <f t="shared" si="88"/>
        <v>0.25</v>
      </c>
      <c r="Q22">
        <f t="shared" si="88"/>
        <v>0.625</v>
      </c>
      <c r="R22">
        <f t="shared" si="88"/>
        <v>0.125</v>
      </c>
      <c r="S22">
        <f t="shared" si="88"/>
        <v>0.125</v>
      </c>
      <c r="T22">
        <f t="shared" si="88"/>
        <v>0.625</v>
      </c>
      <c r="U22">
        <f t="shared" si="88"/>
        <v>0.75</v>
      </c>
      <c r="V22">
        <f t="shared" si="88"/>
        <v>0.375</v>
      </c>
      <c r="W22">
        <f t="shared" si="88"/>
        <v>0.75</v>
      </c>
      <c r="X22">
        <f t="shared" si="88"/>
        <v>0.125</v>
      </c>
      <c r="Y22">
        <f t="shared" si="88"/>
        <v>0.375</v>
      </c>
      <c r="Z22">
        <f t="shared" si="88"/>
        <v>0.375</v>
      </c>
      <c r="AA22">
        <f t="shared" si="88"/>
        <v>0.125</v>
      </c>
      <c r="AB22">
        <f t="shared" si="88"/>
        <v>0.75</v>
      </c>
      <c r="AC22">
        <f t="shared" si="88"/>
        <v>0.5</v>
      </c>
      <c r="AD22">
        <f t="shared" si="88"/>
        <v>0</v>
      </c>
      <c r="AE22">
        <f t="shared" si="88"/>
        <v>0.25</v>
      </c>
      <c r="AF22">
        <f t="shared" si="88"/>
        <v>0.375</v>
      </c>
      <c r="AG22">
        <f t="shared" si="88"/>
        <v>0.375</v>
      </c>
      <c r="AH22">
        <f t="shared" si="88"/>
        <v>0.25</v>
      </c>
      <c r="AI22">
        <f t="shared" si="88"/>
        <v>0.5</v>
      </c>
      <c r="AJ22">
        <f t="shared" si="88"/>
        <v>0.25</v>
      </c>
      <c r="AK22">
        <f t="shared" si="88"/>
        <v>0.5</v>
      </c>
      <c r="AL22">
        <f t="shared" si="88"/>
        <v>0.375</v>
      </c>
      <c r="AM22">
        <f t="shared" si="88"/>
        <v>0.125</v>
      </c>
      <c r="AN22">
        <f t="shared" si="88"/>
        <v>0.625</v>
      </c>
      <c r="AO22">
        <f t="shared" si="88"/>
        <v>0.75</v>
      </c>
      <c r="AP22">
        <f t="shared" si="88"/>
        <v>0.375</v>
      </c>
      <c r="AQ22">
        <f t="shared" si="88"/>
        <v>0.625</v>
      </c>
      <c r="AR22">
        <f t="shared" si="88"/>
        <v>0.375</v>
      </c>
      <c r="AS22">
        <f t="shared" si="88"/>
        <v>0.625</v>
      </c>
      <c r="AT22">
        <f t="shared" si="88"/>
        <v>0.75</v>
      </c>
      <c r="AU22">
        <f t="shared" si="88"/>
        <v>0.25</v>
      </c>
      <c r="AV22">
        <f t="shared" si="88"/>
        <v>0.75</v>
      </c>
      <c r="AW22">
        <f t="shared" si="88"/>
        <v>0.625</v>
      </c>
      <c r="AX22">
        <f t="shared" si="88"/>
        <v>0.25</v>
      </c>
      <c r="AY22">
        <f t="shared" si="88"/>
        <v>0.375</v>
      </c>
      <c r="AZ22">
        <f t="shared" si="88"/>
        <v>0.5</v>
      </c>
      <c r="BA22">
        <f t="shared" si="88"/>
        <v>0.375</v>
      </c>
      <c r="BB22">
        <f t="shared" si="88"/>
        <v>0.25</v>
      </c>
      <c r="BC22">
        <f t="shared" si="88"/>
        <v>0.5</v>
      </c>
      <c r="BD22">
        <f t="shared" si="88"/>
        <v>0.5</v>
      </c>
      <c r="BE22">
        <f t="shared" si="88"/>
        <v>0.25</v>
      </c>
      <c r="BF22">
        <f t="shared" si="88"/>
        <v>0.375</v>
      </c>
      <c r="BG22">
        <f t="shared" si="88"/>
        <v>0.5</v>
      </c>
      <c r="BH22">
        <f t="shared" si="88"/>
        <v>0.25</v>
      </c>
      <c r="BI22">
        <f t="shared" si="88"/>
        <v>0.125</v>
      </c>
      <c r="BJ22">
        <f t="shared" si="88"/>
        <v>0.625</v>
      </c>
      <c r="BK22">
        <f t="shared" si="88"/>
        <v>25.625</v>
      </c>
      <c r="BL22">
        <f t="shared" si="88"/>
        <v>2199.375</v>
      </c>
    </row>
    <row r="23" spans="1:64" x14ac:dyDescent="0.25">
      <c r="B23" s="1" t="s">
        <v>98</v>
      </c>
      <c r="C23" t="str">
        <f>IF(C22&lt;=0.2,"jelek",IF(C22&lt;=0.4,"cukup",IF(C22&lt;=0.7,"baik","sangat baik")))</f>
        <v>jelek</v>
      </c>
      <c r="D23" t="str">
        <f t="shared" ref="D23:T23" si="89">IF(D22&lt;=0.2,"jelek",IF(D22&lt;=0.4,"cukup",IF(D22&lt;=0.7,"baik","sangat baik")))</f>
        <v>cukup</v>
      </c>
      <c r="E23" t="str">
        <f t="shared" si="89"/>
        <v>cukup</v>
      </c>
      <c r="F23" t="str">
        <f t="shared" si="89"/>
        <v>baik</v>
      </c>
      <c r="G23" t="str">
        <f t="shared" si="89"/>
        <v>sangat baik</v>
      </c>
      <c r="H23" t="str">
        <f t="shared" si="89"/>
        <v>baik</v>
      </c>
      <c r="I23" t="str">
        <f t="shared" si="89"/>
        <v>baik</v>
      </c>
      <c r="J23" t="str">
        <f t="shared" si="89"/>
        <v>cukup</v>
      </c>
      <c r="K23" t="str">
        <f t="shared" si="89"/>
        <v>baik</v>
      </c>
      <c r="L23" t="str">
        <f t="shared" si="89"/>
        <v>cukup</v>
      </c>
      <c r="M23" t="str">
        <f t="shared" si="89"/>
        <v>baik</v>
      </c>
      <c r="N23" t="str">
        <f t="shared" si="89"/>
        <v>baik</v>
      </c>
      <c r="O23" t="str">
        <f t="shared" si="89"/>
        <v>baik</v>
      </c>
      <c r="P23" t="str">
        <f t="shared" si="89"/>
        <v>cukup</v>
      </c>
      <c r="Q23" t="str">
        <f t="shared" si="89"/>
        <v>baik</v>
      </c>
      <c r="R23" t="str">
        <f t="shared" si="89"/>
        <v>jelek</v>
      </c>
      <c r="S23" t="str">
        <f t="shared" si="89"/>
        <v>jelek</v>
      </c>
      <c r="T23" t="str">
        <f t="shared" si="89"/>
        <v>baik</v>
      </c>
      <c r="U23" t="str">
        <f>IF(U22&lt;=0.2,"jelek",IF(U22&lt;=0.4,"cukup",IF(U22&lt;=0.7,"baik","sangat baik")))</f>
        <v>sangat baik</v>
      </c>
      <c r="V23" t="str">
        <f t="shared" ref="V23" si="90">IF(V22&lt;=0.2,"jelek",IF(V22&lt;=0.4,"cukup",IF(V22&lt;=0.7,"baik","sangat baik")))</f>
        <v>cukup</v>
      </c>
      <c r="W23" t="str">
        <f t="shared" ref="W23" si="91">IF(W22&lt;=0.2,"jelek",IF(W22&lt;=0.4,"cukup",IF(W22&lt;=0.7,"baik","sangat baik")))</f>
        <v>sangat baik</v>
      </c>
      <c r="X23" t="str">
        <f t="shared" ref="X23" si="92">IF(X22&lt;=0.2,"jelek",IF(X22&lt;=0.4,"cukup",IF(X22&lt;=0.7,"baik","sangat baik")))</f>
        <v>jelek</v>
      </c>
      <c r="Y23" t="str">
        <f t="shared" ref="Y23" si="93">IF(Y22&lt;=0.2,"jelek",IF(Y22&lt;=0.4,"cukup",IF(Y22&lt;=0.7,"baik","sangat baik")))</f>
        <v>cukup</v>
      </c>
      <c r="Z23" t="str">
        <f t="shared" ref="Z23" si="94">IF(Z22&lt;=0.2,"jelek",IF(Z22&lt;=0.4,"cukup",IF(Z22&lt;=0.7,"baik","sangat baik")))</f>
        <v>cukup</v>
      </c>
      <c r="AA23" t="str">
        <f t="shared" ref="AA23" si="95">IF(AA22&lt;=0.2,"jelek",IF(AA22&lt;=0.4,"cukup",IF(AA22&lt;=0.7,"baik","sangat baik")))</f>
        <v>jelek</v>
      </c>
      <c r="AB23" t="str">
        <f t="shared" ref="AB23" si="96">IF(AB22&lt;=0.2,"jelek",IF(AB22&lt;=0.4,"cukup",IF(AB22&lt;=0.7,"baik","sangat baik")))</f>
        <v>sangat baik</v>
      </c>
      <c r="AC23" t="str">
        <f t="shared" ref="AC23" si="97">IF(AC22&lt;=0.2,"jelek",IF(AC22&lt;=0.4,"cukup",IF(AC22&lt;=0.7,"baik","sangat baik")))</f>
        <v>baik</v>
      </c>
      <c r="AD23" t="str">
        <f t="shared" ref="AD23" si="98">IF(AD22&lt;=0.2,"jelek",IF(AD22&lt;=0.4,"cukup",IF(AD22&lt;=0.7,"baik","sangat baik")))</f>
        <v>jelek</v>
      </c>
      <c r="AE23" t="str">
        <f t="shared" ref="AE23" si="99">IF(AE22&lt;=0.2,"jelek",IF(AE22&lt;=0.4,"cukup",IF(AE22&lt;=0.7,"baik","sangat baik")))</f>
        <v>cukup</v>
      </c>
      <c r="AF23" t="str">
        <f t="shared" ref="AF23" si="100">IF(AF22&lt;=0.2,"jelek",IF(AF22&lt;=0.4,"cukup",IF(AF22&lt;=0.7,"baik","sangat baik")))</f>
        <v>cukup</v>
      </c>
      <c r="AG23" t="str">
        <f t="shared" ref="AG23" si="101">IF(AG22&lt;=0.2,"jelek",IF(AG22&lt;=0.4,"cukup",IF(AG22&lt;=0.7,"baik","sangat baik")))</f>
        <v>cukup</v>
      </c>
      <c r="AH23" t="str">
        <f t="shared" ref="AH23" si="102">IF(AH22&lt;=0.2,"jelek",IF(AH22&lt;=0.4,"cukup",IF(AH22&lt;=0.7,"baik","sangat baik")))</f>
        <v>cukup</v>
      </c>
      <c r="AI23" t="str">
        <f t="shared" ref="AI23" si="103">IF(AI22&lt;=0.2,"jelek",IF(AI22&lt;=0.4,"cukup",IF(AI22&lt;=0.7,"baik","sangat baik")))</f>
        <v>baik</v>
      </c>
      <c r="AJ23" t="str">
        <f>IF(AJ22&lt;=0.2,"jelek",IF(AJ22&lt;=0.4,"cukup",IF(AJ22&lt;=0.7,"baik","sangat baik")))</f>
        <v>cukup</v>
      </c>
      <c r="AK23" t="str">
        <f t="shared" ref="AK23" si="104">IF(AK22&lt;=0.2,"jelek",IF(AK22&lt;=0.4,"cukup",IF(AK22&lt;=0.7,"baik","sangat baik")))</f>
        <v>baik</v>
      </c>
      <c r="AL23" t="str">
        <f t="shared" ref="AL23" si="105">IF(AL22&lt;=0.2,"jelek",IF(AL22&lt;=0.4,"cukup",IF(AL22&lt;=0.7,"baik","sangat baik")))</f>
        <v>cukup</v>
      </c>
      <c r="AM23" t="str">
        <f t="shared" ref="AM23" si="106">IF(AM22&lt;=0.2,"jelek",IF(AM22&lt;=0.4,"cukup",IF(AM22&lt;=0.7,"baik","sangat baik")))</f>
        <v>jelek</v>
      </c>
      <c r="AN23" t="str">
        <f t="shared" ref="AN23" si="107">IF(AN22&lt;=0.2,"jelek",IF(AN22&lt;=0.4,"cukup",IF(AN22&lt;=0.7,"baik","sangat baik")))</f>
        <v>baik</v>
      </c>
      <c r="AO23" t="str">
        <f t="shared" ref="AO23" si="108">IF(AO22&lt;=0.2,"jelek",IF(AO22&lt;=0.4,"cukup",IF(AO22&lt;=0.7,"baik","sangat baik")))</f>
        <v>sangat baik</v>
      </c>
      <c r="AP23" t="str">
        <f t="shared" ref="AP23" si="109">IF(AP22&lt;=0.2,"jelek",IF(AP22&lt;=0.4,"cukup",IF(AP22&lt;=0.7,"baik","sangat baik")))</f>
        <v>cukup</v>
      </c>
      <c r="AQ23" t="str">
        <f t="shared" ref="AQ23" si="110">IF(AQ22&lt;=0.2,"jelek",IF(AQ22&lt;=0.4,"cukup",IF(AQ22&lt;=0.7,"baik","sangat baik")))</f>
        <v>baik</v>
      </c>
      <c r="AR23" t="str">
        <f t="shared" ref="AR23" si="111">IF(AR22&lt;=0.2,"jelek",IF(AR22&lt;=0.4,"cukup",IF(AR22&lt;=0.7,"baik","sangat baik")))</f>
        <v>cukup</v>
      </c>
      <c r="AS23" t="str">
        <f t="shared" ref="AS23" si="112">IF(AS22&lt;=0.2,"jelek",IF(AS22&lt;=0.4,"cukup",IF(AS22&lt;=0.7,"baik","sangat baik")))</f>
        <v>baik</v>
      </c>
      <c r="AT23" t="str">
        <f t="shared" ref="AT23" si="113">IF(AT22&lt;=0.2,"jelek",IF(AT22&lt;=0.4,"cukup",IF(AT22&lt;=0.7,"baik","sangat baik")))</f>
        <v>sangat baik</v>
      </c>
      <c r="AU23" t="str">
        <f t="shared" ref="AU23" si="114">IF(AU22&lt;=0.2,"jelek",IF(AU22&lt;=0.4,"cukup",IF(AU22&lt;=0.7,"baik","sangat baik")))</f>
        <v>cukup</v>
      </c>
      <c r="AV23" t="str">
        <f t="shared" ref="AV23" si="115">IF(AV22&lt;=0.2,"jelek",IF(AV22&lt;=0.4,"cukup",IF(AV22&lt;=0.7,"baik","sangat baik")))</f>
        <v>sangat baik</v>
      </c>
      <c r="AW23" t="str">
        <f t="shared" ref="AW23" si="116">IF(AW22&lt;=0.2,"jelek",IF(AW22&lt;=0.4,"cukup",IF(AW22&lt;=0.7,"baik","sangat baik")))</f>
        <v>baik</v>
      </c>
      <c r="AX23" t="str">
        <f t="shared" ref="AX23" si="117">IF(AX22&lt;=0.2,"jelek",IF(AX22&lt;=0.4,"cukup",IF(AX22&lt;=0.7,"baik","sangat baik")))</f>
        <v>cukup</v>
      </c>
      <c r="AY23" t="str">
        <f t="shared" ref="AY23" si="118">IF(AY22&lt;=0.2,"jelek",IF(AY22&lt;=0.4,"cukup",IF(AY22&lt;=0.7,"baik","sangat baik")))</f>
        <v>cukup</v>
      </c>
      <c r="AZ23" t="str">
        <f t="shared" ref="AZ23" si="119">IF(AZ22&lt;=0.2,"jelek",IF(AZ22&lt;=0.4,"cukup",IF(AZ22&lt;=0.7,"baik","sangat baik")))</f>
        <v>baik</v>
      </c>
      <c r="BA23" t="str">
        <f t="shared" ref="BA23" si="120">IF(BA22&lt;=0.2,"jelek",IF(BA22&lt;=0.4,"cukup",IF(BA22&lt;=0.7,"baik","sangat baik")))</f>
        <v>cukup</v>
      </c>
      <c r="BB23" t="str">
        <f>IF(BB22&lt;=0.2,"jelek",IF(BB22&lt;=0.4,"cukup",IF(BB22&lt;=0.7,"baik","sangat baik")))</f>
        <v>cukup</v>
      </c>
      <c r="BC23" t="str">
        <f t="shared" ref="BC23" si="121">IF(BC22&lt;=0.2,"jelek",IF(BC22&lt;=0.4,"cukup",IF(BC22&lt;=0.7,"baik","sangat baik")))</f>
        <v>baik</v>
      </c>
      <c r="BD23" t="str">
        <f t="shared" ref="BD23" si="122">IF(BD22&lt;=0.2,"jelek",IF(BD22&lt;=0.4,"cukup",IF(BD22&lt;=0.7,"baik","sangat baik")))</f>
        <v>baik</v>
      </c>
      <c r="BE23" t="str">
        <f t="shared" ref="BE23" si="123">IF(BE22&lt;=0.2,"jelek",IF(BE22&lt;=0.4,"cukup",IF(BE22&lt;=0.7,"baik","sangat baik")))</f>
        <v>cukup</v>
      </c>
      <c r="BF23" t="str">
        <f t="shared" ref="BF23" si="124">IF(BF22&lt;=0.2,"jelek",IF(BF22&lt;=0.4,"cukup",IF(BF22&lt;=0.7,"baik","sangat baik")))</f>
        <v>cukup</v>
      </c>
      <c r="BG23" t="str">
        <f t="shared" ref="BG23" si="125">IF(BG22&lt;=0.2,"jelek",IF(BG22&lt;=0.4,"cukup",IF(BG22&lt;=0.7,"baik","sangat baik")))</f>
        <v>baik</v>
      </c>
      <c r="BH23" t="str">
        <f t="shared" ref="BH23" si="126">IF(BH22&lt;=0.2,"jelek",IF(BH22&lt;=0.4,"cukup",IF(BH22&lt;=0.7,"baik","sangat baik")))</f>
        <v>cukup</v>
      </c>
      <c r="BI23" t="str">
        <f t="shared" ref="BI23" si="127">IF(BI22&lt;=0.2,"jelek",IF(BI22&lt;=0.4,"cukup",IF(BI22&lt;=0.7,"baik","sangat baik")))</f>
        <v>jelek</v>
      </c>
      <c r="BJ23" t="str">
        <f t="shared" ref="BJ23" si="128">IF(BJ22&lt;=0.2,"jelek",IF(BJ22&lt;=0.4,"cukup",IF(BJ22&lt;=0.7,"baik","sangat baik")))</f>
        <v>baik</v>
      </c>
    </row>
    <row r="28" spans="1:64" x14ac:dyDescent="0.25">
      <c r="B28" t="s">
        <v>115</v>
      </c>
    </row>
    <row r="29" spans="1:64" x14ac:dyDescent="0.25">
      <c r="B29"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Responses 1</vt:lpstr>
      <vt:lpstr>SORTING SCORE</vt:lpstr>
      <vt:lpstr>DAYA PEMBEDA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Anthonio Akbar</cp:lastModifiedBy>
  <dcterms:created xsi:type="dcterms:W3CDTF">2024-05-23T07:22:53Z</dcterms:created>
  <dcterms:modified xsi:type="dcterms:W3CDTF">2024-07-02T17:15:33Z</dcterms:modified>
</cp:coreProperties>
</file>