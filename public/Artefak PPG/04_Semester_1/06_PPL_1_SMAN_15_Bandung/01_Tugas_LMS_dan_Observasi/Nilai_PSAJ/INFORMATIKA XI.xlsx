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UKK 2026\NILAI\KIRIM\XI\3\"/>
    </mc:Choice>
  </mc:AlternateContent>
  <xr:revisionPtr revIDLastSave="0" documentId="13_ncr:1_{D799988E-BC48-400B-BAAC-1241BADEEBBE}" xr6:coauthVersionLast="47" xr6:coauthVersionMax="47" xr10:uidLastSave="{00000000-0000-0000-0000-000000000000}"/>
  <bookViews>
    <workbookView xWindow="-13620" yWindow="-120" windowWidth="13740" windowHeight="23520" tabRatio="505" xr2:uid="{00000000-000D-0000-FFFF-FFFF00000000}"/>
  </bookViews>
  <sheets>
    <sheet name="Sheet1" sheetId="1" r:id="rId1"/>
    <sheet name="DATA" sheetId="2" r:id="rId2"/>
  </sheets>
  <definedNames>
    <definedName name="_xlnm.Print_Area" localSheetId="0">Sheet1!$A:$K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" i="2" l="1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Y414" i="2"/>
  <c r="AZ414" i="2"/>
  <c r="AY415" i="2"/>
  <c r="AZ415" i="2"/>
  <c r="AY416" i="2"/>
  <c r="AZ416" i="2"/>
  <c r="AY417" i="2"/>
  <c r="AZ417" i="2"/>
  <c r="AY418" i="2"/>
  <c r="AZ418" i="2"/>
  <c r="AY419" i="2"/>
  <c r="AZ419" i="2"/>
  <c r="AY420" i="2"/>
  <c r="AZ420" i="2"/>
  <c r="AY421" i="2"/>
  <c r="AZ421" i="2"/>
  <c r="AY422" i="2"/>
  <c r="AZ422" i="2"/>
  <c r="AY423" i="2"/>
  <c r="AZ423" i="2"/>
  <c r="AY424" i="2"/>
  <c r="AZ424" i="2"/>
  <c r="AY425" i="2"/>
  <c r="AZ425" i="2"/>
  <c r="AY426" i="2"/>
  <c r="AZ426" i="2"/>
  <c r="AY427" i="2"/>
  <c r="AZ427" i="2"/>
  <c r="AY428" i="2"/>
  <c r="AZ428" i="2"/>
  <c r="AY429" i="2"/>
  <c r="AZ429" i="2"/>
  <c r="AY430" i="2"/>
  <c r="AZ430" i="2"/>
  <c r="AY431" i="2"/>
  <c r="AZ431" i="2"/>
  <c r="AY432" i="2"/>
  <c r="AZ432" i="2"/>
  <c r="AY433" i="2"/>
  <c r="AZ433" i="2"/>
  <c r="AY434" i="2"/>
  <c r="AZ434" i="2"/>
  <c r="AY435" i="2"/>
  <c r="AZ435" i="2"/>
  <c r="AY436" i="2"/>
  <c r="AZ436" i="2"/>
  <c r="AY437" i="2"/>
  <c r="AZ437" i="2"/>
  <c r="AY438" i="2"/>
  <c r="AZ438" i="2"/>
  <c r="AY439" i="2"/>
  <c r="AZ439" i="2"/>
  <c r="AY440" i="2"/>
  <c r="AZ440" i="2"/>
  <c r="AY441" i="2"/>
  <c r="AZ441" i="2"/>
  <c r="AY442" i="2"/>
  <c r="AZ442" i="2"/>
  <c r="AY443" i="2"/>
  <c r="AZ443" i="2"/>
  <c r="AY444" i="2"/>
  <c r="AZ444" i="2"/>
  <c r="AY445" i="2"/>
  <c r="AZ445" i="2"/>
  <c r="AY446" i="2"/>
  <c r="AZ446" i="2"/>
  <c r="AY447" i="2"/>
  <c r="AZ447" i="2"/>
  <c r="AY448" i="2"/>
  <c r="AZ448" i="2"/>
  <c r="AY449" i="2"/>
  <c r="AZ449" i="2"/>
  <c r="AY450" i="2"/>
  <c r="AZ450" i="2"/>
  <c r="AY451" i="2"/>
  <c r="AZ451" i="2"/>
  <c r="AY452" i="2"/>
  <c r="AZ452" i="2"/>
  <c r="AY453" i="2"/>
  <c r="AZ453" i="2"/>
  <c r="AY454" i="2"/>
  <c r="AZ454" i="2"/>
  <c r="AY455" i="2"/>
  <c r="AZ455" i="2"/>
  <c r="AY456" i="2"/>
  <c r="AZ456" i="2"/>
  <c r="AY457" i="2"/>
  <c r="AZ457" i="2"/>
  <c r="AY458" i="2"/>
  <c r="AZ458" i="2"/>
  <c r="AY459" i="2"/>
  <c r="AZ459" i="2"/>
  <c r="AY460" i="2"/>
  <c r="AZ460" i="2"/>
  <c r="AY461" i="2"/>
  <c r="AZ461" i="2"/>
  <c r="AY462" i="2"/>
  <c r="AZ462" i="2"/>
  <c r="AY463" i="2"/>
  <c r="AZ463" i="2"/>
  <c r="AY464" i="2"/>
  <c r="AZ464" i="2"/>
  <c r="AY465" i="2"/>
  <c r="AZ465" i="2"/>
  <c r="AY466" i="2"/>
  <c r="AZ466" i="2"/>
  <c r="AY467" i="2"/>
  <c r="AZ467" i="2"/>
  <c r="AY468" i="2"/>
  <c r="AZ468" i="2"/>
  <c r="AY469" i="2"/>
  <c r="AZ469" i="2"/>
  <c r="AY470" i="2"/>
  <c r="AZ470" i="2"/>
  <c r="AY471" i="2"/>
  <c r="AZ471" i="2"/>
  <c r="AY472" i="2"/>
  <c r="AZ472" i="2"/>
  <c r="AY473" i="2"/>
  <c r="AZ473" i="2"/>
  <c r="AY474" i="2"/>
  <c r="AZ474" i="2"/>
  <c r="AY475" i="2"/>
  <c r="AZ475" i="2"/>
  <c r="AY476" i="2"/>
  <c r="AZ476" i="2"/>
  <c r="AY477" i="2"/>
  <c r="AZ477" i="2"/>
  <c r="AY478" i="2"/>
  <c r="AZ478" i="2"/>
  <c r="AY479" i="2"/>
  <c r="AZ479" i="2"/>
  <c r="AY480" i="2"/>
  <c r="AZ480" i="2"/>
  <c r="AY481" i="2"/>
  <c r="AZ481" i="2"/>
  <c r="AY482" i="2"/>
  <c r="AZ482" i="2"/>
  <c r="AY483" i="2"/>
  <c r="AZ483" i="2"/>
  <c r="AY484" i="2"/>
  <c r="AZ484" i="2"/>
  <c r="AY485" i="2"/>
  <c r="AZ485" i="2"/>
  <c r="AY486" i="2"/>
  <c r="AZ486" i="2"/>
  <c r="AY487" i="2"/>
  <c r="AZ487" i="2"/>
  <c r="AY488" i="2"/>
  <c r="AZ488" i="2"/>
  <c r="AY489" i="2"/>
  <c r="AZ489" i="2"/>
  <c r="AY490" i="2"/>
  <c r="AZ490" i="2"/>
  <c r="AY491" i="2"/>
  <c r="AZ491" i="2"/>
  <c r="AY492" i="2"/>
  <c r="AZ492" i="2"/>
  <c r="AY493" i="2"/>
  <c r="AZ493" i="2"/>
  <c r="AY494" i="2"/>
  <c r="AZ494" i="2"/>
  <c r="AY495" i="2"/>
  <c r="AZ495" i="2"/>
  <c r="AY496" i="2"/>
  <c r="AZ496" i="2"/>
  <c r="AY497" i="2"/>
  <c r="AZ497" i="2"/>
  <c r="AY498" i="2"/>
  <c r="AZ498" i="2"/>
  <c r="AY499" i="2"/>
  <c r="AZ499" i="2"/>
  <c r="AY500" i="2"/>
  <c r="AZ500" i="2"/>
  <c r="AY501" i="2"/>
  <c r="AZ501" i="2"/>
  <c r="AY502" i="2"/>
  <c r="AZ502" i="2"/>
  <c r="AY503" i="2"/>
  <c r="AZ503" i="2"/>
  <c r="AY504" i="2"/>
  <c r="AZ504" i="2"/>
  <c r="AY505" i="2"/>
  <c r="AZ505" i="2"/>
  <c r="AY506" i="2"/>
  <c r="AZ506" i="2"/>
  <c r="AY507" i="2"/>
  <c r="AZ507" i="2"/>
  <c r="AY508" i="2"/>
  <c r="AZ508" i="2"/>
  <c r="AY509" i="2"/>
  <c r="AZ509" i="2"/>
  <c r="AY510" i="2"/>
  <c r="AZ510" i="2"/>
  <c r="AY511" i="2"/>
  <c r="AZ511" i="2"/>
  <c r="AY512" i="2"/>
  <c r="AZ512" i="2"/>
  <c r="AY513" i="2"/>
  <c r="AZ513" i="2"/>
  <c r="AY514" i="2"/>
  <c r="AZ514" i="2"/>
  <c r="AY515" i="2"/>
  <c r="AZ515" i="2"/>
  <c r="AY516" i="2"/>
  <c r="AZ516" i="2"/>
  <c r="AY517" i="2"/>
  <c r="AZ517" i="2"/>
  <c r="AY518" i="2"/>
  <c r="AZ518" i="2"/>
  <c r="AY519" i="2"/>
  <c r="AZ519" i="2"/>
  <c r="AY520" i="2"/>
  <c r="AZ520" i="2"/>
  <c r="AY521" i="2"/>
  <c r="AZ521" i="2"/>
  <c r="AY522" i="2"/>
  <c r="AZ522" i="2"/>
  <c r="AY523" i="2"/>
  <c r="AZ523" i="2"/>
  <c r="AY524" i="2"/>
  <c r="AZ524" i="2"/>
  <c r="AY525" i="2"/>
  <c r="AZ525" i="2"/>
  <c r="AY526" i="2"/>
  <c r="AZ526" i="2"/>
  <c r="BA527" i="2"/>
  <c r="AY527" i="2"/>
  <c r="AZ527" i="2"/>
  <c r="AY528" i="2"/>
  <c r="AZ528" i="2"/>
  <c r="BA529" i="2"/>
  <c r="AY529" i="2"/>
  <c r="AZ529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3" i="2"/>
  <c r="BA487" i="2" l="1"/>
  <c r="BA497" i="2"/>
  <c r="BA485" i="2"/>
  <c r="BA457" i="2"/>
  <c r="BA453" i="2"/>
  <c r="BA449" i="2"/>
  <c r="BA447" i="2"/>
  <c r="BA445" i="2"/>
  <c r="BA439" i="2"/>
  <c r="BA429" i="2"/>
  <c r="BA421" i="2"/>
  <c r="BA498" i="2"/>
  <c r="BA525" i="2"/>
  <c r="BA521" i="2"/>
  <c r="BA489" i="2"/>
  <c r="BA523" i="2"/>
  <c r="BA509" i="2"/>
  <c r="BA501" i="2"/>
  <c r="BA417" i="2"/>
  <c r="BA519" i="2"/>
  <c r="BA517" i="2"/>
  <c r="BA515" i="2"/>
  <c r="BA511" i="2"/>
  <c r="BA499" i="2"/>
  <c r="BA456" i="2"/>
  <c r="BA473" i="2"/>
  <c r="BA483" i="2"/>
  <c r="BA481" i="2"/>
  <c r="BA479" i="2"/>
  <c r="BA475" i="2"/>
  <c r="BA465" i="2"/>
  <c r="BA420" i="2"/>
  <c r="BA437" i="2"/>
  <c r="BA510" i="2"/>
  <c r="BA495" i="2"/>
  <c r="BA493" i="2"/>
  <c r="BA491" i="2"/>
  <c r="BA474" i="2"/>
  <c r="BA438" i="2"/>
  <c r="BA513" i="2"/>
  <c r="BA477" i="2"/>
  <c r="BA451" i="2"/>
  <c r="BA441" i="2"/>
  <c r="BA415" i="2"/>
  <c r="BA522" i="2"/>
  <c r="BA507" i="2"/>
  <c r="BA505" i="2"/>
  <c r="BA503" i="2"/>
  <c r="BA486" i="2"/>
  <c r="BA471" i="2"/>
  <c r="BA469" i="2"/>
  <c r="BA461" i="2"/>
  <c r="BA452" i="2"/>
  <c r="BA435" i="2"/>
  <c r="BA433" i="2"/>
  <c r="BA425" i="2"/>
  <c r="BA416" i="2"/>
  <c r="BA463" i="2"/>
  <c r="BA444" i="2"/>
  <c r="BA427" i="2"/>
  <c r="BA518" i="2"/>
  <c r="BA506" i="2"/>
  <c r="BA494" i="2"/>
  <c r="BA482" i="2"/>
  <c r="BA468" i="2"/>
  <c r="BA459" i="2"/>
  <c r="BA450" i="2"/>
  <c r="BA432" i="2"/>
  <c r="BA423" i="2"/>
  <c r="BA414" i="2"/>
  <c r="BA528" i="2"/>
  <c r="BA504" i="2"/>
  <c r="BA492" i="2"/>
  <c r="BA480" i="2"/>
  <c r="BA464" i="2"/>
  <c r="BA455" i="2"/>
  <c r="BA448" i="2"/>
  <c r="BA428" i="2"/>
  <c r="BA419" i="2"/>
  <c r="BA520" i="2"/>
  <c r="BA508" i="2"/>
  <c r="BA496" i="2"/>
  <c r="BA484" i="2"/>
  <c r="BA472" i="2"/>
  <c r="BA526" i="2"/>
  <c r="BA514" i="2"/>
  <c r="BA502" i="2"/>
  <c r="BA490" i="2"/>
  <c r="BA478" i="2"/>
  <c r="BA462" i="2"/>
  <c r="BA426" i="2"/>
  <c r="BA443" i="2"/>
  <c r="BA436" i="2"/>
  <c r="BA524" i="2"/>
  <c r="BA512" i="2"/>
  <c r="BA500" i="2"/>
  <c r="BA488" i="2"/>
  <c r="BA476" i="2"/>
  <c r="BA467" i="2"/>
  <c r="BA460" i="2"/>
  <c r="BA440" i="2"/>
  <c r="BA431" i="2"/>
  <c r="BA424" i="2"/>
  <c r="BA470" i="2"/>
  <c r="BA458" i="2"/>
  <c r="BA446" i="2"/>
  <c r="BA434" i="2"/>
  <c r="BA422" i="2"/>
  <c r="BA466" i="2"/>
  <c r="BA454" i="2"/>
  <c r="BA442" i="2"/>
  <c r="BA430" i="2"/>
  <c r="BA418" i="2"/>
  <c r="BA516" i="2"/>
  <c r="AY412" i="2" l="1"/>
  <c r="AZ412" i="2"/>
  <c r="AY413" i="2"/>
  <c r="AZ413" i="2"/>
  <c r="AY384" i="2"/>
  <c r="AZ384" i="2"/>
  <c r="AY385" i="2"/>
  <c r="AZ385" i="2"/>
  <c r="AY386" i="2"/>
  <c r="AZ386" i="2"/>
  <c r="AY387" i="2"/>
  <c r="AZ387" i="2"/>
  <c r="AY388" i="2"/>
  <c r="AZ388" i="2"/>
  <c r="AY389" i="2"/>
  <c r="AZ389" i="2"/>
  <c r="AY390" i="2"/>
  <c r="AZ390" i="2"/>
  <c r="AY391" i="2"/>
  <c r="AZ391" i="2"/>
  <c r="AY392" i="2"/>
  <c r="AZ392" i="2"/>
  <c r="AY393" i="2"/>
  <c r="AZ393" i="2"/>
  <c r="AY394" i="2"/>
  <c r="AZ394" i="2"/>
  <c r="AY395" i="2"/>
  <c r="AZ395" i="2"/>
  <c r="AY396" i="2"/>
  <c r="AZ396" i="2"/>
  <c r="AY397" i="2"/>
  <c r="AZ397" i="2"/>
  <c r="AY398" i="2"/>
  <c r="AZ398" i="2"/>
  <c r="AY399" i="2"/>
  <c r="AZ399" i="2"/>
  <c r="AY400" i="2"/>
  <c r="AZ400" i="2"/>
  <c r="AY401" i="2"/>
  <c r="AZ401" i="2"/>
  <c r="AY402" i="2"/>
  <c r="AZ402" i="2"/>
  <c r="AY403" i="2"/>
  <c r="AZ403" i="2"/>
  <c r="AY404" i="2"/>
  <c r="AZ404" i="2"/>
  <c r="AY405" i="2"/>
  <c r="AZ405" i="2"/>
  <c r="AY406" i="2"/>
  <c r="AZ406" i="2"/>
  <c r="AY407" i="2"/>
  <c r="AZ407" i="2"/>
  <c r="AY408" i="2"/>
  <c r="AZ408" i="2"/>
  <c r="AY409" i="2"/>
  <c r="AZ409" i="2"/>
  <c r="AY410" i="2"/>
  <c r="AZ410" i="2"/>
  <c r="AY411" i="2"/>
  <c r="AZ411" i="2"/>
  <c r="AY245" i="2"/>
  <c r="AZ245" i="2"/>
  <c r="AY253" i="2"/>
  <c r="AZ253" i="2"/>
  <c r="AY254" i="2"/>
  <c r="AZ254" i="2"/>
  <c r="AY241" i="2"/>
  <c r="AZ241" i="2"/>
  <c r="AY247" i="2"/>
  <c r="AZ247" i="2"/>
  <c r="AY242" i="2"/>
  <c r="AZ242" i="2"/>
  <c r="AY196" i="2"/>
  <c r="AZ196" i="2"/>
  <c r="AY203" i="2"/>
  <c r="AZ203" i="2"/>
  <c r="AY206" i="2"/>
  <c r="AZ206" i="2"/>
  <c r="AY205" i="2"/>
  <c r="AZ205" i="2"/>
  <c r="AY209" i="2"/>
  <c r="AZ209" i="2"/>
  <c r="AY195" i="2"/>
  <c r="AZ195" i="2"/>
  <c r="AY207" i="2"/>
  <c r="AZ207" i="2"/>
  <c r="AY208" i="2"/>
  <c r="AZ208" i="2"/>
  <c r="AY194" i="2"/>
  <c r="AZ194" i="2"/>
  <c r="AY202" i="2"/>
  <c r="AZ202" i="2"/>
  <c r="AY199" i="2"/>
  <c r="AZ199" i="2"/>
  <c r="AY200" i="2"/>
  <c r="AZ200" i="2"/>
  <c r="AY197" i="2"/>
  <c r="AZ197" i="2"/>
  <c r="AY251" i="2"/>
  <c r="AZ251" i="2"/>
  <c r="AY201" i="2"/>
  <c r="AZ201" i="2"/>
  <c r="AY285" i="2"/>
  <c r="AZ285" i="2"/>
  <c r="AY282" i="2"/>
  <c r="AZ282" i="2"/>
  <c r="AY204" i="2"/>
  <c r="AZ204" i="2"/>
  <c r="AY246" i="2"/>
  <c r="AZ246" i="2"/>
  <c r="AY277" i="2"/>
  <c r="AZ277" i="2"/>
  <c r="AY284" i="2"/>
  <c r="AZ284" i="2"/>
  <c r="AY11" i="2"/>
  <c r="AZ11" i="2"/>
  <c r="AY25" i="2"/>
  <c r="AZ25" i="2"/>
  <c r="AY7" i="2"/>
  <c r="AZ7" i="2"/>
  <c r="AY243" i="2"/>
  <c r="AZ243" i="2"/>
  <c r="AY23" i="2"/>
  <c r="AZ23" i="2"/>
  <c r="AY10" i="2"/>
  <c r="AZ10" i="2"/>
  <c r="AY13" i="2"/>
  <c r="AZ13" i="2"/>
  <c r="AY21" i="2"/>
  <c r="AZ21" i="2"/>
  <c r="AY15" i="2"/>
  <c r="AZ15" i="2"/>
  <c r="AY9" i="2"/>
  <c r="AZ9" i="2"/>
  <c r="AY17" i="2"/>
  <c r="AZ17" i="2"/>
  <c r="AY248" i="2"/>
  <c r="AZ248" i="2"/>
  <c r="AY16" i="2"/>
  <c r="AZ16" i="2"/>
  <c r="AY22" i="2"/>
  <c r="AZ22" i="2"/>
  <c r="AY18" i="2"/>
  <c r="AZ18" i="2"/>
  <c r="AY19" i="2"/>
  <c r="AZ19" i="2"/>
  <c r="AY321" i="2"/>
  <c r="AZ321" i="2"/>
  <c r="AY328" i="2"/>
  <c r="AZ328" i="2"/>
  <c r="AY8" i="2"/>
  <c r="AZ8" i="2"/>
  <c r="AY235" i="2"/>
  <c r="AZ235" i="2"/>
  <c r="AY210" i="2"/>
  <c r="AZ210" i="2"/>
  <c r="AY24" i="2"/>
  <c r="AZ24" i="2"/>
  <c r="AY325" i="2"/>
  <c r="AZ325" i="2"/>
  <c r="AY236" i="2"/>
  <c r="AZ236" i="2"/>
  <c r="AY279" i="2"/>
  <c r="AZ279" i="2"/>
  <c r="AY12" i="2"/>
  <c r="AZ12" i="2"/>
  <c r="AY20" i="2"/>
  <c r="AZ20" i="2"/>
  <c r="AY5" i="2"/>
  <c r="AZ5" i="2"/>
  <c r="AY318" i="2"/>
  <c r="AZ318" i="2"/>
  <c r="AY319" i="2"/>
  <c r="AZ319" i="2"/>
  <c r="AY278" i="2"/>
  <c r="AZ278" i="2"/>
  <c r="AY6" i="2"/>
  <c r="AZ6" i="2"/>
  <c r="AY283" i="2"/>
  <c r="AZ283" i="2"/>
  <c r="AY78" i="2"/>
  <c r="AZ78" i="2"/>
  <c r="AY71" i="2"/>
  <c r="AZ71" i="2"/>
  <c r="AY82" i="2"/>
  <c r="AZ82" i="2"/>
  <c r="AY70" i="2"/>
  <c r="AZ70" i="2"/>
  <c r="AY75" i="2"/>
  <c r="AZ75" i="2"/>
  <c r="AY79" i="2"/>
  <c r="AZ79" i="2"/>
  <c r="AY76" i="2"/>
  <c r="AZ76" i="2"/>
  <c r="AY80" i="2"/>
  <c r="AZ80" i="2"/>
  <c r="AY72" i="2"/>
  <c r="AZ72" i="2"/>
  <c r="AY81" i="2"/>
  <c r="AZ81" i="2"/>
  <c r="AY73" i="2"/>
  <c r="AZ73" i="2"/>
  <c r="AY83" i="2"/>
  <c r="AZ83" i="2"/>
  <c r="AY84" i="2"/>
  <c r="AZ84" i="2"/>
  <c r="AY123" i="2"/>
  <c r="AZ123" i="2"/>
  <c r="AY287" i="2"/>
  <c r="AZ287" i="2"/>
  <c r="AY261" i="2"/>
  <c r="AZ261" i="2"/>
  <c r="AY333" i="2"/>
  <c r="AZ333" i="2"/>
  <c r="AY125" i="2"/>
  <c r="AZ125" i="2"/>
  <c r="AY4" i="2"/>
  <c r="AZ4" i="2"/>
  <c r="AY121" i="2"/>
  <c r="AZ121" i="2"/>
  <c r="AY128" i="2"/>
  <c r="AZ128" i="2"/>
  <c r="AY129" i="2"/>
  <c r="AZ129" i="2"/>
  <c r="AY342" i="2"/>
  <c r="AZ342" i="2"/>
  <c r="AY74" i="2"/>
  <c r="AZ74" i="2"/>
  <c r="AY130" i="2"/>
  <c r="AZ130" i="2"/>
  <c r="AY118" i="2"/>
  <c r="AZ118" i="2"/>
  <c r="AY126" i="2"/>
  <c r="AZ126" i="2"/>
  <c r="AY119" i="2"/>
  <c r="AZ119" i="2"/>
  <c r="AY337" i="2"/>
  <c r="AZ337" i="2"/>
  <c r="AY334" i="2"/>
  <c r="AZ334" i="2"/>
  <c r="AY262" i="2"/>
  <c r="AZ262" i="2"/>
  <c r="AY268" i="2"/>
  <c r="AZ268" i="2"/>
  <c r="AY117" i="2"/>
  <c r="AZ117" i="2"/>
  <c r="AY330" i="2"/>
  <c r="AZ330" i="2"/>
  <c r="AY266" i="2"/>
  <c r="AZ266" i="2"/>
  <c r="AY272" i="2"/>
  <c r="AZ272" i="2"/>
  <c r="AY323" i="2"/>
  <c r="AZ323" i="2"/>
  <c r="AY124" i="2"/>
  <c r="AZ124" i="2"/>
  <c r="AY335" i="2"/>
  <c r="AZ335" i="2"/>
  <c r="AY122" i="2"/>
  <c r="AZ122" i="2"/>
  <c r="AY127" i="2"/>
  <c r="AZ127" i="2"/>
  <c r="AY280" i="2"/>
  <c r="AZ280" i="2"/>
  <c r="AY264" i="2"/>
  <c r="AZ264" i="2"/>
  <c r="AY77" i="2"/>
  <c r="AZ77" i="2"/>
  <c r="AY338" i="2"/>
  <c r="AZ338" i="2"/>
  <c r="AY14" i="2"/>
  <c r="AZ14" i="2"/>
  <c r="AY263" i="2"/>
  <c r="AZ263" i="2"/>
  <c r="AY259" i="2"/>
  <c r="AZ259" i="2"/>
  <c r="AY276" i="2"/>
  <c r="AZ276" i="2"/>
  <c r="AY260" i="2"/>
  <c r="AZ260" i="2"/>
  <c r="AY274" i="2"/>
  <c r="AZ274" i="2"/>
  <c r="AY237" i="2"/>
  <c r="AZ237" i="2"/>
  <c r="AY56" i="2"/>
  <c r="AZ56" i="2"/>
  <c r="AY273" i="2"/>
  <c r="AZ273" i="2"/>
  <c r="AY258" i="2"/>
  <c r="AZ258" i="2"/>
  <c r="AY331" i="2"/>
  <c r="AZ331" i="2"/>
  <c r="AY288" i="2"/>
  <c r="AZ288" i="2"/>
  <c r="AY341" i="2"/>
  <c r="AZ341" i="2"/>
  <c r="AY339" i="2"/>
  <c r="AZ339" i="2"/>
  <c r="AY55" i="2"/>
  <c r="AZ55" i="2"/>
  <c r="AY267" i="2"/>
  <c r="AZ267" i="2"/>
  <c r="AY297" i="2"/>
  <c r="AZ297" i="2"/>
  <c r="AY69" i="2"/>
  <c r="AZ69" i="2"/>
  <c r="AY115" i="2"/>
  <c r="AZ115" i="2"/>
  <c r="AY315" i="2"/>
  <c r="AZ315" i="2"/>
  <c r="AY65" i="2"/>
  <c r="AZ65" i="2"/>
  <c r="AY329" i="2"/>
  <c r="AZ329" i="2"/>
  <c r="AY298" i="2"/>
  <c r="AZ298" i="2"/>
  <c r="AY67" i="2"/>
  <c r="AZ67" i="2"/>
  <c r="AY271" i="2"/>
  <c r="AZ271" i="2"/>
  <c r="AY66" i="2"/>
  <c r="AZ66" i="2"/>
  <c r="AY59" i="2"/>
  <c r="AZ59" i="2"/>
  <c r="AY64" i="2"/>
  <c r="AZ64" i="2"/>
  <c r="AY291" i="2"/>
  <c r="AZ291" i="2"/>
  <c r="AY317" i="2"/>
  <c r="AZ317" i="2"/>
  <c r="AY257" i="2"/>
  <c r="AZ257" i="2"/>
  <c r="AY63" i="2"/>
  <c r="AZ63" i="2"/>
  <c r="AY301" i="2"/>
  <c r="AZ301" i="2"/>
  <c r="AY58" i="2"/>
  <c r="AZ58" i="2"/>
  <c r="AY340" i="2"/>
  <c r="AZ340" i="2"/>
  <c r="AY336" i="2"/>
  <c r="AZ336" i="2"/>
  <c r="AY68" i="2"/>
  <c r="AZ68" i="2"/>
  <c r="AY294" i="2"/>
  <c r="AZ294" i="2"/>
  <c r="AY144" i="2"/>
  <c r="AZ144" i="2"/>
  <c r="AY134" i="2"/>
  <c r="AZ134" i="2"/>
  <c r="AY142" i="2"/>
  <c r="AZ142" i="2"/>
  <c r="AY275" i="2"/>
  <c r="AZ275" i="2"/>
  <c r="AY133" i="2"/>
  <c r="AZ133" i="2"/>
  <c r="AY308" i="2"/>
  <c r="AZ308" i="2"/>
  <c r="AY309" i="2"/>
  <c r="AZ309" i="2"/>
  <c r="AY293" i="2"/>
  <c r="AZ293" i="2"/>
  <c r="AY324" i="2"/>
  <c r="AZ324" i="2"/>
  <c r="AY138" i="2"/>
  <c r="AZ138" i="2"/>
  <c r="AY140" i="2"/>
  <c r="AZ140" i="2"/>
  <c r="AY131" i="2"/>
  <c r="AZ131" i="2"/>
  <c r="AY311" i="2"/>
  <c r="AZ311" i="2"/>
  <c r="AY137" i="2"/>
  <c r="AZ137" i="2"/>
  <c r="AY136" i="2"/>
  <c r="AZ136" i="2"/>
  <c r="AY139" i="2"/>
  <c r="AZ139" i="2"/>
  <c r="AY141" i="2"/>
  <c r="AZ141" i="2"/>
  <c r="AY289" i="2"/>
  <c r="AZ289" i="2"/>
  <c r="AY229" i="2"/>
  <c r="AZ229" i="2"/>
  <c r="AY292" i="2"/>
  <c r="AZ292" i="2"/>
  <c r="AY232" i="2"/>
  <c r="AZ232" i="2"/>
  <c r="AY296" i="2"/>
  <c r="AZ296" i="2"/>
  <c r="AY135" i="2"/>
  <c r="AZ135" i="2"/>
  <c r="AY306" i="2"/>
  <c r="AZ306" i="2"/>
  <c r="AY295" i="2"/>
  <c r="AZ295" i="2"/>
  <c r="AY290" i="2"/>
  <c r="AZ290" i="2"/>
  <c r="AY303" i="2"/>
  <c r="AZ303" i="2"/>
  <c r="AY60" i="2"/>
  <c r="AZ60" i="2"/>
  <c r="AY61" i="2"/>
  <c r="AZ61" i="2"/>
  <c r="AY304" i="2"/>
  <c r="AZ304" i="2"/>
  <c r="AY171" i="2"/>
  <c r="AZ171" i="2"/>
  <c r="AY120" i="2"/>
  <c r="AZ120" i="2"/>
  <c r="AY300" i="2"/>
  <c r="AZ300" i="2"/>
  <c r="AY57" i="2"/>
  <c r="AZ57" i="2"/>
  <c r="AY113" i="2"/>
  <c r="AZ113" i="2"/>
  <c r="AY100" i="2"/>
  <c r="AZ100" i="2"/>
  <c r="AY106" i="2"/>
  <c r="AZ106" i="2"/>
  <c r="AY110" i="2"/>
  <c r="AZ110" i="2"/>
  <c r="AY105" i="2"/>
  <c r="AZ105" i="2"/>
  <c r="AY316" i="2"/>
  <c r="AZ316" i="2"/>
  <c r="AY108" i="2"/>
  <c r="AZ108" i="2"/>
  <c r="AY103" i="2"/>
  <c r="AZ103" i="2"/>
  <c r="AY312" i="2"/>
  <c r="AZ312" i="2"/>
  <c r="AY270" i="2"/>
  <c r="AZ270" i="2"/>
  <c r="AY109" i="2"/>
  <c r="AZ109" i="2"/>
  <c r="AY87" i="2"/>
  <c r="AZ87" i="2"/>
  <c r="AY151" i="2"/>
  <c r="AZ151" i="2"/>
  <c r="AY28" i="2"/>
  <c r="AZ28" i="2"/>
  <c r="AY29" i="2"/>
  <c r="AZ29" i="2"/>
  <c r="AY104" i="2"/>
  <c r="AZ104" i="2"/>
  <c r="AY62" i="2"/>
  <c r="AZ62" i="2"/>
  <c r="AY27" i="2"/>
  <c r="AZ27" i="2"/>
  <c r="AY40" i="2"/>
  <c r="AZ40" i="2"/>
  <c r="AY32" i="2"/>
  <c r="AZ32" i="2"/>
  <c r="AY31" i="2"/>
  <c r="AZ31" i="2"/>
  <c r="AY147" i="2"/>
  <c r="AZ147" i="2"/>
  <c r="AY111" i="2"/>
  <c r="AZ111" i="2"/>
  <c r="AY322" i="2"/>
  <c r="AZ322" i="2"/>
  <c r="AY102" i="2"/>
  <c r="AZ102" i="2"/>
  <c r="AY327" i="2"/>
  <c r="AZ327" i="2"/>
  <c r="AY88" i="2"/>
  <c r="AZ88" i="2"/>
  <c r="AY313" i="2"/>
  <c r="AZ313" i="2"/>
  <c r="AY39" i="2"/>
  <c r="AZ39" i="2"/>
  <c r="AY36" i="2"/>
  <c r="AZ36" i="2"/>
  <c r="AY38" i="2"/>
  <c r="AZ38" i="2"/>
  <c r="AY114" i="2"/>
  <c r="AZ114" i="2"/>
  <c r="AY34" i="2"/>
  <c r="AZ34" i="2"/>
  <c r="AY148" i="2"/>
  <c r="AZ148" i="2"/>
  <c r="AY307" i="2"/>
  <c r="AZ307" i="2"/>
  <c r="AY112" i="2"/>
  <c r="AZ112" i="2"/>
  <c r="AY155" i="2"/>
  <c r="AZ155" i="2"/>
  <c r="AY107" i="2"/>
  <c r="AZ107" i="2"/>
  <c r="AY92" i="2"/>
  <c r="AZ92" i="2"/>
  <c r="AY33" i="2"/>
  <c r="AZ33" i="2"/>
  <c r="AY152" i="2"/>
  <c r="AZ152" i="2"/>
  <c r="AY30" i="2"/>
  <c r="AZ30" i="2"/>
  <c r="AY326" i="2"/>
  <c r="AZ326" i="2"/>
  <c r="AY150" i="2"/>
  <c r="AZ150" i="2"/>
  <c r="AY173" i="2"/>
  <c r="AZ173" i="2"/>
  <c r="AY179" i="2"/>
  <c r="AZ179" i="2"/>
  <c r="AY153" i="2"/>
  <c r="AZ153" i="2"/>
  <c r="AY42" i="2"/>
  <c r="AZ42" i="2"/>
  <c r="AY26" i="2"/>
  <c r="AZ26" i="2"/>
  <c r="AY41" i="2"/>
  <c r="AZ41" i="2"/>
  <c r="AY89" i="2"/>
  <c r="AZ89" i="2"/>
  <c r="AY35" i="2"/>
  <c r="AZ35" i="2"/>
  <c r="AY94" i="2"/>
  <c r="AZ94" i="2"/>
  <c r="AY154" i="2"/>
  <c r="AZ154" i="2"/>
  <c r="AY37" i="2"/>
  <c r="AZ37" i="2"/>
  <c r="AY184" i="2"/>
  <c r="AZ184" i="2"/>
  <c r="AY98" i="2"/>
  <c r="AZ98" i="2"/>
  <c r="AY256" i="2"/>
  <c r="AZ256" i="2"/>
  <c r="AY149" i="2"/>
  <c r="AZ149" i="2"/>
  <c r="AY172" i="2"/>
  <c r="AZ172" i="2"/>
  <c r="AY269" i="2"/>
  <c r="AZ269" i="2"/>
  <c r="AY93" i="2"/>
  <c r="AZ93" i="2"/>
  <c r="AY286" i="2"/>
  <c r="AZ286" i="2"/>
  <c r="AY44" i="2"/>
  <c r="AZ44" i="2"/>
  <c r="AY43" i="2"/>
  <c r="AZ43" i="2"/>
  <c r="AY97" i="2"/>
  <c r="AZ97" i="2"/>
  <c r="AY162" i="2"/>
  <c r="AZ162" i="2"/>
  <c r="AY46" i="2"/>
  <c r="AZ46" i="2"/>
  <c r="AY302" i="2"/>
  <c r="AZ302" i="2"/>
  <c r="AY53" i="2"/>
  <c r="AZ53" i="2"/>
  <c r="AY48" i="2"/>
  <c r="AZ48" i="2"/>
  <c r="AY305" i="2"/>
  <c r="AZ305" i="2"/>
  <c r="AY91" i="2"/>
  <c r="AZ91" i="2"/>
  <c r="AY310" i="2"/>
  <c r="AZ310" i="2"/>
  <c r="AY49" i="2"/>
  <c r="AZ49" i="2"/>
  <c r="AY95" i="2"/>
  <c r="AZ95" i="2"/>
  <c r="AY159" i="2"/>
  <c r="AZ159" i="2"/>
  <c r="AY90" i="2"/>
  <c r="AZ90" i="2"/>
  <c r="AY47" i="2"/>
  <c r="AZ47" i="2"/>
  <c r="AY157" i="2"/>
  <c r="AZ157" i="2"/>
  <c r="AY101" i="2"/>
  <c r="AZ101" i="2"/>
  <c r="AY165" i="2"/>
  <c r="AZ165" i="2"/>
  <c r="AY332" i="2"/>
  <c r="AZ332" i="2"/>
  <c r="AY170" i="2"/>
  <c r="AZ170" i="2"/>
  <c r="AY86" i="2"/>
  <c r="AZ86" i="2"/>
  <c r="AY45" i="2"/>
  <c r="AZ45" i="2"/>
  <c r="AY54" i="2"/>
  <c r="AZ54" i="2"/>
  <c r="AY96" i="2"/>
  <c r="AZ96" i="2"/>
  <c r="AY228" i="2"/>
  <c r="AZ228" i="2"/>
  <c r="AY186" i="2"/>
  <c r="AZ186" i="2"/>
  <c r="AY52" i="2"/>
  <c r="AZ52" i="2"/>
  <c r="AY51" i="2"/>
  <c r="AZ51" i="2"/>
  <c r="AY99" i="2"/>
  <c r="AZ99" i="2"/>
  <c r="AY320" i="2"/>
  <c r="AZ320" i="2"/>
  <c r="AY160" i="2"/>
  <c r="AZ160" i="2"/>
  <c r="AY281" i="2"/>
  <c r="AZ281" i="2"/>
  <c r="AY244" i="2"/>
  <c r="AZ244" i="2"/>
  <c r="AY145" i="2"/>
  <c r="AZ145" i="2"/>
  <c r="AY255" i="2"/>
  <c r="AZ255" i="2"/>
  <c r="AY85" i="2"/>
  <c r="AZ85" i="2"/>
  <c r="AY265" i="2"/>
  <c r="AZ265" i="2"/>
  <c r="AY239" i="2"/>
  <c r="AZ239" i="2"/>
  <c r="AY231" i="2"/>
  <c r="AZ231" i="2"/>
  <c r="AY214" i="2"/>
  <c r="AZ214" i="2"/>
  <c r="AY224" i="2"/>
  <c r="AZ224" i="2"/>
  <c r="AY116" i="2"/>
  <c r="AZ116" i="2"/>
  <c r="AY250" i="2"/>
  <c r="AZ250" i="2"/>
  <c r="AY176" i="2"/>
  <c r="AZ176" i="2"/>
  <c r="AY158" i="2"/>
  <c r="AZ158" i="2"/>
  <c r="AY167" i="2"/>
  <c r="AZ167" i="2"/>
  <c r="AY190" i="2"/>
  <c r="AZ190" i="2"/>
  <c r="AY164" i="2"/>
  <c r="AZ164" i="2"/>
  <c r="AY146" i="2"/>
  <c r="AZ146" i="2"/>
  <c r="AY182" i="2"/>
  <c r="AZ182" i="2"/>
  <c r="AY50" i="2"/>
  <c r="AZ50" i="2"/>
  <c r="AY221" i="2"/>
  <c r="AZ221" i="2"/>
  <c r="AY187" i="2"/>
  <c r="AZ187" i="2"/>
  <c r="AY192" i="2"/>
  <c r="AZ192" i="2"/>
  <c r="AY225" i="2"/>
  <c r="AZ225" i="2"/>
  <c r="AY177" i="2"/>
  <c r="AZ177" i="2"/>
  <c r="AY220" i="2"/>
  <c r="AZ220" i="2"/>
  <c r="AY181" i="2"/>
  <c r="AZ181" i="2"/>
  <c r="AY178" i="2"/>
  <c r="AZ178" i="2"/>
  <c r="AY169" i="2"/>
  <c r="AZ169" i="2"/>
  <c r="AY189" i="2"/>
  <c r="AZ189" i="2"/>
  <c r="AY143" i="2"/>
  <c r="AZ143" i="2"/>
  <c r="AY132" i="2"/>
  <c r="AZ132" i="2"/>
  <c r="AY211" i="2"/>
  <c r="AZ211" i="2"/>
  <c r="AY161" i="2"/>
  <c r="AZ161" i="2"/>
  <c r="AY215" i="2"/>
  <c r="AZ215" i="2"/>
  <c r="AY314" i="2"/>
  <c r="AZ314" i="2"/>
  <c r="AY213" i="2"/>
  <c r="AZ213" i="2"/>
  <c r="AY252" i="2"/>
  <c r="AZ252" i="2"/>
  <c r="AY216" i="2"/>
  <c r="AZ216" i="2"/>
  <c r="AY219" i="2"/>
  <c r="AZ219" i="2"/>
  <c r="AY193" i="2"/>
  <c r="AZ193" i="2"/>
  <c r="AY233" i="2"/>
  <c r="AZ233" i="2"/>
  <c r="AY163" i="2"/>
  <c r="AZ163" i="2"/>
  <c r="AY217" i="2"/>
  <c r="AZ217" i="2"/>
  <c r="AY198" i="2"/>
  <c r="AZ198" i="2"/>
  <c r="AY180" i="2"/>
  <c r="AZ180" i="2"/>
  <c r="AY218" i="2"/>
  <c r="AZ218" i="2"/>
  <c r="AY226" i="2"/>
  <c r="AZ226" i="2"/>
  <c r="AY174" i="2"/>
  <c r="AZ174" i="2"/>
  <c r="AY191" i="2"/>
  <c r="AZ191" i="2"/>
  <c r="AY223" i="2"/>
  <c r="AZ223" i="2"/>
  <c r="AY183" i="2"/>
  <c r="AZ183" i="2"/>
  <c r="AY212" i="2"/>
  <c r="AZ212" i="2"/>
  <c r="AY185" i="2"/>
  <c r="AZ185" i="2"/>
  <c r="AY222" i="2"/>
  <c r="AZ222" i="2"/>
  <c r="AY156" i="2"/>
  <c r="AZ156" i="2"/>
  <c r="AY168" i="2"/>
  <c r="AZ168" i="2"/>
  <c r="AY188" i="2"/>
  <c r="AZ188" i="2"/>
  <c r="AY249" i="2"/>
  <c r="AZ249" i="2"/>
  <c r="AY166" i="2"/>
  <c r="AZ166" i="2"/>
  <c r="AY238" i="2"/>
  <c r="AZ238" i="2"/>
  <c r="AY227" i="2"/>
  <c r="AZ227" i="2"/>
  <c r="AY234" i="2"/>
  <c r="AZ234" i="2"/>
  <c r="AY240" i="2"/>
  <c r="AZ240" i="2"/>
  <c r="AY299" i="2"/>
  <c r="AZ299" i="2"/>
  <c r="AY230" i="2"/>
  <c r="AZ230" i="2"/>
  <c r="AY175" i="2"/>
  <c r="AZ175" i="2"/>
  <c r="AY343" i="2"/>
  <c r="AZ343" i="2"/>
  <c r="AY344" i="2"/>
  <c r="AZ344" i="2"/>
  <c r="AY345" i="2"/>
  <c r="AZ345" i="2"/>
  <c r="AY346" i="2"/>
  <c r="AZ346" i="2"/>
  <c r="AY347" i="2"/>
  <c r="AZ347" i="2"/>
  <c r="AY348" i="2"/>
  <c r="AZ348" i="2"/>
  <c r="AY349" i="2"/>
  <c r="AZ349" i="2"/>
  <c r="AY350" i="2"/>
  <c r="AZ350" i="2"/>
  <c r="AY351" i="2"/>
  <c r="AZ351" i="2"/>
  <c r="AY352" i="2"/>
  <c r="AZ352" i="2"/>
  <c r="AY353" i="2"/>
  <c r="AZ353" i="2"/>
  <c r="AY354" i="2"/>
  <c r="AZ354" i="2"/>
  <c r="AY355" i="2"/>
  <c r="AZ355" i="2"/>
  <c r="AY356" i="2"/>
  <c r="AZ356" i="2"/>
  <c r="AY357" i="2"/>
  <c r="AZ357" i="2"/>
  <c r="AY358" i="2"/>
  <c r="AZ358" i="2"/>
  <c r="AY359" i="2"/>
  <c r="AZ359" i="2"/>
  <c r="AY360" i="2"/>
  <c r="AZ360" i="2"/>
  <c r="AY361" i="2"/>
  <c r="AZ361" i="2"/>
  <c r="AY362" i="2"/>
  <c r="AZ362" i="2"/>
  <c r="AY363" i="2"/>
  <c r="AZ363" i="2"/>
  <c r="AY364" i="2"/>
  <c r="AZ364" i="2"/>
  <c r="AY365" i="2"/>
  <c r="AZ365" i="2"/>
  <c r="AY366" i="2"/>
  <c r="AZ366" i="2"/>
  <c r="AY367" i="2"/>
  <c r="AZ367" i="2"/>
  <c r="AY368" i="2"/>
  <c r="AZ368" i="2"/>
  <c r="AY369" i="2"/>
  <c r="AZ369" i="2"/>
  <c r="AY370" i="2"/>
  <c r="AZ370" i="2"/>
  <c r="AY371" i="2"/>
  <c r="AZ371" i="2"/>
  <c r="AY372" i="2"/>
  <c r="AZ372" i="2"/>
  <c r="AY373" i="2"/>
  <c r="AZ373" i="2"/>
  <c r="AY374" i="2"/>
  <c r="AZ374" i="2"/>
  <c r="AY375" i="2"/>
  <c r="AZ375" i="2"/>
  <c r="AY376" i="2"/>
  <c r="AZ376" i="2"/>
  <c r="AY377" i="2"/>
  <c r="AZ377" i="2"/>
  <c r="AY378" i="2"/>
  <c r="AZ378" i="2"/>
  <c r="AY379" i="2"/>
  <c r="AZ379" i="2"/>
  <c r="AY380" i="2"/>
  <c r="AZ380" i="2"/>
  <c r="AY381" i="2"/>
  <c r="AZ381" i="2"/>
  <c r="AY382" i="2"/>
  <c r="AZ382" i="2"/>
  <c r="AY383" i="2"/>
  <c r="AZ383" i="2"/>
  <c r="AZ3" i="2"/>
  <c r="AY3" i="2"/>
  <c r="BA413" i="2" l="1"/>
  <c r="BA412" i="2"/>
  <c r="BA411" i="2"/>
  <c r="BA409" i="2"/>
  <c r="BA408" i="2"/>
  <c r="BA404" i="2"/>
  <c r="BA410" i="2"/>
  <c r="BA403" i="2"/>
  <c r="BA397" i="2"/>
  <c r="BA385" i="2"/>
  <c r="BA402" i="2"/>
  <c r="BA396" i="2"/>
  <c r="BA384" i="2"/>
  <c r="BA386" i="2"/>
  <c r="BA392" i="2"/>
  <c r="BA390" i="2"/>
  <c r="BA399" i="2"/>
  <c r="BA398" i="2"/>
  <c r="BA391" i="2"/>
  <c r="BA387" i="2"/>
  <c r="BA406" i="2"/>
  <c r="BA394" i="2"/>
  <c r="BA407" i="2"/>
  <c r="BA395" i="2"/>
  <c r="BA400" i="2"/>
  <c r="BA388" i="2"/>
  <c r="BA405" i="2"/>
  <c r="BA393" i="2"/>
  <c r="BA401" i="2"/>
  <c r="BA389" i="2"/>
  <c r="BA348" i="2"/>
  <c r="BA368" i="2"/>
  <c r="BA372" i="2"/>
  <c r="BA366" i="2"/>
  <c r="BA360" i="2"/>
  <c r="BA354" i="2"/>
  <c r="BA383" i="2"/>
  <c r="BA377" i="2"/>
  <c r="BA358" i="2"/>
  <c r="BA367" i="2"/>
  <c r="BA378" i="2"/>
  <c r="BA363" i="2"/>
  <c r="BA361" i="2"/>
  <c r="BA357" i="2"/>
  <c r="BA353" i="2"/>
  <c r="BA351" i="2"/>
  <c r="BA347" i="2"/>
  <c r="BA373" i="2"/>
  <c r="BA374" i="2"/>
  <c r="BA364" i="2"/>
  <c r="BA362" i="2"/>
  <c r="BA352" i="2"/>
  <c r="BA345" i="2"/>
  <c r="BA382" i="2"/>
  <c r="BA375" i="2"/>
  <c r="BA365" i="2"/>
  <c r="BA356" i="2"/>
  <c r="BA349" i="2"/>
  <c r="BA381" i="2"/>
  <c r="BA371" i="2"/>
  <c r="BA355" i="2"/>
  <c r="BA379" i="2"/>
  <c r="BA376" i="2"/>
  <c r="BA369" i="2"/>
  <c r="BA359" i="2"/>
  <c r="BA350" i="2"/>
  <c r="BA346" i="2"/>
  <c r="BA343" i="2"/>
  <c r="BA380" i="2"/>
  <c r="BA370" i="2"/>
  <c r="BA344" i="2"/>
  <c r="BA3" i="2" l="1"/>
  <c r="BA234" i="2"/>
  <c r="BA299" i="2"/>
  <c r="BA175" i="2"/>
  <c r="BA227" i="2"/>
  <c r="BA269" i="2"/>
  <c r="BA212" i="2"/>
  <c r="BA193" i="2"/>
  <c r="BA215" i="2"/>
  <c r="BA143" i="2"/>
  <c r="BA181" i="2"/>
  <c r="BA177" i="2"/>
  <c r="BA221" i="2"/>
  <c r="BA182" i="2"/>
  <c r="BA167" i="2"/>
  <c r="BA176" i="2"/>
  <c r="BA214" i="2"/>
  <c r="BA239" i="2"/>
  <c r="BA145" i="2"/>
  <c r="BA281" i="2"/>
  <c r="BA51" i="2"/>
  <c r="BA186" i="2"/>
  <c r="BA45" i="2"/>
  <c r="BA170" i="2"/>
  <c r="BA157" i="2"/>
  <c r="BA90" i="2"/>
  <c r="BA238" i="2"/>
  <c r="BA174" i="2"/>
  <c r="BA216" i="2"/>
  <c r="BA168" i="2"/>
  <c r="BA240" i="2"/>
  <c r="BA252" i="2"/>
  <c r="BA91" i="2"/>
  <c r="BA249" i="2"/>
  <c r="BA230" i="2"/>
  <c r="BA156" i="2"/>
  <c r="BA218" i="2"/>
  <c r="BA310" i="2"/>
  <c r="BA172" i="2"/>
  <c r="BA184" i="2"/>
  <c r="BA188" i="2"/>
  <c r="BA191" i="2"/>
  <c r="BA226" i="2"/>
  <c r="BA217" i="2"/>
  <c r="BA219" i="2"/>
  <c r="BA132" i="2"/>
  <c r="BA189" i="2"/>
  <c r="BA178" i="2"/>
  <c r="BA225" i="2"/>
  <c r="BA187" i="2"/>
  <c r="BA146" i="2"/>
  <c r="BA190" i="2"/>
  <c r="BA250" i="2"/>
  <c r="BA224" i="2"/>
  <c r="BA265" i="2"/>
  <c r="BA255" i="2"/>
  <c r="BA160" i="2"/>
  <c r="BA99" i="2"/>
  <c r="BA228" i="2"/>
  <c r="BA54" i="2"/>
  <c r="BA332" i="2"/>
  <c r="BA101" i="2"/>
  <c r="BA159" i="2"/>
  <c r="BA37" i="2"/>
  <c r="BA46" i="2"/>
  <c r="BA149" i="2"/>
  <c r="BA183" i="2"/>
  <c r="BA163" i="2"/>
  <c r="BA161" i="2"/>
  <c r="BA48" i="2"/>
  <c r="BA44" i="2"/>
  <c r="BA93" i="2"/>
  <c r="BA222" i="2"/>
  <c r="BA180" i="2"/>
  <c r="BA213" i="2"/>
  <c r="BA192" i="2"/>
  <c r="BA164" i="2"/>
  <c r="BA116" i="2"/>
  <c r="BA85" i="2"/>
  <c r="BA320" i="2"/>
  <c r="BA96" i="2"/>
  <c r="BA165" i="2"/>
  <c r="BA95" i="2"/>
  <c r="BA154" i="2"/>
  <c r="BA35" i="2"/>
  <c r="BA41" i="2"/>
  <c r="BA179" i="2"/>
  <c r="BA33" i="2"/>
  <c r="BA107" i="2"/>
  <c r="BA148" i="2"/>
  <c r="BA114" i="2"/>
  <c r="BA313" i="2"/>
  <c r="BA147" i="2"/>
  <c r="BA32" i="2"/>
  <c r="BA104" i="2"/>
  <c r="BA28" i="2"/>
  <c r="BA87" i="2"/>
  <c r="BA270" i="2"/>
  <c r="BA103" i="2"/>
  <c r="BA316" i="2"/>
  <c r="BA110" i="2"/>
  <c r="BA100" i="2"/>
  <c r="BA57" i="2"/>
  <c r="BA120" i="2"/>
  <c r="BA304" i="2"/>
  <c r="BA60" i="2"/>
  <c r="BA290" i="2"/>
  <c r="BA306" i="2"/>
  <c r="BA296" i="2"/>
  <c r="BA292" i="2"/>
  <c r="BA289" i="2"/>
  <c r="BA139" i="2"/>
  <c r="BA137" i="2"/>
  <c r="BA131" i="2"/>
  <c r="BA138" i="2"/>
  <c r="BA293" i="2"/>
  <c r="BA308" i="2"/>
  <c r="BA275" i="2"/>
  <c r="BA134" i="2"/>
  <c r="BA294" i="2"/>
  <c r="BA336" i="2"/>
  <c r="BA58" i="2"/>
  <c r="BA63" i="2"/>
  <c r="BA317" i="2"/>
  <c r="BA64" i="2"/>
  <c r="BA66" i="2"/>
  <c r="BA67" i="2"/>
  <c r="BA329" i="2"/>
  <c r="BA315" i="2"/>
  <c r="BA69" i="2"/>
  <c r="BA267" i="2"/>
  <c r="BA339" i="2"/>
  <c r="BA288" i="2"/>
  <c r="BA258" i="2"/>
  <c r="BA56" i="2"/>
  <c r="BA274" i="2"/>
  <c r="BA276" i="2"/>
  <c r="BA263" i="2"/>
  <c r="BA338" i="2"/>
  <c r="BA264" i="2"/>
  <c r="BA127" i="2"/>
  <c r="BA166" i="2"/>
  <c r="BA223" i="2"/>
  <c r="BA233" i="2"/>
  <c r="BA211" i="2"/>
  <c r="BA169" i="2"/>
  <c r="BA162" i="2"/>
  <c r="BA43" i="2"/>
  <c r="BA185" i="2"/>
  <c r="BA198" i="2"/>
  <c r="BA314" i="2"/>
  <c r="BA220" i="2"/>
  <c r="BA50" i="2"/>
  <c r="BA158" i="2"/>
  <c r="BA231" i="2"/>
  <c r="BA244" i="2"/>
  <c r="BA52" i="2"/>
  <c r="BA86" i="2"/>
  <c r="BA47" i="2"/>
  <c r="BA305" i="2"/>
  <c r="BA53" i="2"/>
  <c r="BA256" i="2"/>
  <c r="BA94" i="2"/>
  <c r="BA26" i="2"/>
  <c r="BA153" i="2"/>
  <c r="BA326" i="2"/>
  <c r="BA152" i="2"/>
  <c r="BA155" i="2"/>
  <c r="BA38" i="2"/>
  <c r="BA39" i="2"/>
  <c r="BA102" i="2"/>
  <c r="BA111" i="2"/>
  <c r="BA40" i="2"/>
  <c r="BA151" i="2"/>
  <c r="BA109" i="2"/>
  <c r="BA312" i="2"/>
  <c r="BA108" i="2"/>
  <c r="BA105" i="2"/>
  <c r="BA106" i="2"/>
  <c r="BA113" i="2"/>
  <c r="BA300" i="2"/>
  <c r="BA171" i="2"/>
  <c r="BA61" i="2"/>
  <c r="BA303" i="2"/>
  <c r="BA335" i="2"/>
  <c r="BA323" i="2"/>
  <c r="BA266" i="2"/>
  <c r="BA117" i="2"/>
  <c r="BA262" i="2"/>
  <c r="BA337" i="2"/>
  <c r="BA126" i="2"/>
  <c r="BA130" i="2"/>
  <c r="BA342" i="2"/>
  <c r="BA128" i="2"/>
  <c r="BA4" i="2"/>
  <c r="BA333" i="2"/>
  <c r="BA287" i="2"/>
  <c r="BA84" i="2"/>
  <c r="BA73" i="2"/>
  <c r="BA72" i="2"/>
  <c r="BA76" i="2"/>
  <c r="BA75" i="2"/>
  <c r="BA82" i="2"/>
  <c r="BA78" i="2"/>
  <c r="BA6" i="2"/>
  <c r="BA319" i="2"/>
  <c r="BA5" i="2"/>
  <c r="BA12" i="2"/>
  <c r="BA236" i="2"/>
  <c r="BA24" i="2"/>
  <c r="BA235" i="2"/>
  <c r="BA328" i="2"/>
  <c r="BA19" i="2"/>
  <c r="BA22" i="2"/>
  <c r="BA248" i="2"/>
  <c r="BA9" i="2"/>
  <c r="BA21" i="2"/>
  <c r="BA10" i="2"/>
  <c r="BA243" i="2"/>
  <c r="BA25" i="2"/>
  <c r="BA284" i="2"/>
  <c r="BA246" i="2"/>
  <c r="BA282" i="2"/>
  <c r="BA201" i="2"/>
  <c r="BA197" i="2"/>
  <c r="BA199" i="2"/>
  <c r="BA194" i="2"/>
  <c r="BA207" i="2"/>
  <c r="BA209" i="2"/>
  <c r="BA206" i="2"/>
  <c r="BA196" i="2"/>
  <c r="BA247" i="2"/>
  <c r="BA254" i="2"/>
  <c r="BA245" i="2"/>
  <c r="BA295" i="2"/>
  <c r="BA135" i="2"/>
  <c r="BA232" i="2"/>
  <c r="BA229" i="2"/>
  <c r="BA141" i="2"/>
  <c r="BA136" i="2"/>
  <c r="BA311" i="2"/>
  <c r="BA140" i="2"/>
  <c r="BA324" i="2"/>
  <c r="BA309" i="2"/>
  <c r="BA133" i="2"/>
  <c r="BA142" i="2"/>
  <c r="BA144" i="2"/>
  <c r="BA68" i="2"/>
  <c r="BA340" i="2"/>
  <c r="BA301" i="2"/>
  <c r="BA257" i="2"/>
  <c r="BA291" i="2"/>
  <c r="BA59" i="2"/>
  <c r="BA271" i="2"/>
  <c r="BA298" i="2"/>
  <c r="BA65" i="2"/>
  <c r="BA115" i="2"/>
  <c r="BA297" i="2"/>
  <c r="BA55" i="2"/>
  <c r="BA341" i="2"/>
  <c r="BA331" i="2"/>
  <c r="BA273" i="2"/>
  <c r="BA237" i="2"/>
  <c r="BA260" i="2"/>
  <c r="BA259" i="2"/>
  <c r="BA14" i="2"/>
  <c r="BA77" i="2"/>
  <c r="BA280" i="2"/>
  <c r="BA122" i="2"/>
  <c r="BA124" i="2"/>
  <c r="BA272" i="2"/>
  <c r="BA330" i="2"/>
  <c r="BA268" i="2"/>
  <c r="BA334" i="2"/>
  <c r="BA119" i="2"/>
  <c r="BA118" i="2"/>
  <c r="BA74" i="2"/>
  <c r="BA129" i="2"/>
  <c r="BA121" i="2"/>
  <c r="BA125" i="2"/>
  <c r="BA261" i="2"/>
  <c r="BA123" i="2"/>
  <c r="BA83" i="2"/>
  <c r="BA81" i="2"/>
  <c r="BA80" i="2"/>
  <c r="BA79" i="2"/>
  <c r="BA70" i="2"/>
  <c r="BA71" i="2"/>
  <c r="BA283" i="2"/>
  <c r="BA278" i="2"/>
  <c r="BA318" i="2"/>
  <c r="BA20" i="2"/>
  <c r="BA279" i="2"/>
  <c r="BA325" i="2"/>
  <c r="BA210" i="2"/>
  <c r="BA8" i="2"/>
  <c r="BA321" i="2"/>
  <c r="BA18" i="2"/>
  <c r="BA16" i="2"/>
  <c r="BA17" i="2"/>
  <c r="BA15" i="2"/>
  <c r="BA13" i="2"/>
  <c r="BA23" i="2"/>
  <c r="BA7" i="2"/>
  <c r="BA11" i="2"/>
  <c r="BA277" i="2"/>
  <c r="BA204" i="2"/>
  <c r="BA285" i="2"/>
  <c r="BA251" i="2"/>
  <c r="BA200" i="2"/>
  <c r="BA202" i="2"/>
  <c r="BA208" i="2"/>
  <c r="BA195" i="2"/>
  <c r="BA205" i="2"/>
  <c r="BA203" i="2"/>
  <c r="BA242" i="2"/>
  <c r="BA241" i="2"/>
  <c r="BA253" i="2"/>
  <c r="BA49" i="2"/>
  <c r="BA98" i="2"/>
  <c r="BA173" i="2"/>
  <c r="BA112" i="2"/>
  <c r="BA88" i="2"/>
  <c r="BA27" i="2"/>
  <c r="BA286" i="2"/>
  <c r="BA42" i="2"/>
  <c r="BA92" i="2"/>
  <c r="BA36" i="2"/>
  <c r="BA31" i="2"/>
  <c r="BA150" i="2"/>
  <c r="BA307" i="2"/>
  <c r="BA327" i="2"/>
  <c r="BA62" i="2"/>
  <c r="BA97" i="2"/>
  <c r="BA302" i="2"/>
  <c r="BA89" i="2"/>
  <c r="BA30" i="2"/>
  <c r="BA34" i="2"/>
  <c r="BA322" i="2"/>
  <c r="BA29" i="2"/>
</calcChain>
</file>

<file path=xl/sharedStrings.xml><?xml version="1.0" encoding="utf-8"?>
<sst xmlns="http://schemas.openxmlformats.org/spreadsheetml/2006/main" count="1554" uniqueCount="324">
  <si>
    <t>Terkecil</t>
  </si>
  <si>
    <t>Terbesar</t>
  </si>
  <si>
    <t>Rata -rata</t>
  </si>
  <si>
    <t>Surname</t>
  </si>
  <si>
    <t>First name</t>
  </si>
  <si>
    <t>Email address</t>
  </si>
  <si>
    <t>Started on</t>
  </si>
  <si>
    <t>Completed</t>
  </si>
  <si>
    <t>Time taken</t>
  </si>
  <si>
    <t>B</t>
  </si>
  <si>
    <t>S</t>
  </si>
  <si>
    <t>BLANK</t>
  </si>
  <si>
    <t>JML</t>
  </si>
  <si>
    <t>NIS</t>
  </si>
  <si>
    <t>NILAI</t>
  </si>
  <si>
    <t>KET</t>
  </si>
  <si>
    <t>WAKTU PENGERJAAN</t>
  </si>
  <si>
    <t>BENAR</t>
  </si>
  <si>
    <t>SALAH</t>
  </si>
  <si>
    <t>NO</t>
  </si>
  <si>
    <t>NAMA PESERTA</t>
  </si>
  <si>
    <t>KELAS</t>
  </si>
  <si>
    <t>JAM MULAI</t>
  </si>
  <si>
    <t>SISWA ABSEN (TIDAK IKUT UJIAN)</t>
  </si>
  <si>
    <t>Status</t>
  </si>
  <si>
    <t>Grade/100.00</t>
  </si>
  <si>
    <t>Q. 1 /5.00</t>
  </si>
  <si>
    <t>Q. 2 /5.00</t>
  </si>
  <si>
    <t>Q. 3 /5.00</t>
  </si>
  <si>
    <t>Q. 4 /5.00</t>
  </si>
  <si>
    <t>Q. 5 /5.00</t>
  </si>
  <si>
    <t>Q. 6 /5.00</t>
  </si>
  <si>
    <t>Q. 7 /5.00</t>
  </si>
  <si>
    <t>Q. 8 /5.00</t>
  </si>
  <si>
    <t>Q. 9 /5.00</t>
  </si>
  <si>
    <t>Q. 10 /5.00</t>
  </si>
  <si>
    <t>Q. 11 /5.00</t>
  </si>
  <si>
    <t>Q. 12 /5.00</t>
  </si>
  <si>
    <t>Q. 13 /5.00</t>
  </si>
  <si>
    <t>Q. 14 /5.00</t>
  </si>
  <si>
    <t>Q. 15 /5.00</t>
  </si>
  <si>
    <t>Q. 16 /5.00</t>
  </si>
  <si>
    <t>Q. 17 /5.00</t>
  </si>
  <si>
    <t>Q. 18 /5.00</t>
  </si>
  <si>
    <t>Q. 19 /5.00</t>
  </si>
  <si>
    <t>Q. 20 /5.00</t>
  </si>
  <si>
    <t>KLS</t>
  </si>
  <si>
    <t>Sudah submit</t>
  </si>
  <si>
    <t>80.00</t>
  </si>
  <si>
    <t/>
  </si>
  <si>
    <t>100.00</t>
  </si>
  <si>
    <t>SISWA ABSEN</t>
  </si>
  <si>
    <t>ALGECIRAS GUINANDRA DIALGA</t>
  </si>
  <si>
    <t>ATHALA GHAZY RABBANI</t>
  </si>
  <si>
    <t>AULIA ADI PRATAMA</t>
  </si>
  <si>
    <t>CALISTA OLIVIA SAJID</t>
  </si>
  <si>
    <t>DAVA RIZKI NUGRAHA</t>
  </si>
  <si>
    <t>EVANDRA RAJA DIAVA</t>
  </si>
  <si>
    <t>FRYTA AURELIA</t>
  </si>
  <si>
    <t>GEO RAMADAN ANWARI</t>
  </si>
  <si>
    <t>GHAIDA DZAKIYYAH</t>
  </si>
  <si>
    <t>M. FAKHRI SANIRUSMAN</t>
  </si>
  <si>
    <t>MOHAMMAD DAVA FAHREZA</t>
  </si>
  <si>
    <t>MUHAMAD RIZKY NURSIDIK</t>
  </si>
  <si>
    <t>MUHAMMAD AKBAR KHALID</t>
  </si>
  <si>
    <t>MUHAMMAD ARDHA RAHADIAN ADIMIHARJA</t>
  </si>
  <si>
    <t>MUHAMMAD FARDAN AR-RASHIF</t>
  </si>
  <si>
    <t>MUHAMMAD SIDQI ABDURRAHMAN HALIIM</t>
  </si>
  <si>
    <t>NAILA NURUL AZKIA</t>
  </si>
  <si>
    <t>NALENDRA ULUNG</t>
  </si>
  <si>
    <t>NASHIWA HANIFA</t>
  </si>
  <si>
    <t>NAURA RINDU AISYAH</t>
  </si>
  <si>
    <t>NAWFAL RAIHAN KAMIL</t>
  </si>
  <si>
    <t>NAZRIL MAULANA TISNA</t>
  </si>
  <si>
    <t>PRABU ARNATHA SYAUKI ARIEF</t>
  </si>
  <si>
    <t>RADEN ARIA ADIPATI MANIKMAYA HANIPRADJA</t>
  </si>
  <si>
    <t>RAFSANJANI JALU RAKSADIPA</t>
  </si>
  <si>
    <t>RAKHA MALIK AL GHIFARI</t>
  </si>
  <si>
    <t>RASYA RAMDHANI KARTOYO</t>
  </si>
  <si>
    <t>RAYKA RAMADHAN NATADIDJAJA</t>
  </si>
  <si>
    <t>REGATTA TAMIMI RAHMAN</t>
  </si>
  <si>
    <t>SALWA ANAYA SOLIHATIN</t>
  </si>
  <si>
    <t>SHARLEEN ZHAFIRA ALETHA</t>
  </si>
  <si>
    <t>SYED HUGO HABIBULLAH</t>
  </si>
  <si>
    <t>VANYA VARISHA</t>
  </si>
  <si>
    <t>YUSMAN FARISH TRIYADI</t>
  </si>
  <si>
    <t>ZAKI SURYA IBRAHIM</t>
  </si>
  <si>
    <t>ARFA RAZIQ ADAM</t>
  </si>
  <si>
    <t>ARGADITYA RAHMAN HIRACAHYA</t>
  </si>
  <si>
    <t>DAVIN RAISYA PRATAMA</t>
  </si>
  <si>
    <t>DAVINA CHERRYL AGIESYA</t>
  </si>
  <si>
    <t>FARHAN GARNADI</t>
  </si>
  <si>
    <t>FARID NAUFAL IDLAN</t>
  </si>
  <si>
    <t>FRESHA INDAH ELVIANNISA</t>
  </si>
  <si>
    <t>GHANI YAZID KHAIRY</t>
  </si>
  <si>
    <t>GUSNI RAMADANI</t>
  </si>
  <si>
    <t>HANIEF AWWAL ABDILLAH</t>
  </si>
  <si>
    <t>JIBRIL AL FAUZAN PURNADI</t>
  </si>
  <si>
    <t>JULVIKY ARUN KSATRIA</t>
  </si>
  <si>
    <t>KANIA ALESHA RIFAYA</t>
  </si>
  <si>
    <t>LINTANG AKASHA DIPUTRA SULAIMAN</t>
  </si>
  <si>
    <t>MARITZA JESSENIA ZAYYAN</t>
  </si>
  <si>
    <t>MARVELINO YAKUB PANDAPOTAN ARITONANG</t>
  </si>
  <si>
    <t>MOSES GABE PARULIAN BUTAR-BUTAR</t>
  </si>
  <si>
    <t>MUHAMMAD AKMAL FIRDAUS</t>
  </si>
  <si>
    <t>MUHAMMAD ARSYA SHIDQI ATTAYA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</si>
  <si>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</si>
  <si>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</si>
  <si>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</si>
  <si>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</si>
  <si>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</si>
  <si>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</si>
  <si>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</si>
  <si>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</si>
  <si>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</si>
  <si>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</si>
  <si>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</si>
  <si>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</si>
  <si>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</si>
  <si>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</si>
  <si>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</si>
  <si>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</si>
  <si>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XI - 5</t>
  </si>
  <si>
    <t>242510137@20219238.id</t>
  </si>
  <si>
    <t>242510394@20219238.id</t>
  </si>
  <si>
    <t>242510294@20219238.id</t>
  </si>
  <si>
    <t>242510069@20219238.id</t>
  </si>
  <si>
    <t>242510023@20219238.id</t>
  </si>
  <si>
    <t>242510241@20219238.id</t>
  </si>
  <si>
    <t>242510094@20219238.id</t>
  </si>
  <si>
    <t>242510157@20219238.id</t>
  </si>
  <si>
    <t>242510013@20219238.id</t>
  </si>
  <si>
    <t>242510391@20219238.id</t>
  </si>
  <si>
    <t>242510196@20219238.id</t>
  </si>
  <si>
    <t>242510230@20219238.id</t>
  </si>
  <si>
    <t>242510343@20219238.id</t>
  </si>
  <si>
    <t>242510266@20219238.id</t>
  </si>
  <si>
    <t>242510383@20219238.id</t>
  </si>
  <si>
    <t>242510067@20219238.id</t>
  </si>
  <si>
    <t>242510276@20219238.id</t>
  </si>
  <si>
    <t>242510388@20219238.id</t>
  </si>
  <si>
    <t>242510372@20219238.id</t>
  </si>
  <si>
    <t>242510035@20219238.id</t>
  </si>
  <si>
    <t>242510139@20219238.id</t>
  </si>
  <si>
    <t>242510346@20219238.id</t>
  </si>
  <si>
    <t>242510232@20219238.id</t>
  </si>
  <si>
    <t>242510152@20219238.id</t>
  </si>
  <si>
    <t>242510136@20219238.id</t>
  </si>
  <si>
    <t>242510229@20219238.id</t>
  </si>
  <si>
    <t>242510274@20219238.id</t>
  </si>
  <si>
    <t>242510217@20219238.id</t>
  </si>
  <si>
    <t>242510088@20219238.id</t>
  </si>
  <si>
    <t>242510340@20219238.id</t>
  </si>
  <si>
    <t>242510170@20219238.id</t>
  </si>
  <si>
    <t>XI - 4</t>
  </si>
  <si>
    <t>242510068@20219238.id</t>
  </si>
  <si>
    <t>242510389@20219238.id</t>
  </si>
  <si>
    <t>242510390@20219238.id</t>
  </si>
  <si>
    <t>242510025@20219238.id</t>
  </si>
  <si>
    <t>242510289@20219238.id</t>
  </si>
  <si>
    <t>242510354@20219238.id</t>
  </si>
  <si>
    <t>242510361@20219238.id</t>
  </si>
  <si>
    <t>242510007@20219238.id</t>
  </si>
  <si>
    <t>242510321@20219238.id</t>
  </si>
  <si>
    <t>242510037@20219238.id</t>
  </si>
  <si>
    <t>242510355@20219238.id</t>
  </si>
  <si>
    <t>242510244@20219238.id</t>
  </si>
  <si>
    <t>242510070@20219238.id</t>
  </si>
  <si>
    <t>252611400@20219238.id</t>
  </si>
  <si>
    <t>242510258@20219238.id</t>
  </si>
  <si>
    <t>242510110@20219238.id</t>
  </si>
  <si>
    <t>242510245@20219238.id</t>
  </si>
  <si>
    <t>242510253@20219238.id</t>
  </si>
  <si>
    <t>242510029@20219238.id</t>
  </si>
  <si>
    <t>252611401@20219238.id</t>
  </si>
  <si>
    <t>242510382@20219238.id</t>
  </si>
  <si>
    <t>242510077@20219238.id</t>
  </si>
  <si>
    <t>242510064@20219238.id</t>
  </si>
  <si>
    <t>242510189@20219238.id</t>
  </si>
  <si>
    <t>242510296@20219238.id</t>
  </si>
  <si>
    <t>242510220@20219238.id</t>
  </si>
  <si>
    <t>242510019@20219238.id</t>
  </si>
  <si>
    <t>252611402@20219238.id</t>
  </si>
  <si>
    <t>242510238@20219238.id</t>
  </si>
  <si>
    <t>242510135@20219238.id</t>
  </si>
  <si>
    <t>242510275@20219238.id</t>
  </si>
  <si>
    <t>242510050@20219238.id</t>
  </si>
  <si>
    <t>242510231@20219238.id</t>
  </si>
  <si>
    <t>242510273@20219238.id</t>
  </si>
  <si>
    <t>252611399@20219238.id</t>
  </si>
  <si>
    <t>242510205@20219238.id</t>
  </si>
  <si>
    <t>242510092@20219238.id</t>
  </si>
  <si>
    <t>XI-1</t>
  </si>
  <si>
    <t>XI-2</t>
  </si>
  <si>
    <t>XI-3</t>
  </si>
  <si>
    <t>XI-4</t>
  </si>
  <si>
    <t>XI-5</t>
  </si>
  <si>
    <t>XI-6</t>
  </si>
  <si>
    <t>XI-7</t>
  </si>
  <si>
    <t>XI-8</t>
  </si>
  <si>
    <t>XI-9</t>
  </si>
  <si>
    <t>XI-10</t>
  </si>
  <si>
    <t>XI-11</t>
  </si>
  <si>
    <t xml:space="preserve"> </t>
  </si>
  <si>
    <t>DATA</t>
  </si>
  <si>
    <t>ABSEN</t>
  </si>
  <si>
    <t>TOTAL</t>
  </si>
  <si>
    <t>SISWA</t>
  </si>
  <si>
    <t>STAT</t>
  </si>
  <si>
    <t>93.33</t>
  </si>
  <si>
    <t>96.67</t>
  </si>
  <si>
    <t>86.67</t>
  </si>
  <si>
    <t>83.33</t>
  </si>
  <si>
    <t>90.00</t>
  </si>
  <si>
    <t>242510192@20219238.id</t>
  </si>
  <si>
    <t>76.67</t>
  </si>
  <si>
    <t>21 menit 41 detik</t>
  </si>
  <si>
    <t>18 menit 41 detik</t>
  </si>
  <si>
    <t>20 menit 37 detik</t>
  </si>
  <si>
    <t>20 menit 19 detik</t>
  </si>
  <si>
    <t>27 menit 27 detik</t>
  </si>
  <si>
    <t>14 menit 32 detik</t>
  </si>
  <si>
    <t>17 menit 20 detik</t>
  </si>
  <si>
    <t>16 menit 41 detik</t>
  </si>
  <si>
    <t>19 menit 45 detik</t>
  </si>
  <si>
    <t>7 menit 35 detik</t>
  </si>
  <si>
    <t>26 menit 15 detik</t>
  </si>
  <si>
    <t>18 menit 7 detik</t>
  </si>
  <si>
    <t>21 menit 6 detik</t>
  </si>
  <si>
    <t>20 menit 35 detik</t>
  </si>
  <si>
    <t>17 menit 31 detik</t>
  </si>
  <si>
    <t>14 menit 48 detik</t>
  </si>
  <si>
    <t>4 Juni 2026  8:47</t>
  </si>
  <si>
    <t>4 Juni 2026  9:13</t>
  </si>
  <si>
    <t>25 menit 44 detik</t>
  </si>
  <si>
    <t>4 Juni 2026  9:12</t>
  </si>
  <si>
    <t>24 menit 58 detik</t>
  </si>
  <si>
    <t>4 Juni 2026  9:04</t>
  </si>
  <si>
    <t>16 menit 54 detik</t>
  </si>
  <si>
    <t>4 Juni 2026  9:14</t>
  </si>
  <si>
    <t>26 menit 37 detik</t>
  </si>
  <si>
    <t>4 Juni 2026  8:48</t>
  </si>
  <si>
    <t>4 Juni 2026  9:05</t>
  </si>
  <si>
    <t>17 menit 27 detik</t>
  </si>
  <si>
    <t>73.33</t>
  </si>
  <si>
    <t>4 Juni 2026  9:15</t>
  </si>
  <si>
    <t>4 Juni 2026  9:19</t>
  </si>
  <si>
    <t>20 detik</t>
  </si>
  <si>
    <t>25 menit 18 detik</t>
  </si>
  <si>
    <t>4 Juni 2026  9:06</t>
  </si>
  <si>
    <t>4 Juni 2026  9:10</t>
  </si>
  <si>
    <t>25 menit 45 detik</t>
  </si>
  <si>
    <t>17 menit 39 detik</t>
  </si>
  <si>
    <t>4 Juni 2026  9:07</t>
  </si>
  <si>
    <t>19 menit 5 detik</t>
  </si>
  <si>
    <t>60.00</t>
  </si>
  <si>
    <t>31 menit 3 detik</t>
  </si>
  <si>
    <t>16 menit 51 detik</t>
  </si>
  <si>
    <t>4 Juni 2026  9:03</t>
  </si>
  <si>
    <t>15 menit 11 detik</t>
  </si>
  <si>
    <t>4 Juni 2026  9:22</t>
  </si>
  <si>
    <t>34 menit 3 detik</t>
  </si>
  <si>
    <t>4 Juni 2026  9:16</t>
  </si>
  <si>
    <t>28 menit 16 detik</t>
  </si>
  <si>
    <t>21 menit 27 detik</t>
  </si>
  <si>
    <t>19 menit</t>
  </si>
  <si>
    <t>19 menit 2 detik</t>
  </si>
  <si>
    <t>4 Juni 2026  9:24</t>
  </si>
  <si>
    <t>35 menit 44 detik</t>
  </si>
  <si>
    <t>63.33</t>
  </si>
  <si>
    <t>4 Juni 2026  9:02</t>
  </si>
  <si>
    <t>13 menit 50 detik</t>
  </si>
  <si>
    <t>4 Juni 2026  9:30</t>
  </si>
  <si>
    <t>41 menit 51 detik</t>
  </si>
  <si>
    <t>17 menit 25 detik</t>
  </si>
  <si>
    <t>27 menit 6 detik</t>
  </si>
  <si>
    <t>23 menit 47 detik</t>
  </si>
  <si>
    <t>36 menit 3 detik</t>
  </si>
  <si>
    <t>4 Juni 2026  9:29</t>
  </si>
  <si>
    <t>40 menit 36 detik</t>
  </si>
  <si>
    <t>4 Juni 2026  9:09</t>
  </si>
  <si>
    <t>27 menit 35 detik</t>
  </si>
  <si>
    <t>33 menit 34 detik</t>
  </si>
  <si>
    <t>16 menit 11 detik</t>
  </si>
  <si>
    <t>26 menit 21 detik</t>
  </si>
  <si>
    <t>4 Juni 2026  8:59</t>
  </si>
  <si>
    <t>10 menit 36 detik</t>
  </si>
  <si>
    <t>4 Juni 2026  9:08</t>
  </si>
  <si>
    <t>19 menit 59 detik</t>
  </si>
  <si>
    <t>4 Juni 2026  8:49</t>
  </si>
  <si>
    <t>4 Juni 2026  9:28</t>
  </si>
  <si>
    <t>39 menit 6 detik</t>
  </si>
  <si>
    <t>18 menit 42 detik</t>
  </si>
  <si>
    <t>8 menit 10 detik</t>
  </si>
  <si>
    <t>39 menit 59 detik</t>
  </si>
  <si>
    <t>23 menit 30 detik</t>
  </si>
  <si>
    <t>4 Juni 2026  8:56</t>
  </si>
  <si>
    <t>6 menit 42 detik</t>
  </si>
  <si>
    <t>4 Juni 2026  9:31</t>
  </si>
  <si>
    <t>42 menit</t>
  </si>
  <si>
    <t>20 menit 3 detik</t>
  </si>
  <si>
    <t>4 Juni 2026  8:58</t>
  </si>
  <si>
    <t>8 menit 59 detik</t>
  </si>
  <si>
    <t>26 menit 19 detik</t>
  </si>
  <si>
    <t>17 menit 36 detik</t>
  </si>
  <si>
    <t>13 menit 39 detik</t>
  </si>
  <si>
    <t>4 Juni 2026  9:17</t>
  </si>
  <si>
    <t>28 menit 4 detik</t>
  </si>
  <si>
    <t>4 Juni 2026  8:50</t>
  </si>
  <si>
    <t>4 Juni 2026  9:11</t>
  </si>
  <si>
    <t>25 menit 9 detik</t>
  </si>
  <si>
    <t>66.67</t>
  </si>
  <si>
    <t>16 menit 19 detik</t>
  </si>
  <si>
    <t>39 menit 2 detik</t>
  </si>
  <si>
    <t>25 menit 11 detik</t>
  </si>
  <si>
    <t>4 Juni 2026  8:51</t>
  </si>
  <si>
    <t>16 menit 5 detik</t>
  </si>
  <si>
    <t>4 Juni 2026  8:55</t>
  </si>
  <si>
    <t>7 menit 55 detik</t>
  </si>
  <si>
    <t>INFORMATIKA XI</t>
  </si>
  <si>
    <t>Kelas XI-4</t>
  </si>
  <si>
    <t>-</t>
  </si>
  <si>
    <t>Kelas XI-5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</si>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</sst>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13809]h:mm;@"/>
    <numFmt numFmtId="166" formatCode="[$-21]dddd\,\ dd\ mmmm\ yyyy"/>
    <numFmt numFmtId="167" formatCode="[$-421]dddd\,\ dd\ mmmm\ yyyy;@"/>
  </numFmts>
  <fonts count="14" x14ac:knownFonts="1">
    <font>
      <sz val="11"/>
      <color indexed="8"/>
      <name val="Calibri"/>
    </font>
    <font>
      <sz val="11"/>
      <color theme="1"/>
      <name val="Calibri"/>
      <family val="2"/>
      <charset val="1"/>
      <scheme val="minor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4"/>
      <color indexed="8"/>
      <name val="Arial Narrow"/>
      <family val="2"/>
    </font>
    <font>
      <sz val="8"/>
      <name val="Calibri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6"/>
      <color indexed="8"/>
      <name val="Arial Narrow"/>
      <family val="2"/>
    </font>
    <font>
      <sz val="12"/>
      <color indexed="8"/>
      <name val="Arial Narrow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8"/>
      <color indexed="8"/>
      <name val="Arial Narrow"/>
      <family val="2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 applyFill="0" applyProtection="0"/>
    <xf numFmtId="0" fontId="1" fillId="0" borderId="0"/>
    <xf numFmtId="0" fontId="10" fillId="0" borderId="0"/>
    <xf numFmtId="0" fontId="11" fillId="0" borderId="0"/>
    <xf numFmtId="0" fontId="13" fillId="0" borderId="0"/>
  </cellStyleXfs>
  <cellXfs count="81"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2" xfId="0" applyNumberFormat="1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164" fontId="2" fillId="0" borderId="11" xfId="0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 shrinkToFit="1"/>
    </xf>
    <xf numFmtId="0" fontId="3" fillId="0" borderId="2" xfId="0" applyFont="1" applyFill="1" applyBorder="1" applyAlignment="1" applyProtection="1">
      <alignment horizontal="center" vertical="center" shrinkToFit="1"/>
    </xf>
    <xf numFmtId="0" fontId="2" fillId="0" borderId="2" xfId="0" applyFont="1" applyBorder="1" applyAlignment="1">
      <alignment vertical="center" shrinkToFit="1"/>
    </xf>
    <xf numFmtId="0" fontId="2" fillId="0" borderId="0" xfId="0" applyFont="1" applyFill="1" applyAlignment="1" applyProtection="1">
      <alignment vertical="center" shrinkToFit="1"/>
    </xf>
    <xf numFmtId="164" fontId="2" fillId="0" borderId="0" xfId="0" applyNumberFormat="1" applyFont="1" applyFill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165" fontId="2" fillId="0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right" vertical="center"/>
    </xf>
    <xf numFmtId="164" fontId="2" fillId="0" borderId="0" xfId="0" applyNumberFormat="1" applyFont="1" applyFill="1" applyAlignment="1" applyProtection="1">
      <alignment horizontal="right" vertical="center"/>
    </xf>
    <xf numFmtId="0" fontId="6" fillId="0" borderId="11" xfId="0" applyFont="1" applyBorder="1" applyAlignment="1">
      <alignment vertical="center" shrinkToFit="1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Fill="1" applyAlignment="1" applyProtection="1">
      <alignment vertical="center"/>
    </xf>
    <xf numFmtId="49" fontId="2" fillId="0" borderId="2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Fill="1" applyAlignment="1" applyProtection="1">
      <alignment horizontal="center" vertical="center"/>
    </xf>
    <xf numFmtId="49" fontId="3" fillId="0" borderId="2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Alignment="1" applyProtection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vertical="center"/>
    </xf>
    <xf numFmtId="0" fontId="7" fillId="0" borderId="2" xfId="0" applyFont="1" applyBorder="1" applyAlignment="1">
      <alignment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2" xfId="0" applyFont="1" applyBorder="1" applyAlignment="1">
      <alignment horizontal="left" vertical="center" shrinkToFit="1"/>
    </xf>
    <xf numFmtId="1" fontId="2" fillId="0" borderId="0" xfId="0" applyNumberFormat="1" applyFont="1" applyAlignment="1">
      <alignment vertical="center"/>
    </xf>
    <xf numFmtId="49" fontId="2" fillId="0" borderId="0" xfId="0" quotePrefix="1" applyNumberFormat="1" applyFont="1" applyFill="1" applyAlignment="1" applyProtection="1">
      <alignment horizontal="center" vertical="center"/>
    </xf>
    <xf numFmtId="49" fontId="4" fillId="0" borderId="0" xfId="0" quotePrefix="1" applyNumberFormat="1" applyFont="1" applyFill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right" vertical="center"/>
    </xf>
    <xf numFmtId="0" fontId="2" fillId="0" borderId="0" xfId="0" applyNumberFormat="1" applyFont="1" applyAlignment="1">
      <alignment vertical="center"/>
    </xf>
    <xf numFmtId="0" fontId="10" fillId="0" borderId="0" xfId="2" applyFont="1"/>
    <xf numFmtId="0" fontId="10" fillId="0" borderId="0" xfId="2" applyFont="1"/>
    <xf numFmtId="0" fontId="2" fillId="0" borderId="15" xfId="0" applyFont="1" applyFill="1" applyBorder="1" applyAlignment="1" applyProtection="1">
      <alignment vertical="center"/>
    </xf>
    <xf numFmtId="0" fontId="2" fillId="0" borderId="15" xfId="0" applyFont="1" applyFill="1" applyBorder="1" applyAlignment="1" applyProtection="1">
      <alignment horizontal="right" vertical="center"/>
    </xf>
    <xf numFmtId="0" fontId="2" fillId="0" borderId="9" xfId="0" applyFont="1" applyFill="1" applyBorder="1" applyAlignment="1" applyProtection="1">
      <alignment vertical="center"/>
    </xf>
    <xf numFmtId="0" fontId="2" fillId="0" borderId="9" xfId="0" applyFont="1" applyFill="1" applyBorder="1" applyAlignment="1" applyProtection="1">
      <alignment horizontal="right" vertical="center" indent="1"/>
    </xf>
    <xf numFmtId="0" fontId="13" fillId="0" borderId="0" xfId="4" applyFont="1"/>
    <xf numFmtId="0" fontId="13" fillId="0" borderId="0" xfId="4" applyFont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2" fillId="0" borderId="13" xfId="0" applyFont="1" applyBorder="1" applyAlignment="1">
      <alignment horizontal="center" vertical="center" wrapText="1" shrinkToFit="1"/>
    </xf>
    <xf numFmtId="0" fontId="12" fillId="0" borderId="14" xfId="0" applyFont="1" applyBorder="1" applyAlignment="1">
      <alignment horizontal="center" vertical="center" wrapText="1" shrinkToFit="1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2" fillId="0" borderId="8" xfId="0" applyFont="1" applyFill="1" applyBorder="1" applyAlignment="1" applyProtection="1">
      <alignment horizontal="right" vertical="center"/>
    </xf>
    <xf numFmtId="0" fontId="2" fillId="0" borderId="9" xfId="0" applyFont="1" applyFill="1" applyBorder="1" applyAlignment="1" applyProtection="1">
      <alignment horizontal="right" vertical="center"/>
    </xf>
    <xf numFmtId="166" fontId="4" fillId="0" borderId="12" xfId="0" applyNumberFormat="1" applyFont="1" applyFill="1" applyBorder="1" applyAlignment="1" applyProtection="1">
      <alignment horizontal="right" vertical="center"/>
    </xf>
    <xf numFmtId="0" fontId="2" fillId="0" borderId="4" xfId="0" applyFont="1" applyFill="1" applyBorder="1" applyAlignment="1" applyProtection="1">
      <alignment horizontal="right" vertical="center"/>
    </xf>
    <xf numFmtId="0" fontId="2" fillId="0" borderId="5" xfId="0" applyFont="1" applyFill="1" applyBorder="1" applyAlignment="1" applyProtection="1">
      <alignment horizontal="right" vertical="center"/>
    </xf>
    <xf numFmtId="0" fontId="2" fillId="0" borderId="6" xfId="0" applyFont="1" applyFill="1" applyBorder="1" applyAlignment="1" applyProtection="1">
      <alignment horizontal="right" vertical="center"/>
    </xf>
    <xf numFmtId="0" fontId="2" fillId="0" borderId="7" xfId="0" applyFont="1" applyFill="1" applyBorder="1" applyAlignment="1" applyProtection="1">
      <alignment horizontal="right" vertical="center"/>
    </xf>
    <xf numFmtId="0" fontId="8" fillId="0" borderId="0" xfId="0" quotePrefix="1" applyFont="1" applyFill="1" applyAlignment="1" applyProtection="1">
      <alignment horizontal="center" vertical="center"/>
    </xf>
    <xf numFmtId="167" fontId="4" fillId="0" borderId="12" xfId="0" applyNumberFormat="1" applyFont="1" applyFill="1" applyBorder="1" applyAlignment="1" applyProtection="1">
      <alignment horizontal="right" vertical="center"/>
    </xf>
  </cellXfs>
  <cellStyles count="5">
    <cellStyle name="Normal" xfId="0" builtinId="0"/>
    <cellStyle name="Normal 2" xfId="1" xr:uid="{F01E6A68-DB0D-4FE8-BD7F-30950F693F73}"/>
    <cellStyle name="Normal 3" xfId="2" xr:uid="{DA57A48F-7D51-4E34-AEA6-CF0B0F25F53F}"/>
    <cellStyle name="Normal 4" xfId="3" xr:uid="{171D6E4C-E2B4-4E1A-A6D0-A0A96F7C3031}"/>
    <cellStyle name="Normal 5" xfId="4" xr:uid="{60DFD092-2C8B-4779-93AF-B0D66666BD1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showGridLines="0" tabSelected="1" showRuler="0" topLeftCell="A86" zoomScaleNormal="100" workbookViewId="0">
      <selection activeCell="X104" sqref="X104"/>
    </sheetView>
  </sheetViews>
  <sheetFormatPr defaultRowHeight="16.5" x14ac:dyDescent="0.25"/>
  <cols>
    <col min="1" max="1" width="4" style="2" customWidth="1"/>
    <col min="2" max="2" width="10.5703125" style="37" bestFit="1" customWidth="1"/>
    <col min="3" max="3" width="44.42578125" style="17" customWidth="1"/>
    <col min="4" max="4" width="3.5703125" style="2" hidden="1" customWidth="1"/>
    <col min="5" max="7" width="6.28515625" style="1" customWidth="1"/>
    <col min="8" max="8" width="6.42578125" style="1" customWidth="1"/>
    <col min="9" max="9" width="7.140625" style="1" hidden="1" customWidth="1"/>
    <col min="10" max="10" width="14.140625" style="21" hidden="1" customWidth="1"/>
    <col min="11" max="11" width="10.5703125" style="2" bestFit="1" customWidth="1"/>
    <col min="12" max="12" width="3.42578125" style="1" customWidth="1"/>
    <col min="13" max="13" width="10" style="1" hidden="1" customWidth="1"/>
    <col min="14" max="14" width="47.7109375" style="1" hidden="1" customWidth="1"/>
    <col min="15" max="15" width="5.5703125" style="1" hidden="1" customWidth="1"/>
    <col min="16" max="21" width="1.5703125" style="1" hidden="1" customWidth="1"/>
    <col min="22" max="22" width="6.7109375" style="1" hidden="1" customWidth="1"/>
    <col min="23" max="23" width="11.42578125" style="1" customWidth="1"/>
    <col min="24" max="24" width="44.85546875" style="1" bestFit="1" customWidth="1"/>
    <col min="25" max="25" width="4.5703125" style="1" bestFit="1" customWidth="1"/>
    <col min="26" max="26" width="6.42578125" style="1" bestFit="1" customWidth="1"/>
    <col min="27" max="16384" width="9.140625" style="1"/>
  </cols>
  <sheetData>
    <row r="1" spans="1:26" s="13" customFormat="1" ht="20.25" x14ac:dyDescent="0.25">
      <c r="A1" s="66" t="s">
        <v>319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1"/>
      <c r="M1" s="1"/>
      <c r="X1" s="1"/>
      <c r="Y1" s="1"/>
      <c r="Z1" s="1"/>
    </row>
    <row r="2" spans="1:26" s="13" customFormat="1" ht="18" x14ac:dyDescent="0.25">
      <c r="A2" s="12" t="s">
        <v>320</v>
      </c>
      <c r="B2" s="35"/>
      <c r="C2" s="14"/>
      <c r="D2" s="80">
        <v>46177</v>
      </c>
      <c r="E2" s="80"/>
      <c r="F2" s="80"/>
      <c r="G2" s="80"/>
      <c r="H2" s="80"/>
      <c r="I2" s="80"/>
      <c r="J2" s="80"/>
      <c r="K2" s="80"/>
      <c r="L2" s="1"/>
      <c r="M2" s="1"/>
      <c r="X2" s="1"/>
      <c r="Y2" s="1"/>
      <c r="Z2" s="1"/>
    </row>
    <row r="3" spans="1:26" ht="32.1" customHeight="1" x14ac:dyDescent="0.25">
      <c r="A3" s="47" t="s">
        <v>19</v>
      </c>
      <c r="B3" s="36" t="s">
        <v>13</v>
      </c>
      <c r="C3" s="15" t="s">
        <v>20</v>
      </c>
      <c r="D3" s="47" t="s">
        <v>21</v>
      </c>
      <c r="E3" s="49" t="s">
        <v>17</v>
      </c>
      <c r="F3" s="49" t="s">
        <v>18</v>
      </c>
      <c r="G3" s="49" t="s">
        <v>11</v>
      </c>
      <c r="H3" s="19" t="s">
        <v>14</v>
      </c>
      <c r="I3" s="19" t="s">
        <v>22</v>
      </c>
      <c r="J3" s="19" t="s">
        <v>16</v>
      </c>
      <c r="K3" s="19" t="s">
        <v>15</v>
      </c>
    </row>
    <row r="4" spans="1:26" ht="15" customHeight="1" x14ac:dyDescent="0.25">
      <c r="A4" s="5">
        <v>1</v>
      </c>
      <c r="B4" s="32">
        <v>242510077</v>
      </c>
      <c r="C4" s="16" t="s">
        <v>52</v>
      </c>
      <c r="D4" s="11" t="s">
        <v>195</v>
      </c>
      <c r="E4" s="5">
        <v>30</v>
      </c>
      <c r="F4" s="5">
        <v>0</v>
      </c>
      <c r="G4" s="5" t="s">
        <v>321</v>
      </c>
      <c r="H4" s="5">
        <v>100</v>
      </c>
      <c r="I4" s="20"/>
      <c r="J4" s="22"/>
      <c r="K4" s="5" t="s">
        <v>203</v>
      </c>
    </row>
    <row r="5" spans="1:26" ht="15" customHeight="1" x14ac:dyDescent="0.25">
      <c r="A5" s="5">
        <v>2</v>
      </c>
      <c r="B5" s="32">
        <v>242510296</v>
      </c>
      <c r="C5" s="16" t="s">
        <v>53</v>
      </c>
      <c r="D5" s="48" t="s">
        <v>195</v>
      </c>
      <c r="E5" s="5">
        <v>24</v>
      </c>
      <c r="F5" s="5">
        <v>6</v>
      </c>
      <c r="G5" s="5" t="s">
        <v>321</v>
      </c>
      <c r="H5" s="5">
        <v>80</v>
      </c>
      <c r="I5" s="20"/>
      <c r="J5" s="22"/>
      <c r="K5" s="5" t="s">
        <v>203</v>
      </c>
    </row>
    <row r="6" spans="1:26" ht="15" customHeight="1" x14ac:dyDescent="0.25">
      <c r="A6" s="5">
        <v>3</v>
      </c>
      <c r="B6" s="32">
        <v>242510220</v>
      </c>
      <c r="C6" s="16" t="s">
        <v>54</v>
      </c>
      <c r="D6" s="48" t="s">
        <v>195</v>
      </c>
      <c r="E6" s="5">
        <v>30</v>
      </c>
      <c r="F6" s="5">
        <v>0</v>
      </c>
      <c r="G6" s="5" t="s">
        <v>321</v>
      </c>
      <c r="H6" s="5">
        <v>100</v>
      </c>
      <c r="I6" s="20"/>
      <c r="J6" s="22"/>
      <c r="K6" s="5" t="s">
        <v>203</v>
      </c>
    </row>
    <row r="7" spans="1:26" ht="15" customHeight="1" x14ac:dyDescent="0.25">
      <c r="A7" s="5">
        <v>4</v>
      </c>
      <c r="B7" s="32">
        <v>252611402</v>
      </c>
      <c r="C7" s="16" t="s">
        <v>55</v>
      </c>
      <c r="D7" s="48" t="s">
        <v>195</v>
      </c>
      <c r="E7" s="5">
        <v>27</v>
      </c>
      <c r="F7" s="5">
        <v>3</v>
      </c>
      <c r="G7" s="5" t="s">
        <v>321</v>
      </c>
      <c r="H7" s="5">
        <v>90</v>
      </c>
      <c r="I7" s="20"/>
      <c r="J7" s="22"/>
      <c r="K7" s="5" t="s">
        <v>203</v>
      </c>
    </row>
    <row r="8" spans="1:26" ht="15" customHeight="1" x14ac:dyDescent="0.25">
      <c r="A8" s="5">
        <v>5</v>
      </c>
      <c r="B8" s="32">
        <v>242510189</v>
      </c>
      <c r="C8" s="16" t="s">
        <v>56</v>
      </c>
      <c r="D8" s="48" t="s">
        <v>195</v>
      </c>
      <c r="E8" s="5">
        <v>30</v>
      </c>
      <c r="F8" s="5">
        <v>0</v>
      </c>
      <c r="G8" s="5" t="s">
        <v>321</v>
      </c>
      <c r="H8" s="5">
        <v>100</v>
      </c>
      <c r="I8" s="20"/>
      <c r="J8" s="22"/>
      <c r="K8" s="5" t="s">
        <v>203</v>
      </c>
    </row>
    <row r="9" spans="1:26" ht="15" customHeight="1" x14ac:dyDescent="0.25">
      <c r="A9" s="5">
        <v>6</v>
      </c>
      <c r="B9" s="32">
        <v>242510192</v>
      </c>
      <c r="C9" s="16" t="s">
        <v>57</v>
      </c>
      <c r="D9" s="48" t="s">
        <v>195</v>
      </c>
      <c r="E9" s="5">
        <v>20</v>
      </c>
      <c r="F9" s="5">
        <v>10</v>
      </c>
      <c r="G9" s="5" t="s">
        <v>321</v>
      </c>
      <c r="H9" s="5">
        <v>66.666666666666657</v>
      </c>
      <c r="I9" s="20"/>
      <c r="J9" s="22"/>
      <c r="K9" s="5" t="s">
        <v>203</v>
      </c>
    </row>
    <row r="10" spans="1:26" ht="15" customHeight="1" x14ac:dyDescent="0.25">
      <c r="A10" s="5">
        <v>7</v>
      </c>
      <c r="B10" s="32">
        <v>242510231</v>
      </c>
      <c r="C10" s="16" t="s">
        <v>58</v>
      </c>
      <c r="D10" s="48" t="s">
        <v>195</v>
      </c>
      <c r="E10" s="5">
        <v>29</v>
      </c>
      <c r="F10" s="5">
        <v>1</v>
      </c>
      <c r="G10" s="5" t="s">
        <v>321</v>
      </c>
      <c r="H10" s="5">
        <v>96.666666666666671</v>
      </c>
      <c r="I10" s="20"/>
      <c r="J10" s="22"/>
      <c r="K10" s="5" t="s">
        <v>203</v>
      </c>
    </row>
    <row r="11" spans="1:26" ht="15" customHeight="1" x14ac:dyDescent="0.25">
      <c r="A11" s="5">
        <v>8</v>
      </c>
      <c r="B11" s="32">
        <v>242510123</v>
      </c>
      <c r="C11" s="16" t="s">
        <v>59</v>
      </c>
      <c r="D11" s="48" t="s">
        <v>195</v>
      </c>
      <c r="E11" s="5" t="s">
        <v>321</v>
      </c>
      <c r="F11" s="5" t="s">
        <v>321</v>
      </c>
      <c r="G11" s="5" t="s">
        <v>321</v>
      </c>
      <c r="H11" s="5" t="s">
        <v>321</v>
      </c>
      <c r="I11" s="20"/>
      <c r="J11" s="22"/>
      <c r="K11" s="5" t="s">
        <v>205</v>
      </c>
    </row>
    <row r="12" spans="1:26" ht="15" customHeight="1" x14ac:dyDescent="0.25">
      <c r="A12" s="5">
        <v>9</v>
      </c>
      <c r="B12" s="32">
        <v>242510050</v>
      </c>
      <c r="C12" s="16" t="s">
        <v>60</v>
      </c>
      <c r="D12" s="48" t="s">
        <v>195</v>
      </c>
      <c r="E12" s="5">
        <v>24</v>
      </c>
      <c r="F12" s="5">
        <v>6</v>
      </c>
      <c r="G12" s="5" t="s">
        <v>321</v>
      </c>
      <c r="H12" s="5">
        <v>80</v>
      </c>
      <c r="I12" s="20"/>
      <c r="J12" s="22"/>
      <c r="K12" s="5" t="s">
        <v>203</v>
      </c>
    </row>
    <row r="13" spans="1:26" ht="15" customHeight="1" x14ac:dyDescent="0.25">
      <c r="A13" s="5">
        <v>10</v>
      </c>
      <c r="B13" s="32">
        <v>252611399</v>
      </c>
      <c r="C13" s="16" t="s">
        <v>61</v>
      </c>
      <c r="D13" s="48" t="s">
        <v>195</v>
      </c>
      <c r="E13" s="5">
        <v>23</v>
      </c>
      <c r="F13" s="5">
        <v>7</v>
      </c>
      <c r="G13" s="5" t="s">
        <v>321</v>
      </c>
      <c r="H13" s="5">
        <v>76.666666666666671</v>
      </c>
      <c r="I13" s="20"/>
      <c r="J13" s="22"/>
      <c r="K13" s="5" t="s">
        <v>203</v>
      </c>
    </row>
    <row r="14" spans="1:26" ht="15" customHeight="1" x14ac:dyDescent="0.25">
      <c r="A14" s="5">
        <v>11</v>
      </c>
      <c r="B14" s="32">
        <v>242510273</v>
      </c>
      <c r="C14" s="16" t="s">
        <v>62</v>
      </c>
      <c r="D14" s="48" t="s">
        <v>195</v>
      </c>
      <c r="E14" s="5">
        <v>30</v>
      </c>
      <c r="F14" s="5">
        <v>0</v>
      </c>
      <c r="G14" s="5" t="s">
        <v>321</v>
      </c>
      <c r="H14" s="5">
        <v>100</v>
      </c>
      <c r="I14" s="20"/>
      <c r="J14" s="22"/>
      <c r="K14" s="5" t="s">
        <v>203</v>
      </c>
    </row>
    <row r="15" spans="1:26" ht="15" customHeight="1" x14ac:dyDescent="0.25">
      <c r="A15" s="5">
        <v>12</v>
      </c>
      <c r="B15" s="32">
        <v>242510019</v>
      </c>
      <c r="C15" s="16" t="s">
        <v>63</v>
      </c>
      <c r="D15" s="48" t="s">
        <v>195</v>
      </c>
      <c r="E15" s="5">
        <v>28</v>
      </c>
      <c r="F15" s="5">
        <v>2</v>
      </c>
      <c r="G15" s="5" t="s">
        <v>321</v>
      </c>
      <c r="H15" s="5">
        <v>93.333333333333329</v>
      </c>
      <c r="I15" s="20"/>
      <c r="J15" s="22"/>
      <c r="K15" s="5" t="s">
        <v>203</v>
      </c>
    </row>
    <row r="16" spans="1:26" ht="15" customHeight="1" x14ac:dyDescent="0.25">
      <c r="A16" s="5">
        <v>13</v>
      </c>
      <c r="B16" s="32">
        <v>242510275</v>
      </c>
      <c r="C16" s="16" t="s">
        <v>64</v>
      </c>
      <c r="D16" s="48" t="s">
        <v>195</v>
      </c>
      <c r="E16" s="5">
        <v>23</v>
      </c>
      <c r="F16" s="5">
        <v>7</v>
      </c>
      <c r="G16" s="5" t="s">
        <v>321</v>
      </c>
      <c r="H16" s="5">
        <v>76.666666666666671</v>
      </c>
      <c r="I16" s="20"/>
      <c r="J16" s="22"/>
      <c r="K16" s="5" t="s">
        <v>203</v>
      </c>
    </row>
    <row r="17" spans="1:11" ht="15" customHeight="1" x14ac:dyDescent="0.25">
      <c r="A17" s="5">
        <v>14</v>
      </c>
      <c r="B17" s="32">
        <v>242510382</v>
      </c>
      <c r="C17" s="16" t="s">
        <v>65</v>
      </c>
      <c r="D17" s="48" t="s">
        <v>195</v>
      </c>
      <c r="E17" s="5">
        <v>28</v>
      </c>
      <c r="F17" s="5">
        <v>2</v>
      </c>
      <c r="G17" s="5" t="s">
        <v>321</v>
      </c>
      <c r="H17" s="5">
        <v>93.333333333333329</v>
      </c>
      <c r="I17" s="20"/>
      <c r="J17" s="22"/>
      <c r="K17" s="5" t="s">
        <v>203</v>
      </c>
    </row>
    <row r="18" spans="1:11" ht="15" customHeight="1" x14ac:dyDescent="0.25">
      <c r="A18" s="5">
        <v>15</v>
      </c>
      <c r="B18" s="32">
        <v>242510238</v>
      </c>
      <c r="C18" s="16" t="s">
        <v>66</v>
      </c>
      <c r="D18" s="48" t="s">
        <v>195</v>
      </c>
      <c r="E18" s="5">
        <v>29</v>
      </c>
      <c r="F18" s="5">
        <v>1</v>
      </c>
      <c r="G18" s="5" t="s">
        <v>321</v>
      </c>
      <c r="H18" s="5">
        <v>96.666666666666671</v>
      </c>
      <c r="I18" s="20"/>
      <c r="J18" s="22"/>
      <c r="K18" s="5" t="s">
        <v>203</v>
      </c>
    </row>
    <row r="19" spans="1:11" ht="15" customHeight="1" x14ac:dyDescent="0.25">
      <c r="A19" s="5">
        <v>16</v>
      </c>
      <c r="B19" s="32">
        <v>242510092</v>
      </c>
      <c r="C19" s="16" t="s">
        <v>67</v>
      </c>
      <c r="D19" s="48" t="s">
        <v>195</v>
      </c>
      <c r="E19" s="5">
        <v>30</v>
      </c>
      <c r="F19" s="5">
        <v>0</v>
      </c>
      <c r="G19" s="5" t="s">
        <v>321</v>
      </c>
      <c r="H19" s="5">
        <v>100</v>
      </c>
      <c r="I19" s="20"/>
      <c r="J19" s="22"/>
      <c r="K19" s="5" t="s">
        <v>203</v>
      </c>
    </row>
    <row r="20" spans="1:11" ht="15" customHeight="1" x14ac:dyDescent="0.25">
      <c r="A20" s="5">
        <v>17</v>
      </c>
      <c r="B20" s="32">
        <v>242510135</v>
      </c>
      <c r="C20" s="16" t="s">
        <v>68</v>
      </c>
      <c r="D20" s="48" t="s">
        <v>195</v>
      </c>
      <c r="E20" s="5">
        <v>29</v>
      </c>
      <c r="F20" s="5">
        <v>1</v>
      </c>
      <c r="G20" s="5" t="s">
        <v>321</v>
      </c>
      <c r="H20" s="5">
        <v>96.666666666666671</v>
      </c>
      <c r="I20" s="20"/>
      <c r="J20" s="22"/>
      <c r="K20" s="5" t="s">
        <v>203</v>
      </c>
    </row>
    <row r="21" spans="1:11" ht="15" customHeight="1" x14ac:dyDescent="0.25">
      <c r="A21" s="5">
        <v>18</v>
      </c>
      <c r="B21" s="32">
        <v>242510064</v>
      </c>
      <c r="C21" s="16" t="s">
        <v>69</v>
      </c>
      <c r="D21" s="48" t="s">
        <v>195</v>
      </c>
      <c r="E21" s="5">
        <v>29</v>
      </c>
      <c r="F21" s="5">
        <v>1</v>
      </c>
      <c r="G21" s="5" t="s">
        <v>321</v>
      </c>
      <c r="H21" s="5">
        <v>96.666666666666671</v>
      </c>
      <c r="I21" s="20"/>
      <c r="J21" s="22"/>
      <c r="K21" s="5" t="s">
        <v>203</v>
      </c>
    </row>
    <row r="22" spans="1:11" ht="15" customHeight="1" x14ac:dyDescent="0.25">
      <c r="A22" s="5">
        <v>19</v>
      </c>
      <c r="B22" s="32">
        <v>242510025</v>
      </c>
      <c r="C22" s="16" t="s">
        <v>70</v>
      </c>
      <c r="D22" s="48" t="s">
        <v>195</v>
      </c>
      <c r="E22" s="5">
        <v>30</v>
      </c>
      <c r="F22" s="5">
        <v>0</v>
      </c>
      <c r="G22" s="5" t="s">
        <v>321</v>
      </c>
      <c r="H22" s="5">
        <v>100</v>
      </c>
      <c r="I22" s="20"/>
      <c r="J22" s="22"/>
      <c r="K22" s="5" t="s">
        <v>203</v>
      </c>
    </row>
    <row r="23" spans="1:11" ht="15" customHeight="1" x14ac:dyDescent="0.25">
      <c r="A23" s="5">
        <v>20</v>
      </c>
      <c r="B23" s="32">
        <v>242510389</v>
      </c>
      <c r="C23" s="16" t="s">
        <v>71</v>
      </c>
      <c r="D23" s="48" t="s">
        <v>195</v>
      </c>
      <c r="E23" s="5">
        <v>28</v>
      </c>
      <c r="F23" s="5">
        <v>2</v>
      </c>
      <c r="G23" s="5" t="s">
        <v>321</v>
      </c>
      <c r="H23" s="5">
        <v>93.333333333333329</v>
      </c>
      <c r="I23" s="20"/>
      <c r="J23" s="22"/>
      <c r="K23" s="5" t="s">
        <v>203</v>
      </c>
    </row>
    <row r="24" spans="1:11" ht="15" customHeight="1" x14ac:dyDescent="0.25">
      <c r="A24" s="5">
        <v>21</v>
      </c>
      <c r="B24" s="32">
        <v>242510244</v>
      </c>
      <c r="C24" s="16" t="s">
        <v>72</v>
      </c>
      <c r="D24" s="48" t="s">
        <v>195</v>
      </c>
      <c r="E24" s="5">
        <v>29</v>
      </c>
      <c r="F24" s="5">
        <v>1</v>
      </c>
      <c r="G24" s="5" t="s">
        <v>321</v>
      </c>
      <c r="H24" s="5">
        <v>96.666666666666671</v>
      </c>
      <c r="I24" s="20"/>
      <c r="J24" s="22"/>
      <c r="K24" s="5" t="s">
        <v>203</v>
      </c>
    </row>
    <row r="25" spans="1:11" ht="15" customHeight="1" x14ac:dyDescent="0.25">
      <c r="A25" s="5">
        <v>22</v>
      </c>
      <c r="B25" s="32">
        <v>242510390</v>
      </c>
      <c r="C25" s="16" t="s">
        <v>73</v>
      </c>
      <c r="D25" s="48" t="s">
        <v>195</v>
      </c>
      <c r="E25" s="5">
        <v>29</v>
      </c>
      <c r="F25" s="5">
        <v>1</v>
      </c>
      <c r="G25" s="5" t="s">
        <v>321</v>
      </c>
      <c r="H25" s="5">
        <v>96.666666666666671</v>
      </c>
      <c r="I25" s="20"/>
      <c r="J25" s="22"/>
      <c r="K25" s="5" t="s">
        <v>203</v>
      </c>
    </row>
    <row r="26" spans="1:11" ht="15" customHeight="1" x14ac:dyDescent="0.25">
      <c r="A26" s="5">
        <v>23</v>
      </c>
      <c r="B26" s="32">
        <v>242510205</v>
      </c>
      <c r="C26" s="16" t="s">
        <v>74</v>
      </c>
      <c r="D26" s="48" t="s">
        <v>195</v>
      </c>
      <c r="E26" s="5">
        <v>24</v>
      </c>
      <c r="F26" s="5">
        <v>6</v>
      </c>
      <c r="G26" s="5" t="s">
        <v>321</v>
      </c>
      <c r="H26" s="5">
        <v>80</v>
      </c>
      <c r="I26" s="20"/>
      <c r="J26" s="22"/>
      <c r="K26" s="5" t="s">
        <v>203</v>
      </c>
    </row>
    <row r="27" spans="1:11" ht="15" customHeight="1" x14ac:dyDescent="0.25">
      <c r="A27" s="5">
        <v>24</v>
      </c>
      <c r="B27" s="32">
        <v>242510029</v>
      </c>
      <c r="C27" s="16" t="s">
        <v>75</v>
      </c>
      <c r="D27" s="48" t="s">
        <v>195</v>
      </c>
      <c r="E27" s="5">
        <v>28</v>
      </c>
      <c r="F27" s="5">
        <v>2</v>
      </c>
      <c r="G27" s="5" t="s">
        <v>321</v>
      </c>
      <c r="H27" s="5">
        <v>93.333333333333329</v>
      </c>
      <c r="I27" s="20"/>
      <c r="J27" s="22"/>
      <c r="K27" s="5" t="s">
        <v>203</v>
      </c>
    </row>
    <row r="28" spans="1:11" ht="15" customHeight="1" x14ac:dyDescent="0.25">
      <c r="A28" s="5">
        <v>25</v>
      </c>
      <c r="B28" s="32">
        <v>242510354</v>
      </c>
      <c r="C28" s="16" t="s">
        <v>76</v>
      </c>
      <c r="D28" s="48" t="s">
        <v>195</v>
      </c>
      <c r="E28" s="5">
        <v>23</v>
      </c>
      <c r="F28" s="5">
        <v>7</v>
      </c>
      <c r="G28" s="5" t="s">
        <v>321</v>
      </c>
      <c r="H28" s="5">
        <v>76.666666666666671</v>
      </c>
      <c r="I28" s="20"/>
      <c r="J28" s="22"/>
      <c r="K28" s="5" t="s">
        <v>203</v>
      </c>
    </row>
    <row r="29" spans="1:11" ht="15" customHeight="1" x14ac:dyDescent="0.25">
      <c r="A29" s="5">
        <v>26</v>
      </c>
      <c r="B29" s="32">
        <v>242510245</v>
      </c>
      <c r="C29" s="16" t="s">
        <v>77</v>
      </c>
      <c r="D29" s="48" t="s">
        <v>195</v>
      </c>
      <c r="E29" s="5">
        <v>29</v>
      </c>
      <c r="F29" s="5">
        <v>1</v>
      </c>
      <c r="G29" s="5" t="s">
        <v>321</v>
      </c>
      <c r="H29" s="5">
        <v>96.666666666666671</v>
      </c>
      <c r="I29" s="20"/>
      <c r="J29" s="22"/>
      <c r="K29" s="5" t="s">
        <v>203</v>
      </c>
    </row>
    <row r="30" spans="1:11" ht="15" customHeight="1" x14ac:dyDescent="0.25">
      <c r="A30" s="5">
        <v>27</v>
      </c>
      <c r="B30" s="32">
        <v>242510355</v>
      </c>
      <c r="C30" s="16" t="s">
        <v>78</v>
      </c>
      <c r="D30" s="48" t="s">
        <v>195</v>
      </c>
      <c r="E30" s="5">
        <v>30</v>
      </c>
      <c r="F30" s="5">
        <v>0</v>
      </c>
      <c r="G30" s="5" t="s">
        <v>321</v>
      </c>
      <c r="H30" s="5">
        <v>100</v>
      </c>
      <c r="I30" s="20"/>
      <c r="J30" s="22"/>
      <c r="K30" s="5" t="s">
        <v>203</v>
      </c>
    </row>
    <row r="31" spans="1:11" ht="15" customHeight="1" x14ac:dyDescent="0.25">
      <c r="A31" s="5">
        <v>28</v>
      </c>
      <c r="B31" s="32">
        <v>242510068</v>
      </c>
      <c r="C31" s="16" t="s">
        <v>79</v>
      </c>
      <c r="D31" s="48" t="s">
        <v>195</v>
      </c>
      <c r="E31" s="5">
        <v>26</v>
      </c>
      <c r="F31" s="5">
        <v>4</v>
      </c>
      <c r="G31" s="5" t="s">
        <v>321</v>
      </c>
      <c r="H31" s="5">
        <v>86.666666666666671</v>
      </c>
      <c r="I31" s="20"/>
      <c r="J31" s="22"/>
      <c r="K31" s="5" t="s">
        <v>203</v>
      </c>
    </row>
    <row r="32" spans="1:11" ht="15" customHeight="1" x14ac:dyDescent="0.25">
      <c r="A32" s="5">
        <v>29</v>
      </c>
      <c r="B32" s="32">
        <v>242510321</v>
      </c>
      <c r="C32" s="16" t="s">
        <v>80</v>
      </c>
      <c r="D32" s="48" t="s">
        <v>195</v>
      </c>
      <c r="E32" s="5">
        <v>28</v>
      </c>
      <c r="F32" s="5">
        <v>2</v>
      </c>
      <c r="G32" s="5" t="s">
        <v>321</v>
      </c>
      <c r="H32" s="5">
        <v>93.333333333333329</v>
      </c>
      <c r="I32" s="20"/>
      <c r="J32" s="22"/>
      <c r="K32" s="5" t="s">
        <v>203</v>
      </c>
    </row>
    <row r="33" spans="1:23" ht="15" customHeight="1" x14ac:dyDescent="0.25">
      <c r="A33" s="5">
        <v>30</v>
      </c>
      <c r="B33" s="32">
        <v>242510070</v>
      </c>
      <c r="C33" s="16" t="s">
        <v>81</v>
      </c>
      <c r="D33" s="48" t="s">
        <v>195</v>
      </c>
      <c r="E33" s="5">
        <v>29</v>
      </c>
      <c r="F33" s="5">
        <v>1</v>
      </c>
      <c r="G33" s="5" t="s">
        <v>321</v>
      </c>
      <c r="H33" s="5">
        <v>96.666666666666671</v>
      </c>
      <c r="I33" s="20"/>
      <c r="J33" s="22"/>
      <c r="K33" s="5" t="s">
        <v>203</v>
      </c>
    </row>
    <row r="34" spans="1:23" ht="15" customHeight="1" x14ac:dyDescent="0.25">
      <c r="A34" s="5">
        <v>31</v>
      </c>
      <c r="B34" s="32">
        <v>242510289</v>
      </c>
      <c r="C34" s="16" t="s">
        <v>82</v>
      </c>
      <c r="D34" s="48" t="s">
        <v>195</v>
      </c>
      <c r="E34" s="5">
        <v>30</v>
      </c>
      <c r="F34" s="5">
        <v>0</v>
      </c>
      <c r="G34" s="5" t="s">
        <v>321</v>
      </c>
      <c r="H34" s="5">
        <v>100</v>
      </c>
      <c r="I34" s="20"/>
      <c r="J34" s="22"/>
      <c r="K34" s="5" t="s">
        <v>203</v>
      </c>
    </row>
    <row r="35" spans="1:23" ht="15" customHeight="1" x14ac:dyDescent="0.25">
      <c r="A35" s="5">
        <v>32</v>
      </c>
      <c r="B35" s="32">
        <v>252611400</v>
      </c>
      <c r="C35" s="16" t="s">
        <v>83</v>
      </c>
      <c r="D35" s="48" t="s">
        <v>195</v>
      </c>
      <c r="E35" s="5">
        <v>22</v>
      </c>
      <c r="F35" s="5">
        <v>8</v>
      </c>
      <c r="G35" s="5" t="s">
        <v>321</v>
      </c>
      <c r="H35" s="5">
        <v>73.333333333333329</v>
      </c>
      <c r="I35" s="20"/>
      <c r="J35" s="22"/>
      <c r="K35" s="5" t="s">
        <v>203</v>
      </c>
    </row>
    <row r="36" spans="1:23" ht="15" customHeight="1" x14ac:dyDescent="0.25">
      <c r="A36" s="5">
        <v>33</v>
      </c>
      <c r="B36" s="32">
        <v>242510037</v>
      </c>
      <c r="C36" s="16" t="s">
        <v>84</v>
      </c>
      <c r="D36" s="48" t="s">
        <v>195</v>
      </c>
      <c r="E36" s="5">
        <v>25</v>
      </c>
      <c r="F36" s="5">
        <v>5</v>
      </c>
      <c r="G36" s="5" t="s">
        <v>321</v>
      </c>
      <c r="H36" s="5">
        <v>83.333333333333343</v>
      </c>
      <c r="I36" s="20"/>
      <c r="J36" s="22"/>
      <c r="K36" s="5" t="s">
        <v>203</v>
      </c>
    </row>
    <row r="37" spans="1:23" ht="15" customHeight="1" x14ac:dyDescent="0.25">
      <c r="A37" s="5">
        <v>34</v>
      </c>
      <c r="B37" s="32">
        <v>242510253</v>
      </c>
      <c r="C37" s="16" t="s">
        <v>85</v>
      </c>
      <c r="D37" s="48" t="s">
        <v>195</v>
      </c>
      <c r="E37" s="5">
        <v>27</v>
      </c>
      <c r="F37" s="5">
        <v>3</v>
      </c>
      <c r="G37" s="5" t="s">
        <v>321</v>
      </c>
      <c r="H37" s="5">
        <v>90</v>
      </c>
      <c r="I37" s="20"/>
      <c r="J37" s="22"/>
      <c r="K37" s="5" t="s">
        <v>203</v>
      </c>
    </row>
    <row r="38" spans="1:23" ht="15" customHeight="1" x14ac:dyDescent="0.25">
      <c r="A38" s="5">
        <v>35</v>
      </c>
      <c r="B38" s="32">
        <v>242510110</v>
      </c>
      <c r="C38" s="16" t="s">
        <v>86</v>
      </c>
      <c r="D38" s="48" t="s">
        <v>195</v>
      </c>
      <c r="E38" s="5">
        <v>29</v>
      </c>
      <c r="F38" s="5">
        <v>1</v>
      </c>
      <c r="G38" s="5" t="s">
        <v>321</v>
      </c>
      <c r="H38" s="5">
        <v>96.666666666666671</v>
      </c>
      <c r="I38" s="20"/>
      <c r="J38" s="22"/>
      <c r="K38" s="5" t="s">
        <v>203</v>
      </c>
      <c r="W38" s="1">
        <v>35</v>
      </c>
    </row>
    <row r="39" spans="1:23" ht="15" customHeight="1" x14ac:dyDescent="0.25">
      <c r="A39" s="5">
        <v>36</v>
      </c>
      <c r="B39" s="32"/>
      <c r="C39" s="16"/>
      <c r="D39" s="48"/>
      <c r="E39" s="5"/>
      <c r="F39" s="5"/>
      <c r="G39" s="5"/>
      <c r="H39" s="5"/>
      <c r="I39" s="20"/>
      <c r="J39" s="22"/>
      <c r="K39" s="5"/>
    </row>
    <row r="40" spans="1:23" ht="15" customHeight="1" x14ac:dyDescent="0.25">
      <c r="A40" s="5">
        <v>37</v>
      </c>
      <c r="B40" s="32"/>
      <c r="C40" s="16"/>
      <c r="D40" s="48"/>
      <c r="E40" s="5"/>
      <c r="F40" s="5"/>
      <c r="G40" s="5"/>
      <c r="H40" s="5"/>
      <c r="I40" s="20"/>
      <c r="J40" s="22"/>
      <c r="K40" s="5"/>
    </row>
    <row r="41" spans="1:23" ht="15" customHeight="1" x14ac:dyDescent="0.25">
      <c r="A41" s="5">
        <v>38</v>
      </c>
      <c r="B41" s="32"/>
      <c r="C41" s="16"/>
      <c r="D41" s="48"/>
      <c r="E41" s="5"/>
      <c r="F41" s="5"/>
      <c r="G41" s="5"/>
      <c r="H41" s="5"/>
      <c r="I41" s="20"/>
      <c r="J41" s="22"/>
      <c r="K41" s="5"/>
    </row>
    <row r="42" spans="1:23" ht="15" customHeight="1" x14ac:dyDescent="0.25">
      <c r="A42" s="5">
        <v>39</v>
      </c>
      <c r="B42" s="32"/>
      <c r="C42" s="16"/>
      <c r="D42" s="48"/>
      <c r="E42" s="5"/>
      <c r="F42" s="5"/>
      <c r="G42" s="5"/>
      <c r="H42" s="5"/>
      <c r="I42" s="20"/>
      <c r="J42" s="22"/>
      <c r="K42" s="5"/>
    </row>
    <row r="43" spans="1:23" ht="15" customHeight="1" x14ac:dyDescent="0.25">
      <c r="A43" s="5">
        <v>40</v>
      </c>
      <c r="B43" s="32"/>
      <c r="C43" s="16"/>
      <c r="D43" s="46"/>
      <c r="E43" s="5"/>
      <c r="F43" s="5"/>
      <c r="G43" s="5"/>
      <c r="H43" s="5"/>
      <c r="I43" s="20"/>
      <c r="J43" s="22"/>
      <c r="K43" s="5"/>
    </row>
    <row r="44" spans="1:23" ht="15" customHeight="1" x14ac:dyDescent="0.25">
      <c r="A44" s="5">
        <v>41</v>
      </c>
      <c r="B44" s="32"/>
      <c r="C44" s="16"/>
      <c r="D44" s="46"/>
      <c r="E44" s="5"/>
      <c r="F44" s="5"/>
      <c r="G44" s="5"/>
      <c r="H44" s="5"/>
      <c r="I44" s="20"/>
      <c r="J44" s="22"/>
      <c r="K44" s="5"/>
    </row>
    <row r="45" spans="1:23" ht="15" customHeight="1" x14ac:dyDescent="0.25">
      <c r="A45" s="5">
        <v>42</v>
      </c>
      <c r="B45" s="32"/>
      <c r="C45" s="16"/>
      <c r="D45" s="46"/>
      <c r="E45" s="5"/>
      <c r="F45" s="5"/>
      <c r="G45" s="5"/>
      <c r="H45" s="5"/>
      <c r="I45" s="20"/>
      <c r="J45" s="22"/>
      <c r="K45" s="5"/>
    </row>
    <row r="46" spans="1:23" ht="15" customHeight="1" x14ac:dyDescent="0.25">
      <c r="A46" s="5">
        <v>43</v>
      </c>
      <c r="B46" s="32"/>
      <c r="C46" s="16"/>
      <c r="D46" s="46"/>
      <c r="E46" s="5"/>
      <c r="F46" s="5"/>
      <c r="G46" s="5"/>
      <c r="H46" s="5"/>
      <c r="I46" s="20"/>
      <c r="J46" s="22"/>
      <c r="K46" s="5"/>
    </row>
    <row r="47" spans="1:23" ht="15" customHeight="1" x14ac:dyDescent="0.25">
      <c r="A47" s="5">
        <v>44</v>
      </c>
      <c r="B47" s="32"/>
      <c r="C47" s="16"/>
      <c r="D47" s="46"/>
      <c r="E47" s="5"/>
      <c r="F47" s="5"/>
      <c r="G47" s="5"/>
      <c r="H47" s="5"/>
      <c r="I47" s="20"/>
      <c r="J47" s="22"/>
      <c r="K47" s="5"/>
    </row>
    <row r="48" spans="1:23" ht="15" customHeight="1" x14ac:dyDescent="0.25">
      <c r="A48" s="5">
        <v>45</v>
      </c>
      <c r="B48" s="32"/>
      <c r="C48" s="16"/>
      <c r="D48" s="46"/>
      <c r="E48" s="5"/>
      <c r="F48" s="5"/>
      <c r="G48" s="5"/>
      <c r="H48" s="5"/>
      <c r="I48" s="20"/>
      <c r="J48" s="22"/>
      <c r="K48" s="5"/>
    </row>
    <row r="49" spans="1:26" ht="15" customHeight="1" x14ac:dyDescent="0.25">
      <c r="A49" s="5">
        <v>46</v>
      </c>
      <c r="B49" s="32"/>
      <c r="C49" s="16"/>
      <c r="D49" s="46"/>
      <c r="E49" s="5"/>
      <c r="F49" s="5"/>
      <c r="G49" s="5"/>
      <c r="H49" s="5"/>
      <c r="I49" s="20"/>
      <c r="J49" s="22"/>
      <c r="K49" s="5"/>
    </row>
    <row r="50" spans="1:26" ht="15" customHeight="1" x14ac:dyDescent="0.25">
      <c r="A50" s="5">
        <v>47</v>
      </c>
      <c r="B50" s="32"/>
      <c r="C50" s="16"/>
      <c r="D50" s="46"/>
      <c r="E50" s="5"/>
      <c r="F50" s="5"/>
      <c r="G50" s="5"/>
      <c r="H50" s="5"/>
      <c r="I50" s="20"/>
      <c r="J50" s="22"/>
      <c r="K50" s="5"/>
    </row>
    <row r="51" spans="1:26" ht="15" customHeight="1" x14ac:dyDescent="0.25">
      <c r="B51" s="44" t="s">
        <v>49</v>
      </c>
      <c r="E51" s="9"/>
      <c r="F51" s="75" t="s">
        <v>0</v>
      </c>
      <c r="G51" s="76"/>
      <c r="H51" s="3">
        <v>66.666666666666657</v>
      </c>
      <c r="I51" s="2"/>
    </row>
    <row r="52" spans="1:26" ht="15" customHeight="1" x14ac:dyDescent="0.25">
      <c r="B52" s="44" t="s">
        <v>49</v>
      </c>
      <c r="E52" s="9"/>
      <c r="F52" s="77" t="s">
        <v>1</v>
      </c>
      <c r="G52" s="78"/>
      <c r="H52" s="4">
        <v>100</v>
      </c>
      <c r="I52" s="2"/>
    </row>
    <row r="53" spans="1:26" ht="15" customHeight="1" x14ac:dyDescent="0.25">
      <c r="B53" s="44" t="s">
        <v>49</v>
      </c>
      <c r="E53" s="10"/>
      <c r="F53" s="72" t="s">
        <v>2</v>
      </c>
      <c r="G53" s="73"/>
      <c r="H53" s="8">
        <v>91.078431372549019</v>
      </c>
      <c r="I53" s="18"/>
      <c r="J53" s="23"/>
    </row>
    <row r="54" spans="1:26" s="13" customFormat="1" ht="20.25" x14ac:dyDescent="0.25">
      <c r="A54" s="79" t="s">
        <v>319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1"/>
      <c r="M54" s="1"/>
      <c r="X54" s="1"/>
      <c r="Y54" s="1"/>
      <c r="Z54" s="1"/>
    </row>
    <row r="55" spans="1:26" s="13" customFormat="1" ht="18" x14ac:dyDescent="0.25">
      <c r="A55" s="12" t="s">
        <v>322</v>
      </c>
      <c r="B55" s="45"/>
      <c r="C55" s="14"/>
      <c r="D55" s="74">
        <v>46177</v>
      </c>
      <c r="E55" s="74"/>
      <c r="F55" s="74"/>
      <c r="G55" s="74"/>
      <c r="H55" s="74"/>
      <c r="I55" s="74"/>
      <c r="J55" s="74"/>
      <c r="K55" s="74"/>
      <c r="L55" s="1"/>
      <c r="M55" s="1"/>
      <c r="X55" s="1"/>
      <c r="Y55" s="1"/>
      <c r="Z55" s="1"/>
    </row>
    <row r="56" spans="1:26" ht="32.1" customHeight="1" x14ac:dyDescent="0.25">
      <c r="A56" s="47" t="s">
        <v>19</v>
      </c>
      <c r="B56" s="36" t="s">
        <v>13</v>
      </c>
      <c r="C56" s="15" t="s">
        <v>20</v>
      </c>
      <c r="D56" s="47" t="s">
        <v>21</v>
      </c>
      <c r="E56" s="49" t="s">
        <v>17</v>
      </c>
      <c r="F56" s="49" t="s">
        <v>18</v>
      </c>
      <c r="G56" s="49" t="s">
        <v>11</v>
      </c>
      <c r="H56" s="19" t="s">
        <v>14</v>
      </c>
      <c r="I56" s="19" t="s">
        <v>22</v>
      </c>
      <c r="J56" s="19" t="s">
        <v>16</v>
      </c>
      <c r="K56" s="19" t="s">
        <v>15</v>
      </c>
    </row>
    <row r="57" spans="1:26" ht="15" customHeight="1" x14ac:dyDescent="0.25">
      <c r="A57" s="5">
        <v>1</v>
      </c>
      <c r="B57" s="32">
        <v>242510258</v>
      </c>
      <c r="C57" s="16" t="s">
        <v>87</v>
      </c>
      <c r="D57" s="11" t="s">
        <v>196</v>
      </c>
      <c r="E57" s="5">
        <v>28</v>
      </c>
      <c r="F57" s="5">
        <v>2</v>
      </c>
      <c r="G57" s="5" t="s">
        <v>321</v>
      </c>
      <c r="H57" s="5">
        <v>93.333333333333329</v>
      </c>
      <c r="I57" s="20"/>
      <c r="J57" s="22"/>
      <c r="K57" s="5" t="s">
        <v>203</v>
      </c>
    </row>
    <row r="58" spans="1:26" ht="15" customHeight="1" x14ac:dyDescent="0.25">
      <c r="A58" s="5">
        <v>2</v>
      </c>
      <c r="B58" s="32">
        <v>242510294</v>
      </c>
      <c r="C58" s="16" t="s">
        <v>88</v>
      </c>
      <c r="D58" s="48" t="s">
        <v>196</v>
      </c>
      <c r="E58" s="5">
        <v>25</v>
      </c>
      <c r="F58" s="5">
        <v>5</v>
      </c>
      <c r="G58" s="5" t="s">
        <v>321</v>
      </c>
      <c r="H58" s="5">
        <v>83.333333333333343</v>
      </c>
      <c r="I58" s="20"/>
      <c r="J58" s="22"/>
      <c r="K58" s="5" t="s">
        <v>203</v>
      </c>
    </row>
    <row r="59" spans="1:26" ht="15" customHeight="1" x14ac:dyDescent="0.25">
      <c r="A59" s="5">
        <v>3</v>
      </c>
      <c r="B59" s="32">
        <v>242510152</v>
      </c>
      <c r="C59" s="16" t="s">
        <v>89</v>
      </c>
      <c r="D59" s="48" t="s">
        <v>196</v>
      </c>
      <c r="E59" s="5">
        <v>25</v>
      </c>
      <c r="F59" s="5">
        <v>5</v>
      </c>
      <c r="G59" s="5" t="s">
        <v>321</v>
      </c>
      <c r="H59" s="5">
        <v>83.333333333333343</v>
      </c>
      <c r="I59" s="20"/>
      <c r="J59" s="22"/>
      <c r="K59" s="5" t="s">
        <v>203</v>
      </c>
    </row>
    <row r="60" spans="1:26" ht="15" customHeight="1" x14ac:dyDescent="0.25">
      <c r="A60" s="5">
        <v>4</v>
      </c>
      <c r="B60" s="32">
        <v>242510007</v>
      </c>
      <c r="C60" s="16" t="s">
        <v>90</v>
      </c>
      <c r="D60" s="48" t="s">
        <v>196</v>
      </c>
      <c r="E60" s="5">
        <v>18</v>
      </c>
      <c r="F60" s="5">
        <v>12</v>
      </c>
      <c r="G60" s="5" t="s">
        <v>321</v>
      </c>
      <c r="H60" s="5">
        <v>60</v>
      </c>
      <c r="I60" s="20"/>
      <c r="J60" s="22"/>
      <c r="K60" s="5" t="s">
        <v>203</v>
      </c>
    </row>
    <row r="61" spans="1:26" ht="15" customHeight="1" x14ac:dyDescent="0.25">
      <c r="A61" s="5">
        <v>5</v>
      </c>
      <c r="B61" s="32">
        <v>242510229</v>
      </c>
      <c r="C61" s="16" t="s">
        <v>91</v>
      </c>
      <c r="D61" s="48" t="s">
        <v>196</v>
      </c>
      <c r="E61" s="5">
        <v>30</v>
      </c>
      <c r="F61" s="5">
        <v>0</v>
      </c>
      <c r="G61" s="5" t="s">
        <v>321</v>
      </c>
      <c r="H61" s="5">
        <v>100</v>
      </c>
      <c r="I61" s="20"/>
      <c r="J61" s="22"/>
      <c r="K61" s="5" t="s">
        <v>203</v>
      </c>
    </row>
    <row r="62" spans="1:26" ht="15" customHeight="1" x14ac:dyDescent="0.25">
      <c r="A62" s="5">
        <v>6</v>
      </c>
      <c r="B62" s="32">
        <v>242510230</v>
      </c>
      <c r="C62" s="16" t="s">
        <v>92</v>
      </c>
      <c r="D62" s="48" t="s">
        <v>196</v>
      </c>
      <c r="E62" s="5">
        <v>26</v>
      </c>
      <c r="F62" s="5">
        <v>4</v>
      </c>
      <c r="G62" s="5" t="s">
        <v>321</v>
      </c>
      <c r="H62" s="5">
        <v>86.666666666666671</v>
      </c>
      <c r="I62" s="20"/>
      <c r="J62" s="22"/>
      <c r="K62" s="5" t="s">
        <v>203</v>
      </c>
    </row>
    <row r="63" spans="1:26" ht="15" customHeight="1" x14ac:dyDescent="0.25">
      <c r="A63" s="5">
        <v>7</v>
      </c>
      <c r="B63" s="32">
        <v>242510372</v>
      </c>
      <c r="C63" s="16" t="s">
        <v>93</v>
      </c>
      <c r="D63" s="48" t="s">
        <v>196</v>
      </c>
      <c r="E63" s="5">
        <v>30</v>
      </c>
      <c r="F63" s="5">
        <v>0</v>
      </c>
      <c r="G63" s="5" t="s">
        <v>321</v>
      </c>
      <c r="H63" s="5">
        <v>100</v>
      </c>
      <c r="I63" s="20"/>
      <c r="J63" s="22"/>
      <c r="K63" s="5" t="s">
        <v>203</v>
      </c>
    </row>
    <row r="64" spans="1:26" ht="15" customHeight="1" x14ac:dyDescent="0.25">
      <c r="A64" s="5">
        <v>8</v>
      </c>
      <c r="B64" s="32">
        <v>242510266</v>
      </c>
      <c r="C64" s="16" t="s">
        <v>94</v>
      </c>
      <c r="D64" s="48" t="s">
        <v>196</v>
      </c>
      <c r="E64" s="5">
        <v>23</v>
      </c>
      <c r="F64" s="5">
        <v>7</v>
      </c>
      <c r="G64" s="5" t="s">
        <v>321</v>
      </c>
      <c r="H64" s="5">
        <v>76.666666666666671</v>
      </c>
      <c r="I64" s="20"/>
      <c r="J64" s="22"/>
      <c r="K64" s="5" t="s">
        <v>203</v>
      </c>
    </row>
    <row r="65" spans="1:11" ht="15" customHeight="1" x14ac:dyDescent="0.25">
      <c r="A65" s="5">
        <v>9</v>
      </c>
      <c r="B65" s="32">
        <v>242510232</v>
      </c>
      <c r="C65" s="16" t="s">
        <v>95</v>
      </c>
      <c r="D65" s="48" t="s">
        <v>196</v>
      </c>
      <c r="E65" s="5">
        <v>29</v>
      </c>
      <c r="F65" s="5">
        <v>1</v>
      </c>
      <c r="G65" s="5" t="s">
        <v>321</v>
      </c>
      <c r="H65" s="5">
        <v>96.666666666666671</v>
      </c>
      <c r="I65" s="20"/>
      <c r="J65" s="22"/>
      <c r="K65" s="5" t="s">
        <v>203</v>
      </c>
    </row>
    <row r="66" spans="1:11" ht="15" customHeight="1" x14ac:dyDescent="0.25">
      <c r="A66" s="5">
        <v>10</v>
      </c>
      <c r="B66" s="32">
        <v>242510157</v>
      </c>
      <c r="C66" s="16" t="s">
        <v>96</v>
      </c>
      <c r="D66" s="48" t="s">
        <v>196</v>
      </c>
      <c r="E66" s="5">
        <v>24</v>
      </c>
      <c r="F66" s="5">
        <v>6</v>
      </c>
      <c r="G66" s="5" t="s">
        <v>321</v>
      </c>
      <c r="H66" s="5">
        <v>80</v>
      </c>
      <c r="I66" s="20"/>
      <c r="J66" s="22"/>
      <c r="K66" s="5" t="s">
        <v>203</v>
      </c>
    </row>
    <row r="67" spans="1:11" ht="15" customHeight="1" x14ac:dyDescent="0.25">
      <c r="A67" s="5">
        <v>11</v>
      </c>
      <c r="B67" s="32">
        <v>242510196</v>
      </c>
      <c r="C67" s="16" t="s">
        <v>97</v>
      </c>
      <c r="D67" s="48" t="s">
        <v>196</v>
      </c>
      <c r="E67" s="5">
        <v>22</v>
      </c>
      <c r="F67" s="5">
        <v>8</v>
      </c>
      <c r="G67" s="5" t="s">
        <v>321</v>
      </c>
      <c r="H67" s="5">
        <v>73.333333333333329</v>
      </c>
      <c r="I67" s="20"/>
      <c r="J67" s="22"/>
      <c r="K67" s="5" t="s">
        <v>203</v>
      </c>
    </row>
    <row r="68" spans="1:11" ht="15" customHeight="1" x14ac:dyDescent="0.25">
      <c r="A68" s="5">
        <v>12</v>
      </c>
      <c r="B68" s="32">
        <v>242510013</v>
      </c>
      <c r="C68" s="16" t="s">
        <v>98</v>
      </c>
      <c r="D68" s="48" t="s">
        <v>196</v>
      </c>
      <c r="E68" s="5">
        <v>29</v>
      </c>
      <c r="F68" s="5">
        <v>1</v>
      </c>
      <c r="G68" s="5" t="s">
        <v>321</v>
      </c>
      <c r="H68" s="5">
        <v>96.666666666666671</v>
      </c>
      <c r="I68" s="20"/>
      <c r="J68" s="22"/>
      <c r="K68" s="5" t="s">
        <v>203</v>
      </c>
    </row>
    <row r="69" spans="1:11" ht="15" customHeight="1" x14ac:dyDescent="0.25">
      <c r="A69" s="5">
        <v>13</v>
      </c>
      <c r="B69" s="32">
        <v>242510340</v>
      </c>
      <c r="C69" s="16" t="s">
        <v>99</v>
      </c>
      <c r="D69" s="48" t="s">
        <v>196</v>
      </c>
      <c r="E69" s="5">
        <v>30</v>
      </c>
      <c r="F69" s="5">
        <v>0</v>
      </c>
      <c r="G69" s="5" t="s">
        <v>321</v>
      </c>
      <c r="H69" s="5">
        <v>100</v>
      </c>
      <c r="I69" s="20"/>
      <c r="J69" s="22"/>
      <c r="K69" s="5" t="s">
        <v>203</v>
      </c>
    </row>
    <row r="70" spans="1:11" ht="15" customHeight="1" x14ac:dyDescent="0.25">
      <c r="A70" s="5">
        <v>14</v>
      </c>
      <c r="B70" s="32">
        <v>242510343</v>
      </c>
      <c r="C70" s="16" t="s">
        <v>100</v>
      </c>
      <c r="D70" s="48" t="s">
        <v>196</v>
      </c>
      <c r="E70" s="5">
        <v>25</v>
      </c>
      <c r="F70" s="5">
        <v>5</v>
      </c>
      <c r="G70" s="5" t="s">
        <v>321</v>
      </c>
      <c r="H70" s="5">
        <v>83.333333333333343</v>
      </c>
      <c r="I70" s="20"/>
      <c r="J70" s="22"/>
      <c r="K70" s="5" t="s">
        <v>203</v>
      </c>
    </row>
    <row r="71" spans="1:11" ht="15" customHeight="1" x14ac:dyDescent="0.25">
      <c r="A71" s="5">
        <v>15</v>
      </c>
      <c r="B71" s="32">
        <v>242510088</v>
      </c>
      <c r="C71" s="16" t="s">
        <v>101</v>
      </c>
      <c r="D71" s="48" t="s">
        <v>196</v>
      </c>
      <c r="E71" s="5">
        <v>28</v>
      </c>
      <c r="F71" s="5">
        <v>2</v>
      </c>
      <c r="G71" s="5" t="s">
        <v>321</v>
      </c>
      <c r="H71" s="5">
        <v>93.333333333333329</v>
      </c>
      <c r="I71" s="20"/>
      <c r="J71" s="22"/>
      <c r="K71" s="5" t="s">
        <v>203</v>
      </c>
    </row>
    <row r="72" spans="1:11" ht="15" customHeight="1" x14ac:dyDescent="0.25">
      <c r="A72" s="5">
        <v>16</v>
      </c>
      <c r="B72" s="32">
        <v>252611401</v>
      </c>
      <c r="C72" s="16" t="s">
        <v>102</v>
      </c>
      <c r="D72" s="48" t="s">
        <v>196</v>
      </c>
      <c r="E72" s="5">
        <v>30</v>
      </c>
      <c r="F72" s="5">
        <v>0</v>
      </c>
      <c r="G72" s="5" t="s">
        <v>321</v>
      </c>
      <c r="H72" s="5">
        <v>100</v>
      </c>
      <c r="I72" s="20"/>
      <c r="J72" s="22"/>
      <c r="K72" s="5" t="s">
        <v>203</v>
      </c>
    </row>
    <row r="73" spans="1:11" ht="15" customHeight="1" x14ac:dyDescent="0.25">
      <c r="A73" s="5">
        <v>17</v>
      </c>
      <c r="B73" s="32">
        <v>242510274</v>
      </c>
      <c r="C73" s="16" t="s">
        <v>103</v>
      </c>
      <c r="D73" s="48" t="s">
        <v>196</v>
      </c>
      <c r="E73" s="5">
        <v>28</v>
      </c>
      <c r="F73" s="5">
        <v>2</v>
      </c>
      <c r="G73" s="5" t="s">
        <v>321</v>
      </c>
      <c r="H73" s="5">
        <v>93.333333333333329</v>
      </c>
      <c r="I73" s="20"/>
      <c r="J73" s="22"/>
      <c r="K73" s="5" t="s">
        <v>203</v>
      </c>
    </row>
    <row r="74" spans="1:11" ht="15" customHeight="1" x14ac:dyDescent="0.25">
      <c r="A74" s="5">
        <v>18</v>
      </c>
      <c r="B74" s="32">
        <v>242510276</v>
      </c>
      <c r="C74" s="16" t="s">
        <v>104</v>
      </c>
      <c r="D74" s="48" t="s">
        <v>196</v>
      </c>
      <c r="E74" s="5">
        <v>29</v>
      </c>
      <c r="F74" s="5">
        <v>1</v>
      </c>
      <c r="G74" s="5" t="s">
        <v>321</v>
      </c>
      <c r="H74" s="5">
        <v>96.666666666666671</v>
      </c>
      <c r="I74" s="20"/>
      <c r="J74" s="22"/>
      <c r="K74" s="5" t="s">
        <v>203</v>
      </c>
    </row>
    <row r="75" spans="1:11" ht="15" customHeight="1" x14ac:dyDescent="0.25">
      <c r="A75" s="5">
        <v>19</v>
      </c>
      <c r="B75" s="32">
        <v>242510170</v>
      </c>
      <c r="C75" s="16" t="s">
        <v>105</v>
      </c>
      <c r="D75" s="48" t="s">
        <v>196</v>
      </c>
      <c r="E75" s="5">
        <v>30</v>
      </c>
      <c r="F75" s="5">
        <v>0</v>
      </c>
      <c r="G75" s="5" t="s">
        <v>321</v>
      </c>
      <c r="H75" s="5">
        <v>100</v>
      </c>
      <c r="I75" s="20"/>
      <c r="J75" s="22"/>
      <c r="K75" s="5" t="s">
        <v>203</v>
      </c>
    </row>
    <row r="76" spans="1:11" ht="15" customHeight="1" x14ac:dyDescent="0.25">
      <c r="A76" s="5">
        <v>20</v>
      </c>
      <c r="B76" s="32">
        <v>242510383</v>
      </c>
      <c r="C76" s="16" t="s">
        <v>106</v>
      </c>
      <c r="D76" s="48" t="s">
        <v>196</v>
      </c>
      <c r="E76" s="5">
        <v>30</v>
      </c>
      <c r="F76" s="5">
        <v>0</v>
      </c>
      <c r="G76" s="5" t="s">
        <v>321</v>
      </c>
      <c r="H76" s="5">
        <v>100</v>
      </c>
      <c r="I76" s="20"/>
      <c r="J76" s="22"/>
      <c r="K76" s="5" t="s">
        <v>203</v>
      </c>
    </row>
    <row r="77" spans="1:11" ht="15" customHeight="1" x14ac:dyDescent="0.25">
      <c r="A77" s="5">
        <v>21</v>
      </c>
      <c r="B77" s="32">
        <v>242510346</v>
      </c>
      <c r="C77" s="16" t="s">
        <v>107</v>
      </c>
      <c r="D77" s="48" t="s">
        <v>196</v>
      </c>
      <c r="E77" s="5">
        <v>19</v>
      </c>
      <c r="F77" s="5">
        <v>11</v>
      </c>
      <c r="G77" s="5" t="s">
        <v>321</v>
      </c>
      <c r="H77" s="5">
        <v>63.333333333333329</v>
      </c>
      <c r="I77" s="20"/>
      <c r="J77" s="22"/>
      <c r="K77" s="5" t="s">
        <v>203</v>
      </c>
    </row>
    <row r="78" spans="1:11" ht="15" customHeight="1" x14ac:dyDescent="0.25">
      <c r="A78" s="5">
        <v>22</v>
      </c>
      <c r="B78" s="32">
        <v>242510241</v>
      </c>
      <c r="C78" s="16" t="s">
        <v>108</v>
      </c>
      <c r="D78" s="48" t="s">
        <v>196</v>
      </c>
      <c r="E78" s="5">
        <v>27</v>
      </c>
      <c r="F78" s="5">
        <v>3</v>
      </c>
      <c r="G78" s="5" t="s">
        <v>321</v>
      </c>
      <c r="H78" s="5">
        <v>90</v>
      </c>
      <c r="I78" s="20"/>
      <c r="J78" s="22"/>
      <c r="K78" s="5" t="s">
        <v>203</v>
      </c>
    </row>
    <row r="79" spans="1:11" ht="15" customHeight="1" x14ac:dyDescent="0.25">
      <c r="A79" s="5">
        <v>23</v>
      </c>
      <c r="B79" s="32">
        <v>242510388</v>
      </c>
      <c r="C79" s="16" t="s">
        <v>109</v>
      </c>
      <c r="D79" s="48" t="s">
        <v>196</v>
      </c>
      <c r="E79" s="5">
        <v>24</v>
      </c>
      <c r="F79" s="5">
        <v>6</v>
      </c>
      <c r="G79" s="5" t="s">
        <v>321</v>
      </c>
      <c r="H79" s="5">
        <v>80</v>
      </c>
      <c r="I79" s="20"/>
      <c r="J79" s="22"/>
      <c r="K79" s="5" t="s">
        <v>203</v>
      </c>
    </row>
    <row r="80" spans="1:11" ht="15" customHeight="1" x14ac:dyDescent="0.25">
      <c r="A80" s="5">
        <v>24</v>
      </c>
      <c r="B80" s="32">
        <v>242510023</v>
      </c>
      <c r="C80" s="16" t="s">
        <v>110</v>
      </c>
      <c r="D80" s="48" t="s">
        <v>196</v>
      </c>
      <c r="E80" s="5">
        <v>27</v>
      </c>
      <c r="F80" s="5">
        <v>3</v>
      </c>
      <c r="G80" s="5" t="s">
        <v>321</v>
      </c>
      <c r="H80" s="5">
        <v>90</v>
      </c>
      <c r="I80" s="20"/>
      <c r="J80" s="22"/>
      <c r="K80" s="5" t="s">
        <v>203</v>
      </c>
    </row>
    <row r="81" spans="1:23" ht="15" customHeight="1" x14ac:dyDescent="0.25">
      <c r="A81" s="5">
        <v>25</v>
      </c>
      <c r="B81" s="32">
        <v>242510094</v>
      </c>
      <c r="C81" s="16" t="s">
        <v>111</v>
      </c>
      <c r="D81" s="48" t="s">
        <v>196</v>
      </c>
      <c r="E81" s="5">
        <v>30</v>
      </c>
      <c r="F81" s="5">
        <v>0</v>
      </c>
      <c r="G81" s="5" t="s">
        <v>321</v>
      </c>
      <c r="H81" s="5">
        <v>100</v>
      </c>
      <c r="I81" s="20"/>
      <c r="J81" s="22"/>
      <c r="K81" s="5" t="s">
        <v>203</v>
      </c>
    </row>
    <row r="82" spans="1:23" ht="15" customHeight="1" x14ac:dyDescent="0.25">
      <c r="A82" s="5">
        <v>26</v>
      </c>
      <c r="B82" s="32">
        <v>242510391</v>
      </c>
      <c r="C82" s="16" t="s">
        <v>112</v>
      </c>
      <c r="D82" s="48" t="s">
        <v>196</v>
      </c>
      <c r="E82" s="5">
        <v>30</v>
      </c>
      <c r="F82" s="5">
        <v>0</v>
      </c>
      <c r="G82" s="5" t="s">
        <v>321</v>
      </c>
      <c r="H82" s="5">
        <v>100</v>
      </c>
      <c r="I82" s="20"/>
      <c r="J82" s="22"/>
      <c r="K82" s="5" t="s">
        <v>203</v>
      </c>
    </row>
    <row r="83" spans="1:23" ht="15" customHeight="1" x14ac:dyDescent="0.25">
      <c r="A83" s="5">
        <v>27</v>
      </c>
      <c r="B83" s="32">
        <v>242510136</v>
      </c>
      <c r="C83" s="16" t="s">
        <v>113</v>
      </c>
      <c r="D83" s="48" t="s">
        <v>196</v>
      </c>
      <c r="E83" s="5">
        <v>19</v>
      </c>
      <c r="F83" s="5">
        <v>11</v>
      </c>
      <c r="G83" s="5" t="s">
        <v>321</v>
      </c>
      <c r="H83" s="5">
        <v>63.333333333333329</v>
      </c>
      <c r="I83" s="20"/>
      <c r="J83" s="22"/>
      <c r="K83" s="5" t="s">
        <v>203</v>
      </c>
    </row>
    <row r="84" spans="1:23" ht="15" customHeight="1" x14ac:dyDescent="0.25">
      <c r="A84" s="5">
        <v>28</v>
      </c>
      <c r="B84" s="32">
        <v>242510067</v>
      </c>
      <c r="C84" s="16" t="s">
        <v>114</v>
      </c>
      <c r="D84" s="48" t="s">
        <v>196</v>
      </c>
      <c r="E84" s="5">
        <v>29</v>
      </c>
      <c r="F84" s="5">
        <v>1</v>
      </c>
      <c r="G84" s="5" t="s">
        <v>321</v>
      </c>
      <c r="H84" s="5">
        <v>96.666666666666671</v>
      </c>
      <c r="I84" s="20"/>
      <c r="J84" s="22"/>
      <c r="K84" s="5" t="s">
        <v>203</v>
      </c>
    </row>
    <row r="85" spans="1:23" ht="15" customHeight="1" x14ac:dyDescent="0.25">
      <c r="A85" s="5">
        <v>29</v>
      </c>
      <c r="B85" s="32">
        <v>242510137</v>
      </c>
      <c r="C85" s="16" t="s">
        <v>115</v>
      </c>
      <c r="D85" s="48" t="s">
        <v>196</v>
      </c>
      <c r="E85" s="5">
        <v>24</v>
      </c>
      <c r="F85" s="5">
        <v>6</v>
      </c>
      <c r="G85" s="5" t="s">
        <v>321</v>
      </c>
      <c r="H85" s="5">
        <v>80</v>
      </c>
      <c r="I85" s="20"/>
      <c r="J85" s="22"/>
      <c r="K85" s="5" t="s">
        <v>203</v>
      </c>
    </row>
    <row r="86" spans="1:23" ht="15" customHeight="1" x14ac:dyDescent="0.25">
      <c r="A86" s="5">
        <v>30</v>
      </c>
      <c r="B86" s="32">
        <v>242510139</v>
      </c>
      <c r="C86" s="16" t="s">
        <v>116</v>
      </c>
      <c r="D86" s="48" t="s">
        <v>196</v>
      </c>
      <c r="E86" s="5">
        <v>29</v>
      </c>
      <c r="F86" s="5">
        <v>1</v>
      </c>
      <c r="G86" s="5" t="s">
        <v>321</v>
      </c>
      <c r="H86" s="5">
        <v>96.666666666666671</v>
      </c>
      <c r="I86" s="20"/>
      <c r="J86" s="22"/>
      <c r="K86" s="5" t="s">
        <v>203</v>
      </c>
    </row>
    <row r="87" spans="1:23" ht="15" customHeight="1" x14ac:dyDescent="0.25">
      <c r="A87" s="5">
        <v>31</v>
      </c>
      <c r="B87" s="32">
        <v>242510069</v>
      </c>
      <c r="C87" s="16" t="s">
        <v>117</v>
      </c>
      <c r="D87" s="48" t="s">
        <v>196</v>
      </c>
      <c r="E87" s="5">
        <v>30</v>
      </c>
      <c r="F87" s="5">
        <v>0</v>
      </c>
      <c r="G87" s="5" t="s">
        <v>321</v>
      </c>
      <c r="H87" s="5">
        <v>100</v>
      </c>
      <c r="I87" s="20"/>
      <c r="J87" s="22"/>
      <c r="K87" s="5" t="s">
        <v>203</v>
      </c>
    </row>
    <row r="88" spans="1:23" ht="15" customHeight="1" x14ac:dyDescent="0.25">
      <c r="A88" s="5">
        <v>32</v>
      </c>
      <c r="B88" s="32">
        <v>242510394</v>
      </c>
      <c r="C88" s="16" t="s">
        <v>118</v>
      </c>
      <c r="D88" s="48" t="s">
        <v>196</v>
      </c>
      <c r="E88" s="5">
        <v>28</v>
      </c>
      <c r="F88" s="5">
        <v>2</v>
      </c>
      <c r="G88" s="5" t="s">
        <v>321</v>
      </c>
      <c r="H88" s="5">
        <v>93.333333333333329</v>
      </c>
      <c r="I88" s="20"/>
      <c r="J88" s="22"/>
      <c r="K88" s="5" t="s">
        <v>203</v>
      </c>
    </row>
    <row r="89" spans="1:23" ht="15" customHeight="1" x14ac:dyDescent="0.25">
      <c r="A89" s="5">
        <v>33</v>
      </c>
      <c r="B89" s="32">
        <v>242510035</v>
      </c>
      <c r="C89" s="16" t="s">
        <v>119</v>
      </c>
      <c r="D89" s="48" t="s">
        <v>196</v>
      </c>
      <c r="E89" s="5">
        <v>29</v>
      </c>
      <c r="F89" s="5">
        <v>1</v>
      </c>
      <c r="G89" s="5" t="s">
        <v>321</v>
      </c>
      <c r="H89" s="5">
        <v>96.666666666666671</v>
      </c>
      <c r="I89" s="20"/>
      <c r="J89" s="22"/>
      <c r="K89" s="5" t="s">
        <v>203</v>
      </c>
    </row>
    <row r="90" spans="1:23" ht="15" customHeight="1" x14ac:dyDescent="0.25">
      <c r="A90" s="5">
        <v>34</v>
      </c>
      <c r="B90" s="32">
        <v>242510217</v>
      </c>
      <c r="C90" s="16" t="s">
        <v>120</v>
      </c>
      <c r="D90" s="48" t="s">
        <v>196</v>
      </c>
      <c r="E90" s="5">
        <v>27</v>
      </c>
      <c r="F90" s="5">
        <v>3</v>
      </c>
      <c r="G90" s="5" t="s">
        <v>321</v>
      </c>
      <c r="H90" s="5">
        <v>90</v>
      </c>
      <c r="I90" s="20"/>
      <c r="J90" s="22"/>
      <c r="K90" s="5" t="s">
        <v>203</v>
      </c>
    </row>
    <row r="91" spans="1:23" ht="15" customHeight="1" x14ac:dyDescent="0.25">
      <c r="A91" s="5">
        <v>35</v>
      </c>
      <c r="B91" s="32">
        <v>242510361</v>
      </c>
      <c r="C91" s="16" t="s">
        <v>121</v>
      </c>
      <c r="D91" s="48" t="s">
        <v>196</v>
      </c>
      <c r="E91" s="5">
        <v>28</v>
      </c>
      <c r="F91" s="5">
        <v>2</v>
      </c>
      <c r="G91" s="5" t="s">
        <v>321</v>
      </c>
      <c r="H91" s="5">
        <v>93.333333333333329</v>
      </c>
      <c r="I91" s="20"/>
      <c r="J91" s="22"/>
      <c r="K91" s="5" t="s">
        <v>203</v>
      </c>
      <c r="W91" s="1">
        <v>35</v>
      </c>
    </row>
    <row r="92" spans="1:23" ht="15" customHeight="1" x14ac:dyDescent="0.25">
      <c r="A92" s="5">
        <v>36</v>
      </c>
      <c r="B92" s="32"/>
      <c r="C92" s="16"/>
      <c r="D92" s="48"/>
      <c r="E92" s="5"/>
      <c r="F92" s="5"/>
      <c r="G92" s="5"/>
      <c r="H92" s="5"/>
      <c r="I92" s="20"/>
      <c r="J92" s="22"/>
      <c r="K92" s="5"/>
    </row>
    <row r="93" spans="1:23" ht="15" customHeight="1" x14ac:dyDescent="0.25">
      <c r="A93" s="5">
        <v>37</v>
      </c>
      <c r="B93" s="32"/>
      <c r="C93" s="16"/>
      <c r="D93" s="48"/>
      <c r="E93" s="5"/>
      <c r="F93" s="5"/>
      <c r="G93" s="5"/>
      <c r="H93" s="5"/>
      <c r="I93" s="20"/>
      <c r="J93" s="22"/>
      <c r="K93" s="5"/>
    </row>
    <row r="94" spans="1:23" ht="15" customHeight="1" x14ac:dyDescent="0.25">
      <c r="A94" s="5">
        <v>38</v>
      </c>
      <c r="B94" s="32"/>
      <c r="C94" s="16"/>
      <c r="D94" s="48"/>
      <c r="E94" s="5"/>
      <c r="F94" s="5"/>
      <c r="G94" s="5"/>
      <c r="H94" s="5"/>
      <c r="I94" s="20"/>
      <c r="J94" s="22"/>
      <c r="K94" s="5"/>
    </row>
    <row r="95" spans="1:23" ht="15" customHeight="1" x14ac:dyDescent="0.25">
      <c r="A95" s="5">
        <v>39</v>
      </c>
      <c r="B95" s="32"/>
      <c r="C95" s="16"/>
      <c r="D95" s="48"/>
      <c r="E95" s="5"/>
      <c r="F95" s="5"/>
      <c r="G95" s="5"/>
      <c r="H95" s="5"/>
      <c r="I95" s="20"/>
      <c r="J95" s="22"/>
      <c r="K95" s="5"/>
    </row>
    <row r="96" spans="1:23" ht="15" customHeight="1" x14ac:dyDescent="0.25">
      <c r="A96" s="5">
        <v>40</v>
      </c>
      <c r="B96" s="32"/>
      <c r="C96" s="16"/>
      <c r="D96" s="48"/>
      <c r="E96" s="5"/>
      <c r="F96" s="5"/>
      <c r="G96" s="5"/>
      <c r="H96" s="5"/>
      <c r="I96" s="20"/>
      <c r="J96" s="22"/>
      <c r="K96" s="5"/>
    </row>
    <row r="97" spans="1:22" ht="15" customHeight="1" x14ac:dyDescent="0.25">
      <c r="A97" s="5">
        <v>41</v>
      </c>
      <c r="B97" s="32"/>
      <c r="C97" s="16"/>
      <c r="D97" s="48"/>
      <c r="E97" s="5"/>
      <c r="F97" s="5"/>
      <c r="G97" s="5"/>
      <c r="H97" s="5"/>
      <c r="I97" s="20"/>
      <c r="J97" s="22"/>
      <c r="K97" s="5"/>
    </row>
    <row r="98" spans="1:22" ht="15" customHeight="1" x14ac:dyDescent="0.25">
      <c r="A98" s="5">
        <v>42</v>
      </c>
      <c r="B98" s="32"/>
      <c r="C98" s="16"/>
      <c r="D98" s="48"/>
      <c r="E98" s="5"/>
      <c r="F98" s="5"/>
      <c r="G98" s="5"/>
      <c r="H98" s="5"/>
      <c r="I98" s="20"/>
      <c r="J98" s="22"/>
      <c r="K98" s="5"/>
    </row>
    <row r="99" spans="1:22" ht="15" customHeight="1" x14ac:dyDescent="0.25">
      <c r="A99" s="5">
        <v>43</v>
      </c>
      <c r="B99" s="32"/>
      <c r="C99" s="16"/>
      <c r="D99" s="48"/>
      <c r="E99" s="5"/>
      <c r="F99" s="5"/>
      <c r="G99" s="5"/>
      <c r="H99" s="5"/>
      <c r="I99" s="20"/>
      <c r="J99" s="22"/>
      <c r="K99" s="5"/>
    </row>
    <row r="100" spans="1:22" ht="15" customHeight="1" x14ac:dyDescent="0.25">
      <c r="A100" s="5">
        <v>44</v>
      </c>
      <c r="B100" s="32"/>
      <c r="C100" s="16"/>
      <c r="D100" s="48"/>
      <c r="E100" s="5"/>
      <c r="F100" s="5"/>
      <c r="G100" s="5"/>
      <c r="H100" s="5"/>
      <c r="I100" s="20"/>
      <c r="J100" s="22"/>
      <c r="K100" s="5"/>
    </row>
    <row r="101" spans="1:22" ht="15" customHeight="1" x14ac:dyDescent="0.25">
      <c r="A101" s="5">
        <v>45</v>
      </c>
      <c r="B101" s="32"/>
      <c r="C101" s="16"/>
      <c r="D101" s="48"/>
      <c r="E101" s="5"/>
      <c r="F101" s="5"/>
      <c r="G101" s="5"/>
      <c r="H101" s="5"/>
      <c r="I101" s="20"/>
      <c r="J101" s="22"/>
      <c r="K101" s="5"/>
    </row>
    <row r="102" spans="1:22" ht="15" customHeight="1" x14ac:dyDescent="0.25">
      <c r="A102" s="5">
        <v>46</v>
      </c>
      <c r="B102" s="32"/>
      <c r="C102" s="16"/>
      <c r="D102" s="48"/>
      <c r="E102" s="5"/>
      <c r="F102" s="5"/>
      <c r="G102" s="5"/>
      <c r="H102" s="5"/>
      <c r="I102" s="20"/>
      <c r="J102" s="22"/>
      <c r="K102" s="5"/>
    </row>
    <row r="103" spans="1:22" ht="15" customHeight="1" x14ac:dyDescent="0.25">
      <c r="A103" s="5">
        <v>47</v>
      </c>
      <c r="B103" s="32"/>
      <c r="C103" s="16"/>
      <c r="D103" s="48"/>
      <c r="E103" s="5"/>
      <c r="F103" s="5"/>
      <c r="G103" s="5"/>
      <c r="H103" s="5"/>
      <c r="I103" s="20"/>
      <c r="J103" s="22"/>
      <c r="K103" s="5"/>
    </row>
    <row r="104" spans="1:22" ht="15" customHeight="1" x14ac:dyDescent="0.25">
      <c r="B104" s="44" t="s">
        <v>49</v>
      </c>
      <c r="E104" s="9"/>
      <c r="F104" s="75" t="s">
        <v>0</v>
      </c>
      <c r="G104" s="76"/>
      <c r="H104" s="3">
        <v>60</v>
      </c>
      <c r="I104" s="2"/>
    </row>
    <row r="105" spans="1:22" ht="15" customHeight="1" x14ac:dyDescent="0.25">
      <c r="B105" s="44" t="s">
        <v>49</v>
      </c>
      <c r="E105" s="9"/>
      <c r="F105" s="77" t="s">
        <v>1</v>
      </c>
      <c r="G105" s="78"/>
      <c r="H105" s="4">
        <v>100</v>
      </c>
      <c r="I105" s="2"/>
    </row>
    <row r="106" spans="1:22" ht="15" customHeight="1" x14ac:dyDescent="0.25">
      <c r="B106" s="44" t="s">
        <v>49</v>
      </c>
      <c r="E106" s="10"/>
      <c r="F106" s="72" t="s">
        <v>2</v>
      </c>
      <c r="G106" s="73"/>
      <c r="H106" s="8">
        <v>89.428571428571431</v>
      </c>
      <c r="I106" s="18"/>
      <c r="J106" s="23"/>
    </row>
    <row r="107" spans="1:22" ht="18" x14ac:dyDescent="0.25">
      <c r="A107" s="65" t="s">
        <v>23</v>
      </c>
      <c r="B107" s="65"/>
      <c r="C107" s="65"/>
      <c r="D107" s="65"/>
      <c r="E107" s="65"/>
      <c r="F107" s="65"/>
      <c r="G107" s="30"/>
      <c r="H107" s="30"/>
      <c r="I107" s="30"/>
      <c r="J107" s="30"/>
    </row>
    <row r="108" spans="1:22" ht="20.25" x14ac:dyDescent="0.25">
      <c r="A108" s="66" t="s">
        <v>319</v>
      </c>
      <c r="B108" s="66"/>
      <c r="C108" s="66"/>
      <c r="D108" s="66"/>
      <c r="E108" s="66"/>
      <c r="F108" s="66"/>
      <c r="G108" s="31"/>
      <c r="H108" s="31"/>
      <c r="I108" s="31"/>
      <c r="J108" s="31"/>
    </row>
    <row r="109" spans="1:22" ht="18" x14ac:dyDescent="0.25">
      <c r="A109" s="67">
        <v>46177</v>
      </c>
      <c r="B109" s="67"/>
      <c r="C109" s="67"/>
      <c r="D109" s="67"/>
      <c r="E109" s="67"/>
      <c r="F109" s="67"/>
      <c r="G109" s="30"/>
      <c r="H109" s="30"/>
      <c r="I109" s="30"/>
      <c r="J109" s="30"/>
    </row>
    <row r="110" spans="1:22" x14ac:dyDescent="0.25">
      <c r="A110" s="27" t="s">
        <v>19</v>
      </c>
      <c r="B110" s="38" t="s">
        <v>13</v>
      </c>
      <c r="C110" s="28" t="s">
        <v>20</v>
      </c>
      <c r="D110" s="6"/>
      <c r="E110" s="71" t="s">
        <v>21</v>
      </c>
      <c r="F110" s="71"/>
      <c r="G110" s="24"/>
      <c r="H110" s="70" t="s">
        <v>46</v>
      </c>
      <c r="I110" s="39"/>
      <c r="J110" s="1"/>
      <c r="K110" s="68" t="s">
        <v>51</v>
      </c>
      <c r="L110" s="64"/>
    </row>
    <row r="111" spans="1:22" x14ac:dyDescent="0.25">
      <c r="A111" s="11">
        <v>1</v>
      </c>
      <c r="B111" s="11">
        <v>242510123</v>
      </c>
      <c r="C111" s="42" t="s">
        <v>59</v>
      </c>
      <c r="D111" s="6"/>
      <c r="E111" s="63" t="s">
        <v>195</v>
      </c>
      <c r="F111" s="63"/>
      <c r="G111" s="25"/>
      <c r="H111" s="70"/>
      <c r="I111" s="39"/>
      <c r="J111" s="1"/>
      <c r="K111" s="69"/>
      <c r="L111" s="64"/>
    </row>
    <row r="112" spans="1:22" x14ac:dyDescent="0.25">
      <c r="A112" s="11" t="s">
        <v>49</v>
      </c>
      <c r="B112" s="11" t="s">
        <v>49</v>
      </c>
      <c r="C112" s="42" t="s">
        <v>49</v>
      </c>
      <c r="D112" s="6"/>
      <c r="E112" s="63" t="s">
        <v>49</v>
      </c>
      <c r="F112" s="63"/>
      <c r="G112" s="25"/>
      <c r="H112" s="48" t="s">
        <v>192</v>
      </c>
      <c r="I112" s="40"/>
      <c r="J112" s="1"/>
      <c r="K112" s="29" t="s">
        <v>49</v>
      </c>
      <c r="M112" s="41">
        <v>242510123</v>
      </c>
      <c r="N112" s="1" t="s">
        <v>59</v>
      </c>
      <c r="O112" s="1" t="s">
        <v>195</v>
      </c>
      <c r="P112" s="1" t="s">
        <v>321</v>
      </c>
      <c r="Q112" s="1" t="s">
        <v>321</v>
      </c>
      <c r="R112" s="1" t="s">
        <v>321</v>
      </c>
      <c r="S112" s="1" t="s">
        <v>321</v>
      </c>
      <c r="T112" s="1">
        <v>0</v>
      </c>
      <c r="U112" s="1">
        <v>0</v>
      </c>
      <c r="V112" s="1" t="s">
        <v>205</v>
      </c>
    </row>
    <row r="113" spans="1:13" x14ac:dyDescent="0.25">
      <c r="A113" s="11" t="s">
        <v>49</v>
      </c>
      <c r="B113" s="11" t="s">
        <v>49</v>
      </c>
      <c r="C113" s="42" t="s">
        <v>49</v>
      </c>
      <c r="D113" s="6"/>
      <c r="E113" s="63" t="s">
        <v>49</v>
      </c>
      <c r="F113" s="63"/>
      <c r="G113" s="25"/>
      <c r="H113" s="48" t="s">
        <v>193</v>
      </c>
      <c r="I113" s="40"/>
      <c r="J113" s="1"/>
      <c r="K113" s="29" t="s">
        <v>49</v>
      </c>
      <c r="M113" s="41"/>
    </row>
    <row r="114" spans="1:13" x14ac:dyDescent="0.25">
      <c r="A114" s="11" t="s">
        <v>49</v>
      </c>
      <c r="B114" s="11" t="s">
        <v>49</v>
      </c>
      <c r="C114" s="42" t="s">
        <v>49</v>
      </c>
      <c r="D114" s="6"/>
      <c r="E114" s="63" t="s">
        <v>49</v>
      </c>
      <c r="F114" s="63"/>
      <c r="G114" s="25"/>
      <c r="H114" s="48" t="s">
        <v>194</v>
      </c>
      <c r="I114" s="40"/>
      <c r="J114" s="1"/>
      <c r="K114" s="29" t="s">
        <v>49</v>
      </c>
      <c r="M114" s="41"/>
    </row>
    <row r="115" spans="1:13" x14ac:dyDescent="0.25">
      <c r="A115" s="11" t="s">
        <v>49</v>
      </c>
      <c r="B115" s="11" t="s">
        <v>49</v>
      </c>
      <c r="C115" s="42" t="s">
        <v>49</v>
      </c>
      <c r="D115" s="6"/>
      <c r="E115" s="63" t="s">
        <v>49</v>
      </c>
      <c r="F115" s="63"/>
      <c r="G115" s="25"/>
      <c r="H115" s="48" t="s">
        <v>195</v>
      </c>
      <c r="I115" s="40"/>
      <c r="J115" s="1"/>
      <c r="K115" s="29">
        <v>1</v>
      </c>
      <c r="M115" s="41"/>
    </row>
    <row r="116" spans="1:13" x14ac:dyDescent="0.25">
      <c r="A116" s="11" t="s">
        <v>49</v>
      </c>
      <c r="B116" s="11" t="s">
        <v>49</v>
      </c>
      <c r="C116" s="42" t="s">
        <v>49</v>
      </c>
      <c r="D116" s="7"/>
      <c r="E116" s="63" t="s">
        <v>49</v>
      </c>
      <c r="F116" s="63"/>
      <c r="G116" s="25"/>
      <c r="H116" s="48" t="s">
        <v>196</v>
      </c>
      <c r="I116" s="40"/>
      <c r="J116" s="1"/>
      <c r="K116" s="29" t="s">
        <v>49</v>
      </c>
      <c r="M116" s="41"/>
    </row>
    <row r="117" spans="1:13" x14ac:dyDescent="0.25">
      <c r="A117" s="11" t="s">
        <v>49</v>
      </c>
      <c r="B117" s="11" t="s">
        <v>49</v>
      </c>
      <c r="C117" s="42" t="s">
        <v>49</v>
      </c>
      <c r="D117" s="11"/>
      <c r="E117" s="63" t="s">
        <v>49</v>
      </c>
      <c r="F117" s="63"/>
      <c r="G117" s="25"/>
      <c r="H117" s="48" t="s">
        <v>197</v>
      </c>
      <c r="I117" s="40"/>
      <c r="J117" s="1"/>
      <c r="K117" s="29" t="s">
        <v>49</v>
      </c>
      <c r="M117" s="41"/>
    </row>
    <row r="118" spans="1:13" x14ac:dyDescent="0.25">
      <c r="A118" s="11" t="s">
        <v>49</v>
      </c>
      <c r="B118" s="11" t="s">
        <v>49</v>
      </c>
      <c r="C118" s="42" t="s">
        <v>49</v>
      </c>
      <c r="D118" s="11"/>
      <c r="E118" s="63" t="s">
        <v>49</v>
      </c>
      <c r="F118" s="63"/>
      <c r="G118" s="25"/>
      <c r="H118" s="48" t="s">
        <v>198</v>
      </c>
      <c r="I118" s="40"/>
      <c r="J118" s="1"/>
      <c r="K118" s="29" t="s">
        <v>49</v>
      </c>
      <c r="M118" s="41"/>
    </row>
    <row r="119" spans="1:13" x14ac:dyDescent="0.25">
      <c r="A119" s="11" t="s">
        <v>49</v>
      </c>
      <c r="B119" s="11" t="s">
        <v>49</v>
      </c>
      <c r="C119" s="42" t="s">
        <v>49</v>
      </c>
      <c r="D119" s="11"/>
      <c r="E119" s="63" t="s">
        <v>49</v>
      </c>
      <c r="F119" s="63"/>
      <c r="G119" s="25"/>
      <c r="H119" s="48" t="s">
        <v>199</v>
      </c>
      <c r="I119" s="40"/>
      <c r="J119" s="1"/>
      <c r="K119" s="29" t="s">
        <v>49</v>
      </c>
      <c r="M119" s="41"/>
    </row>
    <row r="120" spans="1:13" x14ac:dyDescent="0.25">
      <c r="A120" s="11" t="s">
        <v>49</v>
      </c>
      <c r="B120" s="11" t="s">
        <v>49</v>
      </c>
      <c r="C120" s="42" t="s">
        <v>49</v>
      </c>
      <c r="D120" s="11"/>
      <c r="E120" s="63" t="s">
        <v>49</v>
      </c>
      <c r="F120" s="63"/>
      <c r="G120" s="25"/>
      <c r="H120" s="48" t="s">
        <v>200</v>
      </c>
      <c r="I120" s="40"/>
      <c r="J120" s="1"/>
      <c r="K120" s="29" t="s">
        <v>49</v>
      </c>
      <c r="M120" s="41"/>
    </row>
    <row r="121" spans="1:13" x14ac:dyDescent="0.25">
      <c r="A121" s="11" t="s">
        <v>49</v>
      </c>
      <c r="B121" s="11" t="s">
        <v>49</v>
      </c>
      <c r="C121" s="42" t="s">
        <v>49</v>
      </c>
      <c r="D121" s="11" t="s">
        <v>49</v>
      </c>
      <c r="E121" s="63" t="s">
        <v>49</v>
      </c>
      <c r="F121" s="63"/>
      <c r="G121" s="25"/>
      <c r="H121" s="48" t="s">
        <v>201</v>
      </c>
      <c r="I121" s="40"/>
      <c r="J121" s="1"/>
      <c r="K121" s="29" t="s">
        <v>49</v>
      </c>
      <c r="M121" s="41"/>
    </row>
    <row r="122" spans="1:13" x14ac:dyDescent="0.25">
      <c r="A122" s="11" t="s">
        <v>49</v>
      </c>
      <c r="B122" s="11" t="s">
        <v>49</v>
      </c>
      <c r="C122" s="42" t="s">
        <v>49</v>
      </c>
      <c r="D122" s="11" t="s">
        <v>49</v>
      </c>
      <c r="E122" s="63" t="s">
        <v>49</v>
      </c>
      <c r="F122" s="63"/>
      <c r="G122" s="25"/>
      <c r="H122" s="48" t="s">
        <v>202</v>
      </c>
      <c r="I122" s="40"/>
      <c r="J122" s="1"/>
      <c r="K122" s="29" t="s">
        <v>49</v>
      </c>
    </row>
    <row r="123" spans="1:13" x14ac:dyDescent="0.25">
      <c r="A123" s="11" t="s">
        <v>49</v>
      </c>
      <c r="B123" s="11" t="s">
        <v>49</v>
      </c>
      <c r="C123" s="42" t="s">
        <v>49</v>
      </c>
      <c r="D123" s="11" t="s">
        <v>49</v>
      </c>
      <c r="E123" s="63" t="s">
        <v>49</v>
      </c>
      <c r="F123" s="63"/>
      <c r="G123" s="26"/>
      <c r="H123" s="62" t="s">
        <v>12</v>
      </c>
      <c r="I123" s="62"/>
      <c r="J123" s="1"/>
      <c r="K123" s="62">
        <v>1</v>
      </c>
    </row>
    <row r="124" spans="1:13" x14ac:dyDescent="0.25">
      <c r="A124" s="11" t="s">
        <v>49</v>
      </c>
      <c r="B124" s="11" t="s">
        <v>49</v>
      </c>
      <c r="C124" s="42" t="s">
        <v>49</v>
      </c>
      <c r="D124" s="11" t="s">
        <v>49</v>
      </c>
      <c r="E124" s="63" t="s">
        <v>49</v>
      </c>
      <c r="F124" s="63"/>
      <c r="G124" s="26"/>
      <c r="H124" s="62"/>
      <c r="I124" s="62"/>
      <c r="J124" s="1"/>
      <c r="K124" s="62"/>
    </row>
    <row r="125" spans="1:13" x14ac:dyDescent="0.25">
      <c r="A125" s="11" t="s">
        <v>49</v>
      </c>
      <c r="B125" s="11" t="s">
        <v>49</v>
      </c>
      <c r="C125" s="42" t="s">
        <v>49</v>
      </c>
      <c r="D125" s="11" t="s">
        <v>49</v>
      </c>
      <c r="E125" s="63" t="s">
        <v>49</v>
      </c>
      <c r="F125" s="63"/>
      <c r="G125" s="26"/>
    </row>
    <row r="126" spans="1:13" x14ac:dyDescent="0.25">
      <c r="A126" s="11" t="s">
        <v>49</v>
      </c>
      <c r="B126" s="11" t="s">
        <v>49</v>
      </c>
      <c r="C126" s="42" t="s">
        <v>49</v>
      </c>
      <c r="D126" s="11" t="s">
        <v>49</v>
      </c>
      <c r="E126" s="63" t="s">
        <v>49</v>
      </c>
      <c r="F126" s="63"/>
      <c r="G126" s="26"/>
      <c r="H126" s="50" t="s">
        <v>204</v>
      </c>
      <c r="I126" s="54"/>
      <c r="J126" s="55"/>
      <c r="K126" s="56">
        <v>69</v>
      </c>
    </row>
    <row r="127" spans="1:13" x14ac:dyDescent="0.25">
      <c r="A127" s="11" t="s">
        <v>49</v>
      </c>
      <c r="B127" s="11" t="s">
        <v>49</v>
      </c>
      <c r="C127" s="42" t="s">
        <v>49</v>
      </c>
      <c r="D127" s="11" t="s">
        <v>49</v>
      </c>
      <c r="E127" s="63" t="s">
        <v>49</v>
      </c>
      <c r="F127" s="63"/>
      <c r="H127" s="50" t="s">
        <v>205</v>
      </c>
      <c r="I127" s="54"/>
      <c r="J127" s="55"/>
      <c r="K127" s="56">
        <v>1</v>
      </c>
    </row>
    <row r="128" spans="1:13" x14ac:dyDescent="0.25">
      <c r="A128" s="11" t="s">
        <v>49</v>
      </c>
      <c r="B128" s="11" t="s">
        <v>49</v>
      </c>
      <c r="C128" s="42" t="s">
        <v>49</v>
      </c>
      <c r="D128" s="11" t="s">
        <v>49</v>
      </c>
      <c r="E128" s="63" t="s">
        <v>49</v>
      </c>
      <c r="F128" s="63"/>
      <c r="H128" s="50" t="s">
        <v>206</v>
      </c>
      <c r="I128" s="54"/>
      <c r="J128" s="55"/>
      <c r="K128" s="56">
        <v>70</v>
      </c>
    </row>
    <row r="129" spans="1:11" x14ac:dyDescent="0.25">
      <c r="A129" s="11"/>
      <c r="B129" s="11"/>
      <c r="C129" s="42"/>
      <c r="D129" s="11"/>
      <c r="E129" s="60"/>
      <c r="F129" s="61"/>
      <c r="H129" s="50" t="s">
        <v>207</v>
      </c>
      <c r="I129" s="54"/>
      <c r="J129" s="55"/>
      <c r="K129" s="56">
        <v>70</v>
      </c>
    </row>
    <row r="130" spans="1:11" x14ac:dyDescent="0.25">
      <c r="H130" s="50" t="s">
        <v>208</v>
      </c>
      <c r="I130" s="54"/>
      <c r="J130" s="55"/>
      <c r="K130" s="57" t="s">
        <v>323</v>
      </c>
    </row>
    <row r="189" spans="24:24" x14ac:dyDescent="0.25">
      <c r="X189" s="1" t="e">
        <v>#REF!</v>
      </c>
    </row>
    <row r="198" spans="24:25" x14ac:dyDescent="0.25">
      <c r="X198" s="7" t="e">
        <v>#REF!</v>
      </c>
    </row>
    <row r="199" spans="24:25" x14ac:dyDescent="0.25">
      <c r="X199" s="7">
        <v>69</v>
      </c>
    </row>
    <row r="200" spans="24:25" x14ac:dyDescent="0.25">
      <c r="X200" s="7" t="e">
        <v>#REF!</v>
      </c>
      <c r="Y200" s="1">
        <v>1</v>
      </c>
    </row>
    <row r="201" spans="24:25" x14ac:dyDescent="0.25">
      <c r="X201" s="21" t="e">
        <v>#REF!</v>
      </c>
    </row>
  </sheetData>
  <mergeCells count="38">
    <mergeCell ref="E117:F117"/>
    <mergeCell ref="E112:F112"/>
    <mergeCell ref="E113:F113"/>
    <mergeCell ref="E114:F114"/>
    <mergeCell ref="E115:F115"/>
    <mergeCell ref="E116:F116"/>
    <mergeCell ref="A1:K1"/>
    <mergeCell ref="A54:K54"/>
    <mergeCell ref="D2:K2"/>
    <mergeCell ref="F52:G52"/>
    <mergeCell ref="F51:G51"/>
    <mergeCell ref="F106:G106"/>
    <mergeCell ref="D55:K55"/>
    <mergeCell ref="F53:G53"/>
    <mergeCell ref="F104:G104"/>
    <mergeCell ref="F105:G105"/>
    <mergeCell ref="L110:L111"/>
    <mergeCell ref="A107:F107"/>
    <mergeCell ref="A108:F108"/>
    <mergeCell ref="A109:F109"/>
    <mergeCell ref="K110:K111"/>
    <mergeCell ref="H110:H111"/>
    <mergeCell ref="E110:F110"/>
    <mergeCell ref="E111:F111"/>
    <mergeCell ref="E129:F129"/>
    <mergeCell ref="K123:K124"/>
    <mergeCell ref="E125:F125"/>
    <mergeCell ref="H123:I124"/>
    <mergeCell ref="E118:F118"/>
    <mergeCell ref="E126:F126"/>
    <mergeCell ref="E120:F120"/>
    <mergeCell ref="E124:F124"/>
    <mergeCell ref="E123:F123"/>
    <mergeCell ref="E127:F127"/>
    <mergeCell ref="E128:F128"/>
    <mergeCell ref="E119:F119"/>
    <mergeCell ref="E121:F121"/>
    <mergeCell ref="E122:F122"/>
  </mergeCells>
  <phoneticPr fontId="5" type="noConversion"/>
  <printOptions horizontalCentered="1"/>
  <pageMargins left="0.55118110236220474" right="0.11811023622047245" top="0.24" bottom="0.31496062992125984" header="7.874015748031496E-2" footer="0.11811023622047245"/>
  <pageSetup paperSize="9" pageOrder="overThenDown" orientation="portrait" r:id="rId1"/>
  <headerFooter alignWithMargins="0">
    <oddFooter>&amp;L&amp;"Arial Narrow,Italic"&amp;10PSAT 2026&amp;C&amp;"NSimSun,Regular"SMAN 15 BANDUNG&amp;R&amp;"Arial Narrow,Regular"Halaman &amp;P dari &amp;N</oddFooter>
  </headerFooter>
  <rowBreaks count="2" manualBreakCount="2">
    <brk id="53" max="16383" man="1"/>
    <brk id="1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535"/>
  <sheetViews>
    <sheetView zoomScale="115" zoomScaleNormal="115" workbookViewId="0">
      <selection activeCell="J3" sqref="J3:AM71"/>
    </sheetView>
  </sheetViews>
  <sheetFormatPr defaultRowHeight="16.5" x14ac:dyDescent="0.25"/>
  <cols>
    <col min="1" max="1" width="10" style="33" bestFit="1" customWidth="1"/>
    <col min="2" max="2" width="9" style="7" bestFit="1" customWidth="1"/>
    <col min="3" max="3" width="44.42578125" style="7" bestFit="1" customWidth="1"/>
    <col min="4" max="4" width="22" style="7" bestFit="1" customWidth="1"/>
    <col min="5" max="5" width="11.85546875" style="7" bestFit="1" customWidth="1"/>
    <col min="6" max="7" width="16.85546875" style="7" bestFit="1" customWidth="1"/>
    <col min="8" max="8" width="14.5703125" style="7" bestFit="1" customWidth="1"/>
    <col min="9" max="9" width="9.7109375" style="7" bestFit="1" customWidth="1"/>
    <col min="10" max="10" width="10" style="7" bestFit="1" customWidth="1"/>
    <col min="11" max="11" width="11.85546875" style="6" bestFit="1" customWidth="1"/>
    <col min="12" max="20" width="8.5703125" style="6" bestFit="1" customWidth="1"/>
    <col min="21" max="29" width="9.5703125" style="6" bestFit="1" customWidth="1"/>
    <col min="30" max="39" width="5.140625" style="6" bestFit="1" customWidth="1"/>
    <col min="40" max="51" width="3" style="6" bestFit="1" customWidth="1"/>
    <col min="52" max="52" width="6.5703125" style="6" bestFit="1" customWidth="1"/>
    <col min="53" max="53" width="4.42578125" style="6" bestFit="1" customWidth="1"/>
    <col min="54" max="16384" width="9.140625" style="7"/>
  </cols>
  <sheetData>
    <row r="1" spans="1:54" x14ac:dyDescent="0.25">
      <c r="A1" s="33">
        <v>1</v>
      </c>
      <c r="B1" s="6">
        <v>2</v>
      </c>
      <c r="C1" s="33">
        <v>3</v>
      </c>
      <c r="D1" s="6">
        <v>4</v>
      </c>
      <c r="E1" s="33">
        <v>5</v>
      </c>
      <c r="F1" s="6">
        <v>6</v>
      </c>
      <c r="G1" s="33">
        <v>7</v>
      </c>
      <c r="H1" s="6">
        <v>8</v>
      </c>
      <c r="I1" s="33">
        <v>9</v>
      </c>
      <c r="J1" s="6">
        <v>10</v>
      </c>
      <c r="K1" s="33">
        <v>11</v>
      </c>
      <c r="L1" s="6">
        <v>12</v>
      </c>
      <c r="M1" s="33">
        <v>13</v>
      </c>
      <c r="N1" s="6">
        <v>14</v>
      </c>
      <c r="O1" s="33">
        <v>15</v>
      </c>
      <c r="P1" s="6">
        <v>16</v>
      </c>
      <c r="Q1" s="33">
        <v>17</v>
      </c>
      <c r="R1" s="6">
        <v>18</v>
      </c>
      <c r="S1" s="33">
        <v>19</v>
      </c>
      <c r="T1" s="6">
        <v>20</v>
      </c>
      <c r="U1" s="33">
        <v>21</v>
      </c>
      <c r="V1" s="6">
        <v>22</v>
      </c>
      <c r="W1" s="33">
        <v>23</v>
      </c>
      <c r="X1" s="6">
        <v>24</v>
      </c>
      <c r="Y1" s="33">
        <v>25</v>
      </c>
      <c r="Z1" s="6">
        <v>26</v>
      </c>
      <c r="AA1" s="33">
        <v>27</v>
      </c>
      <c r="AB1" s="6">
        <v>28</v>
      </c>
      <c r="AC1" s="33">
        <v>29</v>
      </c>
      <c r="AD1" s="6">
        <v>30</v>
      </c>
      <c r="AE1" s="33">
        <v>31</v>
      </c>
      <c r="AF1" s="6">
        <v>32</v>
      </c>
      <c r="AG1" s="33">
        <v>33</v>
      </c>
      <c r="AH1" s="6">
        <v>34</v>
      </c>
      <c r="AI1" s="33">
        <v>35</v>
      </c>
      <c r="AJ1" s="6">
        <v>36</v>
      </c>
      <c r="AK1" s="33">
        <v>37</v>
      </c>
      <c r="AL1" s="6">
        <v>38</v>
      </c>
      <c r="AM1" s="33">
        <v>39</v>
      </c>
      <c r="AN1" s="6">
        <v>40</v>
      </c>
      <c r="AO1" s="33">
        <v>41</v>
      </c>
      <c r="AP1" s="6">
        <v>42</v>
      </c>
      <c r="AQ1" s="33">
        <v>43</v>
      </c>
      <c r="AR1" s="6">
        <v>44</v>
      </c>
      <c r="AS1" s="33">
        <v>45</v>
      </c>
      <c r="AT1" s="6">
        <v>46</v>
      </c>
      <c r="AU1" s="33">
        <v>47</v>
      </c>
      <c r="AV1" s="6">
        <v>48</v>
      </c>
      <c r="AW1" s="33">
        <v>49</v>
      </c>
      <c r="AX1" s="6">
        <v>50</v>
      </c>
      <c r="AY1" s="33">
        <v>51</v>
      </c>
      <c r="AZ1" s="6">
        <v>52</v>
      </c>
      <c r="BA1" s="33">
        <v>53</v>
      </c>
      <c r="BB1" s="6">
        <v>54</v>
      </c>
    </row>
    <row r="2" spans="1:54" s="6" customFormat="1" x14ac:dyDescent="0.25">
      <c r="A2" s="34" t="s">
        <v>13</v>
      </c>
      <c r="B2" s="6" t="s">
        <v>3</v>
      </c>
      <c r="C2" s="6" t="s">
        <v>4</v>
      </c>
      <c r="D2" s="6" t="s">
        <v>5</v>
      </c>
      <c r="E2" s="6" t="s">
        <v>24</v>
      </c>
      <c r="F2" s="6" t="s">
        <v>6</v>
      </c>
      <c r="G2" s="6" t="s">
        <v>7</v>
      </c>
      <c r="H2" s="6" t="s">
        <v>8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38</v>
      </c>
      <c r="W2" s="6" t="s">
        <v>39</v>
      </c>
      <c r="X2" s="6" t="s">
        <v>40</v>
      </c>
      <c r="Y2" s="6" t="s">
        <v>41</v>
      </c>
      <c r="Z2" s="6" t="s">
        <v>42</v>
      </c>
      <c r="AA2" s="6" t="s">
        <v>43</v>
      </c>
      <c r="AB2" s="6" t="s">
        <v>44</v>
      </c>
      <c r="AC2" s="6" t="s">
        <v>45</v>
      </c>
      <c r="AD2" s="6">
        <v>21</v>
      </c>
      <c r="AE2" s="6">
        <v>22</v>
      </c>
      <c r="AF2" s="6">
        <v>23</v>
      </c>
      <c r="AG2" s="6">
        <v>24</v>
      </c>
      <c r="AH2" s="6">
        <v>25</v>
      </c>
      <c r="AI2" s="6">
        <v>26</v>
      </c>
      <c r="AJ2" s="6">
        <v>27</v>
      </c>
      <c r="AK2" s="6">
        <v>28</v>
      </c>
      <c r="AL2" s="6">
        <v>29</v>
      </c>
      <c r="AM2" s="6">
        <v>30</v>
      </c>
      <c r="AN2" s="6">
        <v>31</v>
      </c>
      <c r="AO2" s="6">
        <v>32</v>
      </c>
      <c r="AP2" s="6">
        <v>33</v>
      </c>
      <c r="AQ2" s="6">
        <v>34</v>
      </c>
      <c r="AR2" s="6">
        <v>35</v>
      </c>
      <c r="AS2" s="6">
        <v>36</v>
      </c>
      <c r="AT2" s="6">
        <v>37</v>
      </c>
      <c r="AU2" s="6">
        <v>38</v>
      </c>
      <c r="AV2" s="6">
        <v>39</v>
      </c>
      <c r="AW2" s="6">
        <v>40</v>
      </c>
      <c r="AX2" s="6" t="s">
        <v>9</v>
      </c>
      <c r="AY2" s="6" t="s">
        <v>10</v>
      </c>
      <c r="AZ2" s="6" t="s">
        <v>11</v>
      </c>
      <c r="BA2" s="6" t="s">
        <v>12</v>
      </c>
    </row>
    <row r="3" spans="1:54" x14ac:dyDescent="0.25">
      <c r="A3" s="43">
        <f>_xlfn.NUMBERVALUE(LEFT(D3,9))</f>
        <v>242510025</v>
      </c>
      <c r="B3" s="59" t="s">
        <v>154</v>
      </c>
      <c r="C3" s="59" t="s">
        <v>70</v>
      </c>
      <c r="D3" s="59" t="s">
        <v>158</v>
      </c>
      <c r="E3" s="59" t="s">
        <v>47</v>
      </c>
      <c r="F3" s="59" t="s">
        <v>232</v>
      </c>
      <c r="G3" s="59" t="s">
        <v>233</v>
      </c>
      <c r="H3" s="59" t="s">
        <v>234</v>
      </c>
      <c r="I3" s="59" t="s">
        <v>50</v>
      </c>
      <c r="J3" s="59">
        <v>3.33</v>
      </c>
      <c r="K3" s="59">
        <v>3.33</v>
      </c>
      <c r="L3" s="59">
        <v>3.33</v>
      </c>
      <c r="M3" s="59">
        <v>3.33</v>
      </c>
      <c r="N3" s="59">
        <v>3.33</v>
      </c>
      <c r="O3" s="59">
        <v>3.33</v>
      </c>
      <c r="P3" s="59">
        <v>3.33</v>
      </c>
      <c r="Q3" s="59">
        <v>3.33</v>
      </c>
      <c r="R3" s="59">
        <v>3.33</v>
      </c>
      <c r="S3" s="59">
        <v>3.33</v>
      </c>
      <c r="T3" s="59">
        <v>3.33</v>
      </c>
      <c r="U3" s="59">
        <v>3.33</v>
      </c>
      <c r="V3" s="59">
        <v>3.33</v>
      </c>
      <c r="W3" s="59">
        <v>3.33</v>
      </c>
      <c r="X3" s="59">
        <v>3.33</v>
      </c>
      <c r="Y3" s="59">
        <v>3.33</v>
      </c>
      <c r="Z3" s="59">
        <v>3.33</v>
      </c>
      <c r="AA3" s="59">
        <v>3.33</v>
      </c>
      <c r="AB3" s="59">
        <v>3.33</v>
      </c>
      <c r="AC3" s="59">
        <v>3.33</v>
      </c>
      <c r="AD3" s="59">
        <v>3.33</v>
      </c>
      <c r="AE3" s="59">
        <v>3.33</v>
      </c>
      <c r="AF3" s="59">
        <v>3.33</v>
      </c>
      <c r="AG3" s="59">
        <v>3.33</v>
      </c>
      <c r="AH3" s="59">
        <v>3.33</v>
      </c>
      <c r="AI3" s="59">
        <v>3.33</v>
      </c>
      <c r="AJ3" s="59">
        <v>3.33</v>
      </c>
      <c r="AK3" s="59">
        <v>3.33</v>
      </c>
      <c r="AL3" s="59">
        <v>3.33</v>
      </c>
      <c r="AM3" s="59">
        <v>3.33</v>
      </c>
      <c r="AX3" s="6">
        <f>COUNTIF(J3:AW3,"&gt;1")</f>
        <v>30</v>
      </c>
      <c r="AY3" s="6">
        <f t="shared" ref="AY3:AY66" si="0">COUNTIF(J3:AW3,0)</f>
        <v>0</v>
      </c>
      <c r="AZ3" s="6">
        <f t="shared" ref="AZ3:AZ66" si="1">COUNTIF(J3:AW3,"-")</f>
        <v>0</v>
      </c>
      <c r="BA3" s="6">
        <f t="shared" ref="BA3:BA66" si="2">SUM(AX3:AZ3)</f>
        <v>30</v>
      </c>
      <c r="BB3" s="7" t="s">
        <v>203</v>
      </c>
    </row>
    <row r="4" spans="1:54" x14ac:dyDescent="0.25">
      <c r="A4" s="43">
        <f t="shared" ref="A4:A67" si="3">_xlfn.NUMBERVALUE(LEFT(D4,9))</f>
        <v>242510244</v>
      </c>
      <c r="B4" s="59" t="s">
        <v>154</v>
      </c>
      <c r="C4" s="59" t="s">
        <v>72</v>
      </c>
      <c r="D4" s="59" t="s">
        <v>166</v>
      </c>
      <c r="E4" s="59" t="s">
        <v>47</v>
      </c>
      <c r="F4" s="59" t="s">
        <v>232</v>
      </c>
      <c r="G4" s="59" t="s">
        <v>235</v>
      </c>
      <c r="H4" s="59" t="s">
        <v>236</v>
      </c>
      <c r="I4" s="59" t="s">
        <v>210</v>
      </c>
      <c r="J4" s="59">
        <v>3.33</v>
      </c>
      <c r="K4" s="59">
        <v>3.33</v>
      </c>
      <c r="L4" s="59">
        <v>3.33</v>
      </c>
      <c r="M4" s="59">
        <v>3.33</v>
      </c>
      <c r="N4" s="59">
        <v>3.33</v>
      </c>
      <c r="O4" s="59">
        <v>0</v>
      </c>
      <c r="P4" s="59">
        <v>3.33</v>
      </c>
      <c r="Q4" s="59">
        <v>3.33</v>
      </c>
      <c r="R4" s="59">
        <v>3.33</v>
      </c>
      <c r="S4" s="59">
        <v>3.33</v>
      </c>
      <c r="T4" s="59">
        <v>3.33</v>
      </c>
      <c r="U4" s="59">
        <v>3.33</v>
      </c>
      <c r="V4" s="59">
        <v>3.33</v>
      </c>
      <c r="W4" s="59">
        <v>3.33</v>
      </c>
      <c r="X4" s="59">
        <v>3.33</v>
      </c>
      <c r="Y4" s="59">
        <v>3.33</v>
      </c>
      <c r="Z4" s="59">
        <v>3.33</v>
      </c>
      <c r="AA4" s="59">
        <v>3.33</v>
      </c>
      <c r="AB4" s="59">
        <v>3.33</v>
      </c>
      <c r="AC4" s="59">
        <v>3.33</v>
      </c>
      <c r="AD4" s="59">
        <v>3.33</v>
      </c>
      <c r="AE4" s="59">
        <v>3.33</v>
      </c>
      <c r="AF4" s="59">
        <v>3.33</v>
      </c>
      <c r="AG4" s="59">
        <v>3.33</v>
      </c>
      <c r="AH4" s="59">
        <v>3.33</v>
      </c>
      <c r="AI4" s="59">
        <v>3.33</v>
      </c>
      <c r="AJ4" s="59">
        <v>3.33</v>
      </c>
      <c r="AK4" s="59">
        <v>3.33</v>
      </c>
      <c r="AL4" s="59">
        <v>3.33</v>
      </c>
      <c r="AM4" s="59">
        <v>3.33</v>
      </c>
      <c r="AX4" s="6">
        <f t="shared" ref="AX4:AX66" si="4">COUNTIF(J4:AW4,"&gt;1")</f>
        <v>29</v>
      </c>
      <c r="AY4" s="6">
        <f t="shared" si="0"/>
        <v>1</v>
      </c>
      <c r="AZ4" s="6">
        <f t="shared" si="1"/>
        <v>0</v>
      </c>
      <c r="BA4" s="6">
        <f t="shared" si="2"/>
        <v>30</v>
      </c>
      <c r="BB4" s="7" t="s">
        <v>203</v>
      </c>
    </row>
    <row r="5" spans="1:54" x14ac:dyDescent="0.25">
      <c r="A5" s="43">
        <f t="shared" si="3"/>
        <v>242510253</v>
      </c>
      <c r="B5" s="59" t="s">
        <v>154</v>
      </c>
      <c r="C5" s="59" t="s">
        <v>85</v>
      </c>
      <c r="D5" s="59" t="s">
        <v>172</v>
      </c>
      <c r="E5" s="59" t="s">
        <v>47</v>
      </c>
      <c r="F5" s="59" t="s">
        <v>232</v>
      </c>
      <c r="G5" s="59" t="s">
        <v>237</v>
      </c>
      <c r="H5" s="59" t="s">
        <v>238</v>
      </c>
      <c r="I5" s="59" t="s">
        <v>213</v>
      </c>
      <c r="J5" s="59">
        <v>3.33</v>
      </c>
      <c r="K5" s="59">
        <v>3.33</v>
      </c>
      <c r="L5" s="59">
        <v>3.33</v>
      </c>
      <c r="M5" s="59">
        <v>3.33</v>
      </c>
      <c r="N5" s="59">
        <v>3.33</v>
      </c>
      <c r="O5" s="59">
        <v>3.33</v>
      </c>
      <c r="P5" s="59">
        <v>3.33</v>
      </c>
      <c r="Q5" s="59">
        <v>3.33</v>
      </c>
      <c r="R5" s="59">
        <v>3.33</v>
      </c>
      <c r="S5" s="59">
        <v>3.33</v>
      </c>
      <c r="T5" s="59">
        <v>0</v>
      </c>
      <c r="U5" s="59">
        <v>3.33</v>
      </c>
      <c r="V5" s="59">
        <v>3.33</v>
      </c>
      <c r="W5" s="59">
        <v>3.33</v>
      </c>
      <c r="X5" s="59">
        <v>3.33</v>
      </c>
      <c r="Y5" s="59">
        <v>3.33</v>
      </c>
      <c r="Z5" s="59">
        <v>3.33</v>
      </c>
      <c r="AA5" s="59">
        <v>0</v>
      </c>
      <c r="AB5" s="59">
        <v>3.33</v>
      </c>
      <c r="AC5" s="59">
        <v>3.33</v>
      </c>
      <c r="AD5" s="59">
        <v>3.33</v>
      </c>
      <c r="AE5" s="59">
        <v>0</v>
      </c>
      <c r="AF5" s="59">
        <v>3.33</v>
      </c>
      <c r="AG5" s="59">
        <v>3.33</v>
      </c>
      <c r="AH5" s="59">
        <v>3.33</v>
      </c>
      <c r="AI5" s="59">
        <v>3.33</v>
      </c>
      <c r="AJ5" s="59">
        <v>3.33</v>
      </c>
      <c r="AK5" s="59">
        <v>3.33</v>
      </c>
      <c r="AL5" s="59">
        <v>3.33</v>
      </c>
      <c r="AM5" s="59">
        <v>3.33</v>
      </c>
      <c r="AX5" s="6">
        <f t="shared" si="4"/>
        <v>27</v>
      </c>
      <c r="AY5" s="6">
        <f t="shared" si="0"/>
        <v>3</v>
      </c>
      <c r="AZ5" s="6">
        <f t="shared" si="1"/>
        <v>0</v>
      </c>
      <c r="BA5" s="6">
        <f t="shared" si="2"/>
        <v>30</v>
      </c>
      <c r="BB5" s="7" t="s">
        <v>203</v>
      </c>
    </row>
    <row r="6" spans="1:54" x14ac:dyDescent="0.25">
      <c r="A6" s="43">
        <f t="shared" si="3"/>
        <v>242510110</v>
      </c>
      <c r="B6" s="59" t="s">
        <v>154</v>
      </c>
      <c r="C6" s="59" t="s">
        <v>86</v>
      </c>
      <c r="D6" s="59" t="s">
        <v>170</v>
      </c>
      <c r="E6" s="59" t="s">
        <v>47</v>
      </c>
      <c r="F6" s="59" t="s">
        <v>232</v>
      </c>
      <c r="G6" s="59" t="s">
        <v>239</v>
      </c>
      <c r="H6" s="59" t="s">
        <v>240</v>
      </c>
      <c r="I6" s="59" t="s">
        <v>210</v>
      </c>
      <c r="J6" s="59">
        <v>3.33</v>
      </c>
      <c r="K6" s="59">
        <v>3.33</v>
      </c>
      <c r="L6" s="59">
        <v>3.33</v>
      </c>
      <c r="M6" s="59">
        <v>3.33</v>
      </c>
      <c r="N6" s="59">
        <v>3.33</v>
      </c>
      <c r="O6" s="59">
        <v>3.33</v>
      </c>
      <c r="P6" s="59">
        <v>3.33</v>
      </c>
      <c r="Q6" s="59">
        <v>3.33</v>
      </c>
      <c r="R6" s="59">
        <v>3.33</v>
      </c>
      <c r="S6" s="59">
        <v>3.33</v>
      </c>
      <c r="T6" s="59">
        <v>3.33</v>
      </c>
      <c r="U6" s="59">
        <v>3.33</v>
      </c>
      <c r="V6" s="59">
        <v>3.33</v>
      </c>
      <c r="W6" s="59">
        <v>3.33</v>
      </c>
      <c r="X6" s="59">
        <v>3.33</v>
      </c>
      <c r="Y6" s="59">
        <v>3.33</v>
      </c>
      <c r="Z6" s="59">
        <v>3.33</v>
      </c>
      <c r="AA6" s="59">
        <v>3.33</v>
      </c>
      <c r="AB6" s="59">
        <v>3.33</v>
      </c>
      <c r="AC6" s="59">
        <v>3.33</v>
      </c>
      <c r="AD6" s="59">
        <v>3.33</v>
      </c>
      <c r="AE6" s="59">
        <v>3.33</v>
      </c>
      <c r="AF6" s="59">
        <v>3.33</v>
      </c>
      <c r="AG6" s="59">
        <v>3.33</v>
      </c>
      <c r="AH6" s="59">
        <v>3.33</v>
      </c>
      <c r="AI6" s="59">
        <v>3.33</v>
      </c>
      <c r="AJ6" s="59">
        <v>0</v>
      </c>
      <c r="AK6" s="59">
        <v>3.33</v>
      </c>
      <c r="AL6" s="59">
        <v>3.33</v>
      </c>
      <c r="AM6" s="59">
        <v>3.33</v>
      </c>
      <c r="AX6" s="6">
        <f t="shared" si="4"/>
        <v>29</v>
      </c>
      <c r="AY6" s="6">
        <f t="shared" si="0"/>
        <v>1</v>
      </c>
      <c r="AZ6" s="6">
        <f t="shared" si="1"/>
        <v>0</v>
      </c>
      <c r="BA6" s="6">
        <f t="shared" si="2"/>
        <v>30</v>
      </c>
      <c r="BB6" s="7" t="s">
        <v>203</v>
      </c>
    </row>
    <row r="7" spans="1:54" x14ac:dyDescent="0.25">
      <c r="A7" s="43">
        <f t="shared" si="3"/>
        <v>242510196</v>
      </c>
      <c r="B7" s="59" t="s">
        <v>122</v>
      </c>
      <c r="C7" s="59" t="s">
        <v>97</v>
      </c>
      <c r="D7" s="59" t="s">
        <v>133</v>
      </c>
      <c r="E7" s="59" t="s">
        <v>47</v>
      </c>
      <c r="F7" s="59" t="s">
        <v>241</v>
      </c>
      <c r="G7" s="59" t="s">
        <v>242</v>
      </c>
      <c r="H7" s="59" t="s">
        <v>243</v>
      </c>
      <c r="I7" s="59" t="s">
        <v>244</v>
      </c>
      <c r="J7" s="59">
        <v>3.33</v>
      </c>
      <c r="K7" s="59">
        <v>3.33</v>
      </c>
      <c r="L7" s="59">
        <v>3.33</v>
      </c>
      <c r="M7" s="59">
        <v>3.33</v>
      </c>
      <c r="N7" s="59">
        <v>3.33</v>
      </c>
      <c r="O7" s="59">
        <v>0</v>
      </c>
      <c r="P7" s="59">
        <v>3.33</v>
      </c>
      <c r="Q7" s="59">
        <v>0</v>
      </c>
      <c r="R7" s="59">
        <v>3.33</v>
      </c>
      <c r="S7" s="59">
        <v>3.33</v>
      </c>
      <c r="T7" s="59">
        <v>0</v>
      </c>
      <c r="U7" s="59">
        <v>0</v>
      </c>
      <c r="V7" s="59">
        <v>3.33</v>
      </c>
      <c r="W7" s="59">
        <v>3.33</v>
      </c>
      <c r="X7" s="59">
        <v>0</v>
      </c>
      <c r="Y7" s="59">
        <v>3.33</v>
      </c>
      <c r="Z7" s="59">
        <v>3.33</v>
      </c>
      <c r="AA7" s="59">
        <v>0</v>
      </c>
      <c r="AB7" s="59">
        <v>3.33</v>
      </c>
      <c r="AC7" s="59">
        <v>3.33</v>
      </c>
      <c r="AD7" s="59">
        <v>3.33</v>
      </c>
      <c r="AE7" s="59">
        <v>0</v>
      </c>
      <c r="AF7" s="59">
        <v>3.33</v>
      </c>
      <c r="AG7" s="59">
        <v>3.33</v>
      </c>
      <c r="AH7" s="59">
        <v>3.33</v>
      </c>
      <c r="AI7" s="59">
        <v>3.33</v>
      </c>
      <c r="AJ7" s="59">
        <v>3.33</v>
      </c>
      <c r="AK7" s="59">
        <v>0</v>
      </c>
      <c r="AL7" s="59">
        <v>3.33</v>
      </c>
      <c r="AM7" s="59">
        <v>3.33</v>
      </c>
      <c r="AX7" s="6">
        <f t="shared" si="4"/>
        <v>22</v>
      </c>
      <c r="AY7" s="6">
        <f t="shared" si="0"/>
        <v>8</v>
      </c>
      <c r="AZ7" s="6">
        <f t="shared" si="1"/>
        <v>0</v>
      </c>
      <c r="BA7" s="6">
        <f t="shared" si="2"/>
        <v>30</v>
      </c>
      <c r="BB7" s="7" t="s">
        <v>203</v>
      </c>
    </row>
    <row r="8" spans="1:54" x14ac:dyDescent="0.25">
      <c r="A8" s="43">
        <f t="shared" si="3"/>
        <v>242510205</v>
      </c>
      <c r="B8" s="59" t="s">
        <v>154</v>
      </c>
      <c r="C8" s="59" t="s">
        <v>74</v>
      </c>
      <c r="D8" s="59" t="s">
        <v>190</v>
      </c>
      <c r="E8" s="59" t="s">
        <v>47</v>
      </c>
      <c r="F8" s="59" t="s">
        <v>241</v>
      </c>
      <c r="G8" s="59" t="s">
        <v>242</v>
      </c>
      <c r="H8" s="59" t="s">
        <v>222</v>
      </c>
      <c r="I8" s="59" t="s">
        <v>48</v>
      </c>
      <c r="J8" s="59">
        <v>3.33</v>
      </c>
      <c r="K8" s="59">
        <v>3.33</v>
      </c>
      <c r="L8" s="59">
        <v>3.33</v>
      </c>
      <c r="M8" s="59">
        <v>3.33</v>
      </c>
      <c r="N8" s="59">
        <v>3.33</v>
      </c>
      <c r="O8" s="59">
        <v>0</v>
      </c>
      <c r="P8" s="59">
        <v>3.33</v>
      </c>
      <c r="Q8" s="59">
        <v>3.33</v>
      </c>
      <c r="R8" s="59">
        <v>0</v>
      </c>
      <c r="S8" s="59">
        <v>3.33</v>
      </c>
      <c r="T8" s="59">
        <v>0</v>
      </c>
      <c r="U8" s="59">
        <v>3.33</v>
      </c>
      <c r="V8" s="59">
        <v>3.33</v>
      </c>
      <c r="W8" s="59">
        <v>3.33</v>
      </c>
      <c r="X8" s="59">
        <v>3.33</v>
      </c>
      <c r="Y8" s="59">
        <v>3.33</v>
      </c>
      <c r="Z8" s="59">
        <v>3.33</v>
      </c>
      <c r="AA8" s="59">
        <v>3.33</v>
      </c>
      <c r="AB8" s="59">
        <v>3.33</v>
      </c>
      <c r="AC8" s="59">
        <v>3.33</v>
      </c>
      <c r="AD8" s="59">
        <v>3.33</v>
      </c>
      <c r="AE8" s="59">
        <v>0</v>
      </c>
      <c r="AF8" s="59">
        <v>0</v>
      </c>
      <c r="AG8" s="59">
        <v>3.33</v>
      </c>
      <c r="AH8" s="59">
        <v>0</v>
      </c>
      <c r="AI8" s="59">
        <v>3.33</v>
      </c>
      <c r="AJ8" s="59">
        <v>3.33</v>
      </c>
      <c r="AK8" s="59">
        <v>3.33</v>
      </c>
      <c r="AL8" s="59">
        <v>3.33</v>
      </c>
      <c r="AM8" s="59">
        <v>3.33</v>
      </c>
      <c r="AX8" s="6">
        <f t="shared" si="4"/>
        <v>24</v>
      </c>
      <c r="AY8" s="6">
        <f t="shared" si="0"/>
        <v>6</v>
      </c>
      <c r="AZ8" s="6">
        <f t="shared" si="1"/>
        <v>0</v>
      </c>
      <c r="BA8" s="6">
        <f t="shared" si="2"/>
        <v>30</v>
      </c>
      <c r="BB8" s="7" t="s">
        <v>203</v>
      </c>
    </row>
    <row r="9" spans="1:54" x14ac:dyDescent="0.25">
      <c r="A9" s="43">
        <f t="shared" si="3"/>
        <v>242510354</v>
      </c>
      <c r="B9" s="59" t="s">
        <v>154</v>
      </c>
      <c r="C9" s="59" t="s">
        <v>76</v>
      </c>
      <c r="D9" s="59" t="s">
        <v>160</v>
      </c>
      <c r="E9" s="59" t="s">
        <v>47</v>
      </c>
      <c r="F9" s="59" t="s">
        <v>241</v>
      </c>
      <c r="G9" s="59" t="s">
        <v>245</v>
      </c>
      <c r="H9" s="59" t="s">
        <v>220</v>
      </c>
      <c r="I9" s="59" t="s">
        <v>215</v>
      </c>
      <c r="J9" s="59">
        <v>0</v>
      </c>
      <c r="K9" s="59">
        <v>3.33</v>
      </c>
      <c r="L9" s="59">
        <v>3.33</v>
      </c>
      <c r="M9" s="59">
        <v>0</v>
      </c>
      <c r="N9" s="59">
        <v>3.33</v>
      </c>
      <c r="O9" s="59">
        <v>3.33</v>
      </c>
      <c r="P9" s="59">
        <v>3.33</v>
      </c>
      <c r="Q9" s="59">
        <v>0</v>
      </c>
      <c r="R9" s="59">
        <v>3.33</v>
      </c>
      <c r="S9" s="59">
        <v>3.33</v>
      </c>
      <c r="T9" s="59">
        <v>3.33</v>
      </c>
      <c r="U9" s="59">
        <v>3.33</v>
      </c>
      <c r="V9" s="59">
        <v>3.33</v>
      </c>
      <c r="W9" s="59">
        <v>3.33</v>
      </c>
      <c r="X9" s="59">
        <v>3.33</v>
      </c>
      <c r="Y9" s="59">
        <v>3.33</v>
      </c>
      <c r="Z9" s="59">
        <v>3.33</v>
      </c>
      <c r="AA9" s="59">
        <v>0</v>
      </c>
      <c r="AB9" s="59">
        <v>3.33</v>
      </c>
      <c r="AC9" s="59">
        <v>0</v>
      </c>
      <c r="AD9" s="59">
        <v>3.33</v>
      </c>
      <c r="AE9" s="59">
        <v>0</v>
      </c>
      <c r="AF9" s="59">
        <v>0</v>
      </c>
      <c r="AG9" s="59">
        <v>3.33</v>
      </c>
      <c r="AH9" s="59">
        <v>3.33</v>
      </c>
      <c r="AI9" s="59">
        <v>3.33</v>
      </c>
      <c r="AJ9" s="59">
        <v>3.33</v>
      </c>
      <c r="AK9" s="59">
        <v>3.33</v>
      </c>
      <c r="AL9" s="59">
        <v>3.33</v>
      </c>
      <c r="AM9" s="59">
        <v>3.33</v>
      </c>
      <c r="AX9" s="6">
        <f t="shared" si="4"/>
        <v>23</v>
      </c>
      <c r="AY9" s="6">
        <f t="shared" si="0"/>
        <v>7</v>
      </c>
      <c r="AZ9" s="6">
        <f t="shared" si="1"/>
        <v>0</v>
      </c>
      <c r="BA9" s="6">
        <f t="shared" si="2"/>
        <v>30</v>
      </c>
      <c r="BB9" s="7" t="s">
        <v>203</v>
      </c>
    </row>
    <row r="10" spans="1:54" x14ac:dyDescent="0.25">
      <c r="A10" s="43">
        <f t="shared" si="3"/>
        <v>242510070</v>
      </c>
      <c r="B10" s="59" t="s">
        <v>154</v>
      </c>
      <c r="C10" s="59" t="s">
        <v>81</v>
      </c>
      <c r="D10" s="59" t="s">
        <v>167</v>
      </c>
      <c r="E10" s="59" t="s">
        <v>47</v>
      </c>
      <c r="F10" s="59" t="s">
        <v>246</v>
      </c>
      <c r="G10" s="59" t="s">
        <v>246</v>
      </c>
      <c r="H10" s="59" t="s">
        <v>247</v>
      </c>
      <c r="I10" s="59" t="s">
        <v>210</v>
      </c>
      <c r="J10" s="59">
        <v>3.33</v>
      </c>
      <c r="K10" s="59">
        <v>3.33</v>
      </c>
      <c r="L10" s="59">
        <v>3.33</v>
      </c>
      <c r="M10" s="59">
        <v>3.33</v>
      </c>
      <c r="N10" s="59">
        <v>3.33</v>
      </c>
      <c r="O10" s="59">
        <v>0</v>
      </c>
      <c r="P10" s="59">
        <v>3.33</v>
      </c>
      <c r="Q10" s="59">
        <v>3.33</v>
      </c>
      <c r="R10" s="59">
        <v>3.33</v>
      </c>
      <c r="S10" s="59">
        <v>3.33</v>
      </c>
      <c r="T10" s="59">
        <v>3.33</v>
      </c>
      <c r="U10" s="59">
        <v>3.33</v>
      </c>
      <c r="V10" s="59">
        <v>3.33</v>
      </c>
      <c r="W10" s="59">
        <v>3.33</v>
      </c>
      <c r="X10" s="59">
        <v>3.33</v>
      </c>
      <c r="Y10" s="59">
        <v>3.33</v>
      </c>
      <c r="Z10" s="59">
        <v>3.33</v>
      </c>
      <c r="AA10" s="59">
        <v>3.33</v>
      </c>
      <c r="AB10" s="59">
        <v>3.33</v>
      </c>
      <c r="AC10" s="59">
        <v>3.33</v>
      </c>
      <c r="AD10" s="59">
        <v>3.33</v>
      </c>
      <c r="AE10" s="59">
        <v>3.33</v>
      </c>
      <c r="AF10" s="59">
        <v>3.33</v>
      </c>
      <c r="AG10" s="59">
        <v>3.33</v>
      </c>
      <c r="AH10" s="59">
        <v>3.33</v>
      </c>
      <c r="AI10" s="59">
        <v>3.33</v>
      </c>
      <c r="AJ10" s="59">
        <v>3.33</v>
      </c>
      <c r="AK10" s="59">
        <v>3.33</v>
      </c>
      <c r="AL10" s="59">
        <v>3.33</v>
      </c>
      <c r="AM10" s="59">
        <v>3.33</v>
      </c>
      <c r="AX10" s="6">
        <f t="shared" si="4"/>
        <v>29</v>
      </c>
      <c r="AY10" s="6">
        <f t="shared" si="0"/>
        <v>1</v>
      </c>
      <c r="AZ10" s="6">
        <f t="shared" si="1"/>
        <v>0</v>
      </c>
      <c r="BA10" s="6">
        <f t="shared" si="2"/>
        <v>30</v>
      </c>
      <c r="BB10" s="7" t="s">
        <v>203</v>
      </c>
    </row>
    <row r="11" spans="1:54" x14ac:dyDescent="0.25">
      <c r="A11" s="43">
        <f t="shared" si="3"/>
        <v>242510230</v>
      </c>
      <c r="B11" s="59" t="s">
        <v>122</v>
      </c>
      <c r="C11" s="59" t="s">
        <v>92</v>
      </c>
      <c r="D11" s="59" t="s">
        <v>134</v>
      </c>
      <c r="E11" s="59" t="s">
        <v>47</v>
      </c>
      <c r="F11" s="59" t="s">
        <v>241</v>
      </c>
      <c r="G11" s="59" t="s">
        <v>233</v>
      </c>
      <c r="H11" s="59" t="s">
        <v>248</v>
      </c>
      <c r="I11" s="59" t="s">
        <v>211</v>
      </c>
      <c r="J11" s="59">
        <v>3.33</v>
      </c>
      <c r="K11" s="59">
        <v>3.33</v>
      </c>
      <c r="L11" s="59">
        <v>3.33</v>
      </c>
      <c r="M11" s="59">
        <v>3.33</v>
      </c>
      <c r="N11" s="59">
        <v>3.33</v>
      </c>
      <c r="O11" s="59">
        <v>3.33</v>
      </c>
      <c r="P11" s="59">
        <v>3.33</v>
      </c>
      <c r="Q11" s="59">
        <v>0</v>
      </c>
      <c r="R11" s="59">
        <v>3.33</v>
      </c>
      <c r="S11" s="59">
        <v>3.33</v>
      </c>
      <c r="T11" s="59">
        <v>3.33</v>
      </c>
      <c r="U11" s="59">
        <v>0</v>
      </c>
      <c r="V11" s="59">
        <v>3.33</v>
      </c>
      <c r="W11" s="59">
        <v>3.33</v>
      </c>
      <c r="X11" s="59">
        <v>3.33</v>
      </c>
      <c r="Y11" s="59">
        <v>3.33</v>
      </c>
      <c r="Z11" s="59">
        <v>3.33</v>
      </c>
      <c r="AA11" s="59">
        <v>0</v>
      </c>
      <c r="AB11" s="59">
        <v>0</v>
      </c>
      <c r="AC11" s="59">
        <v>3.33</v>
      </c>
      <c r="AD11" s="59">
        <v>3.33</v>
      </c>
      <c r="AE11" s="59">
        <v>3.33</v>
      </c>
      <c r="AF11" s="59">
        <v>3.33</v>
      </c>
      <c r="AG11" s="59">
        <v>3.33</v>
      </c>
      <c r="AH11" s="59">
        <v>3.33</v>
      </c>
      <c r="AI11" s="59">
        <v>3.33</v>
      </c>
      <c r="AJ11" s="59">
        <v>3.33</v>
      </c>
      <c r="AK11" s="59">
        <v>3.33</v>
      </c>
      <c r="AL11" s="59">
        <v>3.33</v>
      </c>
      <c r="AM11" s="59">
        <v>3.33</v>
      </c>
      <c r="AX11" s="6">
        <f t="shared" si="4"/>
        <v>26</v>
      </c>
      <c r="AY11" s="6">
        <f t="shared" si="0"/>
        <v>4</v>
      </c>
      <c r="AZ11" s="6">
        <f t="shared" si="1"/>
        <v>0</v>
      </c>
      <c r="BA11" s="6">
        <f t="shared" si="2"/>
        <v>30</v>
      </c>
      <c r="BB11" s="7" t="s">
        <v>203</v>
      </c>
    </row>
    <row r="12" spans="1:54" x14ac:dyDescent="0.25">
      <c r="A12" s="43">
        <f t="shared" si="3"/>
        <v>242510013</v>
      </c>
      <c r="B12" s="59" t="s">
        <v>122</v>
      </c>
      <c r="C12" s="59" t="s">
        <v>98</v>
      </c>
      <c r="D12" s="59" t="s">
        <v>131</v>
      </c>
      <c r="E12" s="59" t="s">
        <v>47</v>
      </c>
      <c r="F12" s="59" t="s">
        <v>241</v>
      </c>
      <c r="G12" s="59" t="s">
        <v>249</v>
      </c>
      <c r="H12" s="59" t="s">
        <v>217</v>
      </c>
      <c r="I12" s="59" t="s">
        <v>210</v>
      </c>
      <c r="J12" s="59">
        <v>3.33</v>
      </c>
      <c r="K12" s="59">
        <v>3.33</v>
      </c>
      <c r="L12" s="59">
        <v>3.33</v>
      </c>
      <c r="M12" s="59">
        <v>3.33</v>
      </c>
      <c r="N12" s="59">
        <v>3.33</v>
      </c>
      <c r="O12" s="59">
        <v>3.33</v>
      </c>
      <c r="P12" s="59">
        <v>3.33</v>
      </c>
      <c r="Q12" s="59">
        <v>3.33</v>
      </c>
      <c r="R12" s="59">
        <v>3.33</v>
      </c>
      <c r="S12" s="59">
        <v>3.33</v>
      </c>
      <c r="T12" s="59">
        <v>3.33</v>
      </c>
      <c r="U12" s="59">
        <v>3.33</v>
      </c>
      <c r="V12" s="59">
        <v>3.33</v>
      </c>
      <c r="W12" s="59">
        <v>3.33</v>
      </c>
      <c r="X12" s="59">
        <v>3.33</v>
      </c>
      <c r="Y12" s="59">
        <v>3.33</v>
      </c>
      <c r="Z12" s="59">
        <v>3.33</v>
      </c>
      <c r="AA12" s="59">
        <v>3.33</v>
      </c>
      <c r="AB12" s="59">
        <v>3.33</v>
      </c>
      <c r="AC12" s="59">
        <v>3.33</v>
      </c>
      <c r="AD12" s="59">
        <v>0</v>
      </c>
      <c r="AE12" s="59">
        <v>3.33</v>
      </c>
      <c r="AF12" s="59">
        <v>3.33</v>
      </c>
      <c r="AG12" s="59">
        <v>3.33</v>
      </c>
      <c r="AH12" s="59">
        <v>3.33</v>
      </c>
      <c r="AI12" s="59">
        <v>3.33</v>
      </c>
      <c r="AJ12" s="59">
        <v>3.33</v>
      </c>
      <c r="AK12" s="59">
        <v>3.33</v>
      </c>
      <c r="AL12" s="59">
        <v>3.33</v>
      </c>
      <c r="AM12" s="59">
        <v>3.33</v>
      </c>
      <c r="AX12" s="6">
        <f t="shared" si="4"/>
        <v>29</v>
      </c>
      <c r="AY12" s="6">
        <f t="shared" si="0"/>
        <v>1</v>
      </c>
      <c r="AZ12" s="6">
        <f t="shared" si="1"/>
        <v>0</v>
      </c>
      <c r="BA12" s="6">
        <f t="shared" si="2"/>
        <v>30</v>
      </c>
      <c r="BB12" s="7" t="s">
        <v>203</v>
      </c>
    </row>
    <row r="13" spans="1:54" x14ac:dyDescent="0.25">
      <c r="A13" s="43">
        <f t="shared" si="3"/>
        <v>242510390</v>
      </c>
      <c r="B13" s="59" t="s">
        <v>154</v>
      </c>
      <c r="C13" s="59" t="s">
        <v>73</v>
      </c>
      <c r="D13" s="59" t="s">
        <v>157</v>
      </c>
      <c r="E13" s="59" t="s">
        <v>47</v>
      </c>
      <c r="F13" s="59" t="s">
        <v>241</v>
      </c>
      <c r="G13" s="59" t="s">
        <v>250</v>
      </c>
      <c r="H13" s="59" t="s">
        <v>216</v>
      </c>
      <c r="I13" s="59" t="s">
        <v>210</v>
      </c>
      <c r="J13" s="59">
        <v>3.33</v>
      </c>
      <c r="K13" s="59">
        <v>3.33</v>
      </c>
      <c r="L13" s="59">
        <v>3.33</v>
      </c>
      <c r="M13" s="59">
        <v>3.33</v>
      </c>
      <c r="N13" s="59">
        <v>3.33</v>
      </c>
      <c r="O13" s="59">
        <v>3.33</v>
      </c>
      <c r="P13" s="59">
        <v>3.33</v>
      </c>
      <c r="Q13" s="59">
        <v>3.33</v>
      </c>
      <c r="R13" s="59">
        <v>3.33</v>
      </c>
      <c r="S13" s="59">
        <v>3.33</v>
      </c>
      <c r="T13" s="59">
        <v>3.33</v>
      </c>
      <c r="U13" s="59">
        <v>3.33</v>
      </c>
      <c r="V13" s="59">
        <v>3.33</v>
      </c>
      <c r="W13" s="59">
        <v>3.33</v>
      </c>
      <c r="X13" s="59">
        <v>3.33</v>
      </c>
      <c r="Y13" s="59">
        <v>3.33</v>
      </c>
      <c r="Z13" s="59">
        <v>3.33</v>
      </c>
      <c r="AA13" s="59">
        <v>3.33</v>
      </c>
      <c r="AB13" s="59">
        <v>3.33</v>
      </c>
      <c r="AC13" s="59">
        <v>3.33</v>
      </c>
      <c r="AD13" s="59">
        <v>3.33</v>
      </c>
      <c r="AE13" s="59">
        <v>3.33</v>
      </c>
      <c r="AF13" s="59">
        <v>3.33</v>
      </c>
      <c r="AG13" s="59">
        <v>3.33</v>
      </c>
      <c r="AH13" s="59">
        <v>3.33</v>
      </c>
      <c r="AI13" s="59">
        <v>0</v>
      </c>
      <c r="AJ13" s="59">
        <v>3.33</v>
      </c>
      <c r="AK13" s="59">
        <v>3.33</v>
      </c>
      <c r="AL13" s="59">
        <v>3.33</v>
      </c>
      <c r="AM13" s="59">
        <v>3.33</v>
      </c>
      <c r="AX13" s="6">
        <f t="shared" si="4"/>
        <v>29</v>
      </c>
      <c r="AY13" s="6">
        <f t="shared" si="0"/>
        <v>1</v>
      </c>
      <c r="AZ13" s="6">
        <f t="shared" si="1"/>
        <v>0</v>
      </c>
      <c r="BA13" s="6">
        <f t="shared" si="2"/>
        <v>30</v>
      </c>
      <c r="BB13" s="7" t="s">
        <v>203</v>
      </c>
    </row>
    <row r="14" spans="1:54" x14ac:dyDescent="0.25">
      <c r="A14" s="43">
        <f t="shared" si="3"/>
        <v>242510157</v>
      </c>
      <c r="B14" s="59" t="s">
        <v>122</v>
      </c>
      <c r="C14" s="59" t="s">
        <v>96</v>
      </c>
      <c r="D14" s="59" t="s">
        <v>130</v>
      </c>
      <c r="E14" s="59" t="s">
        <v>47</v>
      </c>
      <c r="F14" s="59" t="s">
        <v>241</v>
      </c>
      <c r="G14" s="59" t="s">
        <v>239</v>
      </c>
      <c r="H14" s="59" t="s">
        <v>251</v>
      </c>
      <c r="I14" s="59" t="s">
        <v>48</v>
      </c>
      <c r="J14" s="59">
        <v>3.33</v>
      </c>
      <c r="K14" s="59">
        <v>3.33</v>
      </c>
      <c r="L14" s="59">
        <v>3.33</v>
      </c>
      <c r="M14" s="59">
        <v>0</v>
      </c>
      <c r="N14" s="59">
        <v>3.33</v>
      </c>
      <c r="O14" s="59">
        <v>3.33</v>
      </c>
      <c r="P14" s="59">
        <v>3.33</v>
      </c>
      <c r="Q14" s="59">
        <v>3.33</v>
      </c>
      <c r="R14" s="59">
        <v>3.33</v>
      </c>
      <c r="S14" s="59">
        <v>3.33</v>
      </c>
      <c r="T14" s="59">
        <v>3.33</v>
      </c>
      <c r="U14" s="59">
        <v>3.33</v>
      </c>
      <c r="V14" s="59">
        <v>3.33</v>
      </c>
      <c r="W14" s="59">
        <v>3.33</v>
      </c>
      <c r="X14" s="59">
        <v>0</v>
      </c>
      <c r="Y14" s="59">
        <v>3.33</v>
      </c>
      <c r="Z14" s="59">
        <v>3.33</v>
      </c>
      <c r="AA14" s="59">
        <v>0</v>
      </c>
      <c r="AB14" s="59">
        <v>3.33</v>
      </c>
      <c r="AC14" s="59">
        <v>3.33</v>
      </c>
      <c r="AD14" s="59">
        <v>3.33</v>
      </c>
      <c r="AE14" s="59">
        <v>3.33</v>
      </c>
      <c r="AF14" s="59">
        <v>3.33</v>
      </c>
      <c r="AG14" s="59">
        <v>3.33</v>
      </c>
      <c r="AH14" s="59">
        <v>0</v>
      </c>
      <c r="AI14" s="59">
        <v>3.33</v>
      </c>
      <c r="AJ14" s="59">
        <v>0</v>
      </c>
      <c r="AK14" s="59">
        <v>0</v>
      </c>
      <c r="AL14" s="59">
        <v>3.33</v>
      </c>
      <c r="AM14" s="59">
        <v>3.33</v>
      </c>
      <c r="AX14" s="6">
        <f t="shared" si="4"/>
        <v>24</v>
      </c>
      <c r="AY14" s="6">
        <f t="shared" si="0"/>
        <v>6</v>
      </c>
      <c r="AZ14" s="6">
        <f t="shared" si="1"/>
        <v>0</v>
      </c>
      <c r="BA14" s="6">
        <f t="shared" si="2"/>
        <v>30</v>
      </c>
      <c r="BB14" s="7" t="s">
        <v>203</v>
      </c>
    </row>
    <row r="15" spans="1:54" x14ac:dyDescent="0.25">
      <c r="A15" s="43">
        <f t="shared" si="3"/>
        <v>242510068</v>
      </c>
      <c r="B15" s="59" t="s">
        <v>154</v>
      </c>
      <c r="C15" s="59" t="s">
        <v>79</v>
      </c>
      <c r="D15" s="59" t="s">
        <v>155</v>
      </c>
      <c r="E15" s="59" t="s">
        <v>47</v>
      </c>
      <c r="F15" s="59" t="s">
        <v>241</v>
      </c>
      <c r="G15" s="59" t="s">
        <v>249</v>
      </c>
      <c r="H15" s="59" t="s">
        <v>252</v>
      </c>
      <c r="I15" s="59" t="s">
        <v>211</v>
      </c>
      <c r="J15" s="59">
        <v>3.33</v>
      </c>
      <c r="K15" s="59">
        <v>3.33</v>
      </c>
      <c r="L15" s="59">
        <v>3.33</v>
      </c>
      <c r="M15" s="59">
        <v>3.33</v>
      </c>
      <c r="N15" s="59">
        <v>3.33</v>
      </c>
      <c r="O15" s="59">
        <v>3.33</v>
      </c>
      <c r="P15" s="59">
        <v>3.33</v>
      </c>
      <c r="Q15" s="59">
        <v>3.33</v>
      </c>
      <c r="R15" s="59">
        <v>3.33</v>
      </c>
      <c r="S15" s="59">
        <v>3.33</v>
      </c>
      <c r="T15" s="59">
        <v>0</v>
      </c>
      <c r="U15" s="59">
        <v>3.33</v>
      </c>
      <c r="V15" s="59">
        <v>3.33</v>
      </c>
      <c r="W15" s="59">
        <v>3.33</v>
      </c>
      <c r="X15" s="59">
        <v>0</v>
      </c>
      <c r="Y15" s="59">
        <v>3.33</v>
      </c>
      <c r="Z15" s="59">
        <v>3.33</v>
      </c>
      <c r="AA15" s="59">
        <v>0</v>
      </c>
      <c r="AB15" s="59">
        <v>3.33</v>
      </c>
      <c r="AC15" s="59">
        <v>3.33</v>
      </c>
      <c r="AD15" s="59">
        <v>3.33</v>
      </c>
      <c r="AE15" s="59">
        <v>0</v>
      </c>
      <c r="AF15" s="59">
        <v>3.33</v>
      </c>
      <c r="AG15" s="59">
        <v>3.33</v>
      </c>
      <c r="AH15" s="59">
        <v>3.33</v>
      </c>
      <c r="AI15" s="59">
        <v>3.33</v>
      </c>
      <c r="AJ15" s="59">
        <v>3.33</v>
      </c>
      <c r="AK15" s="59">
        <v>3.33</v>
      </c>
      <c r="AL15" s="59">
        <v>3.33</v>
      </c>
      <c r="AM15" s="59">
        <v>3.33</v>
      </c>
      <c r="AX15" s="6">
        <f t="shared" si="4"/>
        <v>26</v>
      </c>
      <c r="AY15" s="6">
        <f t="shared" si="0"/>
        <v>4</v>
      </c>
      <c r="AZ15" s="6">
        <f t="shared" si="1"/>
        <v>0</v>
      </c>
      <c r="BA15" s="6">
        <f t="shared" si="2"/>
        <v>30</v>
      </c>
      <c r="BB15" s="7" t="s">
        <v>203</v>
      </c>
    </row>
    <row r="16" spans="1:54" x14ac:dyDescent="0.25">
      <c r="A16" s="43">
        <f t="shared" si="3"/>
        <v>242510007</v>
      </c>
      <c r="B16" s="59" t="s">
        <v>122</v>
      </c>
      <c r="C16" s="59" t="s">
        <v>90</v>
      </c>
      <c r="D16" s="59" t="s">
        <v>162</v>
      </c>
      <c r="E16" s="59" t="s">
        <v>47</v>
      </c>
      <c r="F16" s="59" t="s">
        <v>241</v>
      </c>
      <c r="G16" s="59" t="s">
        <v>253</v>
      </c>
      <c r="H16" s="59" t="s">
        <v>254</v>
      </c>
      <c r="I16" s="59" t="s">
        <v>255</v>
      </c>
      <c r="J16" s="59">
        <v>3.33</v>
      </c>
      <c r="K16" s="59">
        <v>3.33</v>
      </c>
      <c r="L16" s="59">
        <v>3.33</v>
      </c>
      <c r="M16" s="59">
        <v>3.33</v>
      </c>
      <c r="N16" s="59">
        <v>0</v>
      </c>
      <c r="O16" s="59">
        <v>0</v>
      </c>
      <c r="P16" s="59">
        <v>3.33</v>
      </c>
      <c r="Q16" s="59">
        <v>0</v>
      </c>
      <c r="R16" s="59">
        <v>3.33</v>
      </c>
      <c r="S16" s="59">
        <v>0</v>
      </c>
      <c r="T16" s="59">
        <v>3.33</v>
      </c>
      <c r="U16" s="59">
        <v>3.33</v>
      </c>
      <c r="V16" s="59">
        <v>3.33</v>
      </c>
      <c r="W16" s="59">
        <v>3.33</v>
      </c>
      <c r="X16" s="59">
        <v>0</v>
      </c>
      <c r="Y16" s="59">
        <v>3.33</v>
      </c>
      <c r="Z16" s="59">
        <v>0</v>
      </c>
      <c r="AA16" s="59">
        <v>0</v>
      </c>
      <c r="AB16" s="59">
        <v>3.33</v>
      </c>
      <c r="AC16" s="59">
        <v>0</v>
      </c>
      <c r="AD16" s="59">
        <v>3.33</v>
      </c>
      <c r="AE16" s="59">
        <v>0</v>
      </c>
      <c r="AF16" s="59">
        <v>3.33</v>
      </c>
      <c r="AG16" s="59">
        <v>3.33</v>
      </c>
      <c r="AH16" s="59">
        <v>0</v>
      </c>
      <c r="AI16" s="59">
        <v>0</v>
      </c>
      <c r="AJ16" s="59">
        <v>3.33</v>
      </c>
      <c r="AK16" s="59">
        <v>0</v>
      </c>
      <c r="AL16" s="59">
        <v>3.33</v>
      </c>
      <c r="AM16" s="59">
        <v>3.33</v>
      </c>
      <c r="AX16" s="6">
        <f t="shared" si="4"/>
        <v>18</v>
      </c>
      <c r="AY16" s="6">
        <f t="shared" si="0"/>
        <v>12</v>
      </c>
      <c r="AZ16" s="6">
        <f t="shared" si="1"/>
        <v>0</v>
      </c>
      <c r="BA16" s="6">
        <f t="shared" si="2"/>
        <v>30</v>
      </c>
      <c r="BB16" s="7" t="s">
        <v>203</v>
      </c>
    </row>
    <row r="17" spans="1:54" x14ac:dyDescent="0.25">
      <c r="A17" s="43">
        <f t="shared" si="3"/>
        <v>242510372</v>
      </c>
      <c r="B17" s="59" t="s">
        <v>122</v>
      </c>
      <c r="C17" s="59" t="s">
        <v>93</v>
      </c>
      <c r="D17" s="59" t="s">
        <v>141</v>
      </c>
      <c r="E17" s="59" t="s">
        <v>47</v>
      </c>
      <c r="F17" s="59" t="s">
        <v>241</v>
      </c>
      <c r="G17" s="59" t="s">
        <v>246</v>
      </c>
      <c r="H17" s="59" t="s">
        <v>256</v>
      </c>
      <c r="I17" s="59" t="s">
        <v>50</v>
      </c>
      <c r="J17" s="59">
        <v>3.33</v>
      </c>
      <c r="K17" s="59">
        <v>3.33</v>
      </c>
      <c r="L17" s="59">
        <v>3.33</v>
      </c>
      <c r="M17" s="59">
        <v>3.33</v>
      </c>
      <c r="N17" s="59">
        <v>3.33</v>
      </c>
      <c r="O17" s="59">
        <v>3.33</v>
      </c>
      <c r="P17" s="59">
        <v>3.33</v>
      </c>
      <c r="Q17" s="59">
        <v>3.33</v>
      </c>
      <c r="R17" s="59">
        <v>3.33</v>
      </c>
      <c r="S17" s="59">
        <v>3.33</v>
      </c>
      <c r="T17" s="59">
        <v>3.33</v>
      </c>
      <c r="U17" s="59">
        <v>3.33</v>
      </c>
      <c r="V17" s="59">
        <v>3.33</v>
      </c>
      <c r="W17" s="59">
        <v>3.33</v>
      </c>
      <c r="X17" s="59">
        <v>3.33</v>
      </c>
      <c r="Y17" s="59">
        <v>3.33</v>
      </c>
      <c r="Z17" s="59">
        <v>3.33</v>
      </c>
      <c r="AA17" s="59">
        <v>3.33</v>
      </c>
      <c r="AB17" s="59">
        <v>3.33</v>
      </c>
      <c r="AC17" s="59">
        <v>3.33</v>
      </c>
      <c r="AD17" s="59">
        <v>3.33</v>
      </c>
      <c r="AE17" s="59">
        <v>3.33</v>
      </c>
      <c r="AF17" s="59">
        <v>3.33</v>
      </c>
      <c r="AG17" s="59">
        <v>3.33</v>
      </c>
      <c r="AH17" s="59">
        <v>3.33</v>
      </c>
      <c r="AI17" s="59">
        <v>3.33</v>
      </c>
      <c r="AJ17" s="59">
        <v>3.33</v>
      </c>
      <c r="AK17" s="59">
        <v>3.33</v>
      </c>
      <c r="AL17" s="59">
        <v>3.33</v>
      </c>
      <c r="AM17" s="59">
        <v>3.33</v>
      </c>
      <c r="AX17" s="6">
        <f t="shared" si="4"/>
        <v>30</v>
      </c>
      <c r="AY17" s="6">
        <f t="shared" si="0"/>
        <v>0</v>
      </c>
      <c r="AZ17" s="6">
        <f t="shared" si="1"/>
        <v>0</v>
      </c>
      <c r="BA17" s="6">
        <f t="shared" si="2"/>
        <v>30</v>
      </c>
      <c r="BB17" s="7" t="s">
        <v>203</v>
      </c>
    </row>
    <row r="18" spans="1:54" x14ac:dyDescent="0.25">
      <c r="A18" s="43">
        <f t="shared" si="3"/>
        <v>242510294</v>
      </c>
      <c r="B18" s="59" t="s">
        <v>122</v>
      </c>
      <c r="C18" s="59" t="s">
        <v>88</v>
      </c>
      <c r="D18" s="59" t="s">
        <v>125</v>
      </c>
      <c r="E18" s="59" t="s">
        <v>47</v>
      </c>
      <c r="F18" s="59" t="s">
        <v>241</v>
      </c>
      <c r="G18" s="59" t="s">
        <v>242</v>
      </c>
      <c r="H18" s="59" t="s">
        <v>257</v>
      </c>
      <c r="I18" s="59" t="s">
        <v>212</v>
      </c>
      <c r="J18" s="59">
        <v>3.33</v>
      </c>
      <c r="K18" s="59">
        <v>3.33</v>
      </c>
      <c r="L18" s="59">
        <v>3.33</v>
      </c>
      <c r="M18" s="59">
        <v>3.33</v>
      </c>
      <c r="N18" s="59">
        <v>0</v>
      </c>
      <c r="O18" s="59">
        <v>3.33</v>
      </c>
      <c r="P18" s="59">
        <v>3.33</v>
      </c>
      <c r="Q18" s="59">
        <v>0</v>
      </c>
      <c r="R18" s="59">
        <v>3.33</v>
      </c>
      <c r="S18" s="59">
        <v>3.33</v>
      </c>
      <c r="T18" s="59">
        <v>3.33</v>
      </c>
      <c r="U18" s="59">
        <v>3.33</v>
      </c>
      <c r="V18" s="59">
        <v>3.33</v>
      </c>
      <c r="W18" s="59">
        <v>3.33</v>
      </c>
      <c r="X18" s="59">
        <v>0</v>
      </c>
      <c r="Y18" s="59">
        <v>3.33</v>
      </c>
      <c r="Z18" s="59">
        <v>3.33</v>
      </c>
      <c r="AA18" s="59">
        <v>0</v>
      </c>
      <c r="AB18" s="59">
        <v>3.33</v>
      </c>
      <c r="AC18" s="59">
        <v>3.33</v>
      </c>
      <c r="AD18" s="59">
        <v>3.33</v>
      </c>
      <c r="AE18" s="59">
        <v>0</v>
      </c>
      <c r="AF18" s="59">
        <v>3.33</v>
      </c>
      <c r="AG18" s="59">
        <v>3.33</v>
      </c>
      <c r="AH18" s="59">
        <v>3.33</v>
      </c>
      <c r="AI18" s="59">
        <v>3.33</v>
      </c>
      <c r="AJ18" s="59">
        <v>3.33</v>
      </c>
      <c r="AK18" s="59">
        <v>3.33</v>
      </c>
      <c r="AL18" s="59">
        <v>3.33</v>
      </c>
      <c r="AM18" s="59">
        <v>3.33</v>
      </c>
      <c r="AX18" s="6">
        <f t="shared" si="4"/>
        <v>25</v>
      </c>
      <c r="AY18" s="6">
        <f t="shared" si="0"/>
        <v>5</v>
      </c>
      <c r="AZ18" s="6">
        <f t="shared" si="1"/>
        <v>0</v>
      </c>
      <c r="BA18" s="6">
        <f t="shared" si="2"/>
        <v>30</v>
      </c>
      <c r="BB18" s="7" t="s">
        <v>203</v>
      </c>
    </row>
    <row r="19" spans="1:54" x14ac:dyDescent="0.25">
      <c r="A19" s="43">
        <f t="shared" si="3"/>
        <v>242510389</v>
      </c>
      <c r="B19" s="59" t="s">
        <v>154</v>
      </c>
      <c r="C19" s="59" t="s">
        <v>71</v>
      </c>
      <c r="D19" s="59" t="s">
        <v>156</v>
      </c>
      <c r="E19" s="59" t="s">
        <v>47</v>
      </c>
      <c r="F19" s="59" t="s">
        <v>241</v>
      </c>
      <c r="G19" s="59" t="s">
        <v>258</v>
      </c>
      <c r="H19" s="59" t="s">
        <v>259</v>
      </c>
      <c r="I19" s="59" t="s">
        <v>209</v>
      </c>
      <c r="J19" s="59">
        <v>3.33</v>
      </c>
      <c r="K19" s="59">
        <v>3.33</v>
      </c>
      <c r="L19" s="59">
        <v>3.33</v>
      </c>
      <c r="M19" s="59">
        <v>3.33</v>
      </c>
      <c r="N19" s="59">
        <v>3.33</v>
      </c>
      <c r="O19" s="59">
        <v>3.33</v>
      </c>
      <c r="P19" s="59">
        <v>3.33</v>
      </c>
      <c r="Q19" s="59">
        <v>3.33</v>
      </c>
      <c r="R19" s="59">
        <v>3.33</v>
      </c>
      <c r="S19" s="59">
        <v>3.33</v>
      </c>
      <c r="T19" s="59">
        <v>3.33</v>
      </c>
      <c r="U19" s="59">
        <v>3.33</v>
      </c>
      <c r="V19" s="59">
        <v>3.33</v>
      </c>
      <c r="W19" s="59">
        <v>3.33</v>
      </c>
      <c r="X19" s="59">
        <v>3.33</v>
      </c>
      <c r="Y19" s="59">
        <v>3.33</v>
      </c>
      <c r="Z19" s="59">
        <v>3.33</v>
      </c>
      <c r="AA19" s="59">
        <v>0</v>
      </c>
      <c r="AB19" s="59">
        <v>3.33</v>
      </c>
      <c r="AC19" s="59">
        <v>3.33</v>
      </c>
      <c r="AD19" s="59">
        <v>3.33</v>
      </c>
      <c r="AE19" s="59">
        <v>3.33</v>
      </c>
      <c r="AF19" s="59">
        <v>3.33</v>
      </c>
      <c r="AG19" s="59">
        <v>3.33</v>
      </c>
      <c r="AH19" s="59">
        <v>3.33</v>
      </c>
      <c r="AI19" s="59">
        <v>3.33</v>
      </c>
      <c r="AJ19" s="59">
        <v>3.33</v>
      </c>
      <c r="AK19" s="59">
        <v>3.33</v>
      </c>
      <c r="AL19" s="59">
        <v>0</v>
      </c>
      <c r="AM19" s="59">
        <v>3.33</v>
      </c>
      <c r="AX19" s="6">
        <f t="shared" si="4"/>
        <v>28</v>
      </c>
      <c r="AY19" s="6">
        <f t="shared" si="0"/>
        <v>2</v>
      </c>
      <c r="AZ19" s="6">
        <f t="shared" si="1"/>
        <v>0</v>
      </c>
      <c r="BA19" s="6">
        <f t="shared" si="2"/>
        <v>30</v>
      </c>
      <c r="BB19" s="7" t="s">
        <v>203</v>
      </c>
    </row>
    <row r="20" spans="1:54" x14ac:dyDescent="0.25">
      <c r="A20" s="43">
        <f t="shared" si="3"/>
        <v>242510321</v>
      </c>
      <c r="B20" s="59" t="s">
        <v>154</v>
      </c>
      <c r="C20" s="59" t="s">
        <v>80</v>
      </c>
      <c r="D20" s="59" t="s">
        <v>163</v>
      </c>
      <c r="E20" s="59" t="s">
        <v>47</v>
      </c>
      <c r="F20" s="59" t="s">
        <v>241</v>
      </c>
      <c r="G20" s="59" t="s">
        <v>260</v>
      </c>
      <c r="H20" s="59" t="s">
        <v>261</v>
      </c>
      <c r="I20" s="59" t="s">
        <v>209</v>
      </c>
      <c r="J20" s="59">
        <v>0</v>
      </c>
      <c r="K20" s="59">
        <v>3.33</v>
      </c>
      <c r="L20" s="59">
        <v>3.33</v>
      </c>
      <c r="M20" s="59">
        <v>3.33</v>
      </c>
      <c r="N20" s="59">
        <v>3.33</v>
      </c>
      <c r="O20" s="59">
        <v>0</v>
      </c>
      <c r="P20" s="59">
        <v>3.33</v>
      </c>
      <c r="Q20" s="59">
        <v>3.33</v>
      </c>
      <c r="R20" s="59">
        <v>3.33</v>
      </c>
      <c r="S20" s="59">
        <v>3.33</v>
      </c>
      <c r="T20" s="59">
        <v>3.33</v>
      </c>
      <c r="U20" s="59">
        <v>3.33</v>
      </c>
      <c r="V20" s="59">
        <v>3.33</v>
      </c>
      <c r="W20" s="59">
        <v>3.33</v>
      </c>
      <c r="X20" s="59">
        <v>3.33</v>
      </c>
      <c r="Y20" s="59">
        <v>3.33</v>
      </c>
      <c r="Z20" s="59">
        <v>3.33</v>
      </c>
      <c r="AA20" s="59">
        <v>3.33</v>
      </c>
      <c r="AB20" s="59">
        <v>3.33</v>
      </c>
      <c r="AC20" s="59">
        <v>3.33</v>
      </c>
      <c r="AD20" s="59">
        <v>3.33</v>
      </c>
      <c r="AE20" s="59">
        <v>3.33</v>
      </c>
      <c r="AF20" s="59">
        <v>3.33</v>
      </c>
      <c r="AG20" s="59">
        <v>3.33</v>
      </c>
      <c r="AH20" s="59">
        <v>3.33</v>
      </c>
      <c r="AI20" s="59">
        <v>3.33</v>
      </c>
      <c r="AJ20" s="59">
        <v>3.33</v>
      </c>
      <c r="AK20" s="59">
        <v>3.33</v>
      </c>
      <c r="AL20" s="59">
        <v>3.33</v>
      </c>
      <c r="AM20" s="59">
        <v>3.33</v>
      </c>
      <c r="AX20" s="6">
        <f t="shared" si="4"/>
        <v>28</v>
      </c>
      <c r="AY20" s="6">
        <f t="shared" si="0"/>
        <v>2</v>
      </c>
      <c r="AZ20" s="6">
        <f t="shared" si="1"/>
        <v>0</v>
      </c>
      <c r="BA20" s="6">
        <f t="shared" si="2"/>
        <v>30</v>
      </c>
      <c r="BB20" s="7" t="s">
        <v>203</v>
      </c>
    </row>
    <row r="21" spans="1:54" x14ac:dyDescent="0.25">
      <c r="A21" s="43">
        <f t="shared" si="3"/>
        <v>242510273</v>
      </c>
      <c r="B21" s="59" t="s">
        <v>154</v>
      </c>
      <c r="C21" s="59" t="s">
        <v>62</v>
      </c>
      <c r="D21" s="59" t="s">
        <v>188</v>
      </c>
      <c r="E21" s="59" t="s">
        <v>47</v>
      </c>
      <c r="F21" s="59" t="s">
        <v>241</v>
      </c>
      <c r="G21" s="59" t="s">
        <v>262</v>
      </c>
      <c r="H21" s="59" t="s">
        <v>263</v>
      </c>
      <c r="I21" s="59" t="s">
        <v>50</v>
      </c>
      <c r="J21" s="59">
        <v>3.33</v>
      </c>
      <c r="K21" s="59">
        <v>3.33</v>
      </c>
      <c r="L21" s="59">
        <v>3.33</v>
      </c>
      <c r="M21" s="59">
        <v>3.33</v>
      </c>
      <c r="N21" s="59">
        <v>3.33</v>
      </c>
      <c r="O21" s="59">
        <v>3.33</v>
      </c>
      <c r="P21" s="59">
        <v>3.33</v>
      </c>
      <c r="Q21" s="59">
        <v>3.33</v>
      </c>
      <c r="R21" s="59">
        <v>3.33</v>
      </c>
      <c r="S21" s="59">
        <v>3.33</v>
      </c>
      <c r="T21" s="59">
        <v>3.33</v>
      </c>
      <c r="U21" s="59">
        <v>3.33</v>
      </c>
      <c r="V21" s="59">
        <v>3.33</v>
      </c>
      <c r="W21" s="59">
        <v>3.33</v>
      </c>
      <c r="X21" s="59">
        <v>3.33</v>
      </c>
      <c r="Y21" s="59">
        <v>3.33</v>
      </c>
      <c r="Z21" s="59">
        <v>3.33</v>
      </c>
      <c r="AA21" s="59">
        <v>3.33</v>
      </c>
      <c r="AB21" s="59">
        <v>3.33</v>
      </c>
      <c r="AC21" s="59">
        <v>3.33</v>
      </c>
      <c r="AD21" s="59">
        <v>3.33</v>
      </c>
      <c r="AE21" s="59">
        <v>3.33</v>
      </c>
      <c r="AF21" s="59">
        <v>3.33</v>
      </c>
      <c r="AG21" s="59">
        <v>3.33</v>
      </c>
      <c r="AH21" s="59">
        <v>3.33</v>
      </c>
      <c r="AI21" s="59">
        <v>3.33</v>
      </c>
      <c r="AJ21" s="59">
        <v>3.33</v>
      </c>
      <c r="AK21" s="59">
        <v>3.33</v>
      </c>
      <c r="AL21" s="59">
        <v>3.33</v>
      </c>
      <c r="AM21" s="59">
        <v>3.33</v>
      </c>
      <c r="AX21" s="6">
        <f t="shared" si="4"/>
        <v>30</v>
      </c>
      <c r="AY21" s="6">
        <f t="shared" si="0"/>
        <v>0</v>
      </c>
      <c r="AZ21" s="6">
        <f t="shared" si="1"/>
        <v>0</v>
      </c>
      <c r="BA21" s="6">
        <f t="shared" si="2"/>
        <v>30</v>
      </c>
      <c r="BB21" s="7" t="s">
        <v>203</v>
      </c>
    </row>
    <row r="22" spans="1:54" x14ac:dyDescent="0.25">
      <c r="A22" s="43">
        <f t="shared" si="3"/>
        <v>242510355</v>
      </c>
      <c r="B22" s="59" t="s">
        <v>154</v>
      </c>
      <c r="C22" s="59" t="s">
        <v>78</v>
      </c>
      <c r="D22" s="59" t="s">
        <v>165</v>
      </c>
      <c r="E22" s="59" t="s">
        <v>47</v>
      </c>
      <c r="F22" s="59" t="s">
        <v>241</v>
      </c>
      <c r="G22" s="59" t="s">
        <v>249</v>
      </c>
      <c r="H22" s="59" t="s">
        <v>230</v>
      </c>
      <c r="I22" s="59" t="s">
        <v>50</v>
      </c>
      <c r="J22" s="59">
        <v>3.33</v>
      </c>
      <c r="K22" s="59">
        <v>3.33</v>
      </c>
      <c r="L22" s="59">
        <v>3.33</v>
      </c>
      <c r="M22" s="59">
        <v>3.33</v>
      </c>
      <c r="N22" s="59">
        <v>3.33</v>
      </c>
      <c r="O22" s="59">
        <v>3.33</v>
      </c>
      <c r="P22" s="59">
        <v>3.33</v>
      </c>
      <c r="Q22" s="59">
        <v>3.33</v>
      </c>
      <c r="R22" s="59">
        <v>3.33</v>
      </c>
      <c r="S22" s="59">
        <v>3.33</v>
      </c>
      <c r="T22" s="59">
        <v>3.33</v>
      </c>
      <c r="U22" s="59">
        <v>3.33</v>
      </c>
      <c r="V22" s="59">
        <v>3.33</v>
      </c>
      <c r="W22" s="59">
        <v>3.33</v>
      </c>
      <c r="X22" s="59">
        <v>3.33</v>
      </c>
      <c r="Y22" s="59">
        <v>3.33</v>
      </c>
      <c r="Z22" s="59">
        <v>3.33</v>
      </c>
      <c r="AA22" s="59">
        <v>3.33</v>
      </c>
      <c r="AB22" s="59">
        <v>3.33</v>
      </c>
      <c r="AC22" s="59">
        <v>3.33</v>
      </c>
      <c r="AD22" s="59">
        <v>3.33</v>
      </c>
      <c r="AE22" s="59">
        <v>3.33</v>
      </c>
      <c r="AF22" s="59">
        <v>3.33</v>
      </c>
      <c r="AG22" s="59">
        <v>3.33</v>
      </c>
      <c r="AH22" s="59">
        <v>3.33</v>
      </c>
      <c r="AI22" s="59">
        <v>3.33</v>
      </c>
      <c r="AJ22" s="59">
        <v>3.33</v>
      </c>
      <c r="AK22" s="59">
        <v>3.33</v>
      </c>
      <c r="AL22" s="59">
        <v>3.33</v>
      </c>
      <c r="AM22" s="59">
        <v>3.33</v>
      </c>
      <c r="AX22" s="6">
        <f t="shared" si="4"/>
        <v>30</v>
      </c>
      <c r="AY22" s="6">
        <f t="shared" si="0"/>
        <v>0</v>
      </c>
      <c r="AZ22" s="6">
        <f t="shared" si="1"/>
        <v>0</v>
      </c>
      <c r="BA22" s="6">
        <f t="shared" si="2"/>
        <v>30</v>
      </c>
      <c r="BB22" s="7" t="s">
        <v>203</v>
      </c>
    </row>
    <row r="23" spans="1:54" x14ac:dyDescent="0.25">
      <c r="A23" s="43">
        <f t="shared" si="3"/>
        <v>242510391</v>
      </c>
      <c r="B23" s="59" t="s">
        <v>122</v>
      </c>
      <c r="C23" s="59" t="s">
        <v>112</v>
      </c>
      <c r="D23" s="59" t="s">
        <v>132</v>
      </c>
      <c r="E23" s="59" t="s">
        <v>47</v>
      </c>
      <c r="F23" s="59" t="s">
        <v>241</v>
      </c>
      <c r="G23" s="59" t="s">
        <v>250</v>
      </c>
      <c r="H23" s="59" t="s">
        <v>264</v>
      </c>
      <c r="I23" s="59" t="s">
        <v>50</v>
      </c>
      <c r="J23" s="59">
        <v>3.33</v>
      </c>
      <c r="K23" s="59">
        <v>3.33</v>
      </c>
      <c r="L23" s="59">
        <v>3.33</v>
      </c>
      <c r="M23" s="59">
        <v>3.33</v>
      </c>
      <c r="N23" s="59">
        <v>3.33</v>
      </c>
      <c r="O23" s="59">
        <v>3.33</v>
      </c>
      <c r="P23" s="59">
        <v>3.33</v>
      </c>
      <c r="Q23" s="59">
        <v>3.33</v>
      </c>
      <c r="R23" s="59">
        <v>3.33</v>
      </c>
      <c r="S23" s="59">
        <v>3.33</v>
      </c>
      <c r="T23" s="59">
        <v>3.33</v>
      </c>
      <c r="U23" s="59">
        <v>3.33</v>
      </c>
      <c r="V23" s="59">
        <v>3.33</v>
      </c>
      <c r="W23" s="59">
        <v>3.33</v>
      </c>
      <c r="X23" s="59">
        <v>3.33</v>
      </c>
      <c r="Y23" s="59">
        <v>3.33</v>
      </c>
      <c r="Z23" s="59">
        <v>3.33</v>
      </c>
      <c r="AA23" s="59">
        <v>3.33</v>
      </c>
      <c r="AB23" s="59">
        <v>3.33</v>
      </c>
      <c r="AC23" s="59">
        <v>3.33</v>
      </c>
      <c r="AD23" s="59">
        <v>3.33</v>
      </c>
      <c r="AE23" s="59">
        <v>3.33</v>
      </c>
      <c r="AF23" s="59">
        <v>3.33</v>
      </c>
      <c r="AG23" s="59">
        <v>3.33</v>
      </c>
      <c r="AH23" s="59">
        <v>3.33</v>
      </c>
      <c r="AI23" s="59">
        <v>3.33</v>
      </c>
      <c r="AJ23" s="59">
        <v>3.33</v>
      </c>
      <c r="AK23" s="59">
        <v>3.33</v>
      </c>
      <c r="AL23" s="59">
        <v>3.33</v>
      </c>
      <c r="AM23" s="59">
        <v>3.33</v>
      </c>
      <c r="AX23" s="6">
        <f t="shared" si="4"/>
        <v>30</v>
      </c>
      <c r="AY23" s="6">
        <f t="shared" si="0"/>
        <v>0</v>
      </c>
      <c r="AZ23" s="6">
        <f t="shared" si="1"/>
        <v>0</v>
      </c>
      <c r="BA23" s="6">
        <f t="shared" si="2"/>
        <v>30</v>
      </c>
      <c r="BB23" s="7" t="s">
        <v>203</v>
      </c>
    </row>
    <row r="24" spans="1:54" x14ac:dyDescent="0.25">
      <c r="A24" s="43">
        <f t="shared" si="3"/>
        <v>242510220</v>
      </c>
      <c r="B24" s="59" t="s">
        <v>154</v>
      </c>
      <c r="C24" s="59" t="s">
        <v>54</v>
      </c>
      <c r="D24" s="59" t="s">
        <v>180</v>
      </c>
      <c r="E24" s="59" t="s">
        <v>47</v>
      </c>
      <c r="F24" s="59" t="s">
        <v>241</v>
      </c>
      <c r="G24" s="59" t="s">
        <v>253</v>
      </c>
      <c r="H24" s="59" t="s">
        <v>265</v>
      </c>
      <c r="I24" s="59" t="s">
        <v>50</v>
      </c>
      <c r="J24" s="59">
        <v>3.33</v>
      </c>
      <c r="K24" s="59">
        <v>3.33</v>
      </c>
      <c r="L24" s="59">
        <v>3.33</v>
      </c>
      <c r="M24" s="59">
        <v>3.33</v>
      </c>
      <c r="N24" s="59">
        <v>3.33</v>
      </c>
      <c r="O24" s="59">
        <v>3.33</v>
      </c>
      <c r="P24" s="59">
        <v>3.33</v>
      </c>
      <c r="Q24" s="59">
        <v>3.33</v>
      </c>
      <c r="R24" s="59">
        <v>3.33</v>
      </c>
      <c r="S24" s="59">
        <v>3.33</v>
      </c>
      <c r="T24" s="59">
        <v>3.33</v>
      </c>
      <c r="U24" s="59">
        <v>3.33</v>
      </c>
      <c r="V24" s="59">
        <v>3.33</v>
      </c>
      <c r="W24" s="59">
        <v>3.33</v>
      </c>
      <c r="X24" s="59">
        <v>3.33</v>
      </c>
      <c r="Y24" s="59">
        <v>3.33</v>
      </c>
      <c r="Z24" s="59">
        <v>3.33</v>
      </c>
      <c r="AA24" s="59">
        <v>3.33</v>
      </c>
      <c r="AB24" s="59">
        <v>3.33</v>
      </c>
      <c r="AC24" s="59">
        <v>3.33</v>
      </c>
      <c r="AD24" s="59">
        <v>3.33</v>
      </c>
      <c r="AE24" s="59">
        <v>3.33</v>
      </c>
      <c r="AF24" s="59">
        <v>3.33</v>
      </c>
      <c r="AG24" s="59">
        <v>3.33</v>
      </c>
      <c r="AH24" s="59">
        <v>3.33</v>
      </c>
      <c r="AI24" s="59">
        <v>3.33</v>
      </c>
      <c r="AJ24" s="59">
        <v>3.33</v>
      </c>
      <c r="AK24" s="59">
        <v>3.33</v>
      </c>
      <c r="AL24" s="59">
        <v>3.33</v>
      </c>
      <c r="AM24" s="59">
        <v>3.33</v>
      </c>
      <c r="AX24" s="6">
        <f t="shared" si="4"/>
        <v>30</v>
      </c>
      <c r="AY24" s="6">
        <f t="shared" si="0"/>
        <v>0</v>
      </c>
      <c r="AZ24" s="6">
        <f t="shared" si="1"/>
        <v>0</v>
      </c>
      <c r="BA24" s="6">
        <f t="shared" si="2"/>
        <v>30</v>
      </c>
      <c r="BB24" s="7" t="s">
        <v>203</v>
      </c>
    </row>
    <row r="25" spans="1:54" x14ac:dyDescent="0.25">
      <c r="A25" s="43">
        <f t="shared" si="3"/>
        <v>242510394</v>
      </c>
      <c r="B25" s="59" t="s">
        <v>122</v>
      </c>
      <c r="C25" s="59" t="s">
        <v>118</v>
      </c>
      <c r="D25" s="59" t="s">
        <v>124</v>
      </c>
      <c r="E25" s="59" t="s">
        <v>47</v>
      </c>
      <c r="F25" s="59" t="s">
        <v>241</v>
      </c>
      <c r="G25" s="59" t="s">
        <v>249</v>
      </c>
      <c r="H25" s="59" t="s">
        <v>227</v>
      </c>
      <c r="I25" s="59" t="s">
        <v>209</v>
      </c>
      <c r="J25" s="59">
        <v>3.33</v>
      </c>
      <c r="K25" s="59">
        <v>3.33</v>
      </c>
      <c r="L25" s="59">
        <v>3.33</v>
      </c>
      <c r="M25" s="59">
        <v>3.33</v>
      </c>
      <c r="N25" s="59">
        <v>3.33</v>
      </c>
      <c r="O25" s="59">
        <v>3.33</v>
      </c>
      <c r="P25" s="59">
        <v>3.33</v>
      </c>
      <c r="Q25" s="59">
        <v>0</v>
      </c>
      <c r="R25" s="59">
        <v>3.33</v>
      </c>
      <c r="S25" s="59">
        <v>3.33</v>
      </c>
      <c r="T25" s="59">
        <v>3.33</v>
      </c>
      <c r="U25" s="59">
        <v>3.33</v>
      </c>
      <c r="V25" s="59">
        <v>3.33</v>
      </c>
      <c r="W25" s="59">
        <v>3.33</v>
      </c>
      <c r="X25" s="59">
        <v>3.33</v>
      </c>
      <c r="Y25" s="59">
        <v>3.33</v>
      </c>
      <c r="Z25" s="59">
        <v>3.33</v>
      </c>
      <c r="AA25" s="59">
        <v>0</v>
      </c>
      <c r="AB25" s="59">
        <v>3.33</v>
      </c>
      <c r="AC25" s="59">
        <v>3.33</v>
      </c>
      <c r="AD25" s="59">
        <v>3.33</v>
      </c>
      <c r="AE25" s="59">
        <v>3.33</v>
      </c>
      <c r="AF25" s="59">
        <v>3.33</v>
      </c>
      <c r="AG25" s="59">
        <v>3.33</v>
      </c>
      <c r="AH25" s="59">
        <v>3.33</v>
      </c>
      <c r="AI25" s="59">
        <v>3.33</v>
      </c>
      <c r="AJ25" s="59">
        <v>3.33</v>
      </c>
      <c r="AK25" s="59">
        <v>3.33</v>
      </c>
      <c r="AL25" s="59">
        <v>3.33</v>
      </c>
      <c r="AM25" s="59">
        <v>3.33</v>
      </c>
      <c r="AX25" s="6">
        <f t="shared" si="4"/>
        <v>28</v>
      </c>
      <c r="AY25" s="6">
        <f t="shared" si="0"/>
        <v>2</v>
      </c>
      <c r="AZ25" s="6">
        <f t="shared" si="1"/>
        <v>0</v>
      </c>
      <c r="BA25" s="6">
        <f t="shared" si="2"/>
        <v>30</v>
      </c>
      <c r="BB25" s="7" t="s">
        <v>203</v>
      </c>
    </row>
    <row r="26" spans="1:54" x14ac:dyDescent="0.25">
      <c r="A26" s="43">
        <f t="shared" si="3"/>
        <v>242510035</v>
      </c>
      <c r="B26" s="59" t="s">
        <v>122</v>
      </c>
      <c r="C26" s="59" t="s">
        <v>119</v>
      </c>
      <c r="D26" s="59" t="s">
        <v>142</v>
      </c>
      <c r="E26" s="59" t="s">
        <v>47</v>
      </c>
      <c r="F26" s="59" t="s">
        <v>241</v>
      </c>
      <c r="G26" s="59" t="s">
        <v>253</v>
      </c>
      <c r="H26" s="59" t="s">
        <v>266</v>
      </c>
      <c r="I26" s="59" t="s">
        <v>210</v>
      </c>
      <c r="J26" s="59">
        <v>3.33</v>
      </c>
      <c r="K26" s="59">
        <v>3.33</v>
      </c>
      <c r="L26" s="59">
        <v>3.33</v>
      </c>
      <c r="M26" s="59">
        <v>3.33</v>
      </c>
      <c r="N26" s="59">
        <v>3.33</v>
      </c>
      <c r="O26" s="59">
        <v>3.33</v>
      </c>
      <c r="P26" s="59">
        <v>3.33</v>
      </c>
      <c r="Q26" s="59">
        <v>3.33</v>
      </c>
      <c r="R26" s="59">
        <v>0</v>
      </c>
      <c r="S26" s="59">
        <v>3.33</v>
      </c>
      <c r="T26" s="59">
        <v>3.33</v>
      </c>
      <c r="U26" s="59">
        <v>3.33</v>
      </c>
      <c r="V26" s="59">
        <v>3.33</v>
      </c>
      <c r="W26" s="59">
        <v>3.33</v>
      </c>
      <c r="X26" s="59">
        <v>3.33</v>
      </c>
      <c r="Y26" s="59">
        <v>3.33</v>
      </c>
      <c r="Z26" s="59">
        <v>3.33</v>
      </c>
      <c r="AA26" s="59">
        <v>3.33</v>
      </c>
      <c r="AB26" s="59">
        <v>3.33</v>
      </c>
      <c r="AC26" s="59">
        <v>3.33</v>
      </c>
      <c r="AD26" s="59">
        <v>3.33</v>
      </c>
      <c r="AE26" s="59">
        <v>3.33</v>
      </c>
      <c r="AF26" s="59">
        <v>3.33</v>
      </c>
      <c r="AG26" s="59">
        <v>3.33</v>
      </c>
      <c r="AH26" s="59">
        <v>3.33</v>
      </c>
      <c r="AI26" s="59">
        <v>3.33</v>
      </c>
      <c r="AJ26" s="59">
        <v>3.33</v>
      </c>
      <c r="AK26" s="59">
        <v>3.33</v>
      </c>
      <c r="AL26" s="59">
        <v>3.33</v>
      </c>
      <c r="AM26" s="59">
        <v>3.33</v>
      </c>
      <c r="AX26" s="6">
        <f t="shared" si="4"/>
        <v>29</v>
      </c>
      <c r="AY26" s="6">
        <f t="shared" si="0"/>
        <v>1</v>
      </c>
      <c r="AZ26" s="6">
        <f t="shared" si="1"/>
        <v>0</v>
      </c>
      <c r="BA26" s="6">
        <f t="shared" si="2"/>
        <v>30</v>
      </c>
      <c r="BB26" s="7" t="s">
        <v>203</v>
      </c>
    </row>
    <row r="27" spans="1:54" x14ac:dyDescent="0.25">
      <c r="A27" s="43">
        <f t="shared" si="3"/>
        <v>242510346</v>
      </c>
      <c r="B27" s="59" t="s">
        <v>122</v>
      </c>
      <c r="C27" s="59" t="s">
        <v>107</v>
      </c>
      <c r="D27" s="59" t="s">
        <v>144</v>
      </c>
      <c r="E27" s="59" t="s">
        <v>47</v>
      </c>
      <c r="F27" s="59" t="s">
        <v>241</v>
      </c>
      <c r="G27" s="59" t="s">
        <v>267</v>
      </c>
      <c r="H27" s="59" t="s">
        <v>268</v>
      </c>
      <c r="I27" s="59" t="s">
        <v>269</v>
      </c>
      <c r="J27" s="59">
        <v>3.33</v>
      </c>
      <c r="K27" s="59">
        <v>3.33</v>
      </c>
      <c r="L27" s="59">
        <v>3.33</v>
      </c>
      <c r="M27" s="59">
        <v>3.33</v>
      </c>
      <c r="N27" s="59">
        <v>0</v>
      </c>
      <c r="O27" s="59">
        <v>3.33</v>
      </c>
      <c r="P27" s="59">
        <v>3.33</v>
      </c>
      <c r="Q27" s="59">
        <v>0</v>
      </c>
      <c r="R27" s="59">
        <v>0</v>
      </c>
      <c r="S27" s="59">
        <v>0</v>
      </c>
      <c r="T27" s="59">
        <v>3.33</v>
      </c>
      <c r="U27" s="59">
        <v>0</v>
      </c>
      <c r="V27" s="59">
        <v>3.33</v>
      </c>
      <c r="W27" s="59">
        <v>3.33</v>
      </c>
      <c r="X27" s="59">
        <v>0</v>
      </c>
      <c r="Y27" s="59">
        <v>3.33</v>
      </c>
      <c r="Z27" s="59">
        <v>3.33</v>
      </c>
      <c r="AA27" s="59">
        <v>0</v>
      </c>
      <c r="AB27" s="59">
        <v>3.33</v>
      </c>
      <c r="AC27" s="59">
        <v>0</v>
      </c>
      <c r="AD27" s="59">
        <v>0</v>
      </c>
      <c r="AE27" s="59">
        <v>0</v>
      </c>
      <c r="AF27" s="59">
        <v>3.33</v>
      </c>
      <c r="AG27" s="59">
        <v>3.33</v>
      </c>
      <c r="AH27" s="59">
        <v>3.33</v>
      </c>
      <c r="AI27" s="59">
        <v>3.33</v>
      </c>
      <c r="AJ27" s="59">
        <v>3.33</v>
      </c>
      <c r="AK27" s="59">
        <v>0</v>
      </c>
      <c r="AL27" s="59">
        <v>3.33</v>
      </c>
      <c r="AM27" s="59">
        <v>3.33</v>
      </c>
      <c r="AX27" s="6">
        <f t="shared" si="4"/>
        <v>19</v>
      </c>
      <c r="AY27" s="6">
        <f t="shared" si="0"/>
        <v>11</v>
      </c>
      <c r="AZ27" s="6">
        <f t="shared" si="1"/>
        <v>0</v>
      </c>
      <c r="BA27" s="6">
        <f t="shared" si="2"/>
        <v>30</v>
      </c>
      <c r="BB27" s="7" t="s">
        <v>203</v>
      </c>
    </row>
    <row r="28" spans="1:54" x14ac:dyDescent="0.25">
      <c r="A28" s="43">
        <f t="shared" si="3"/>
        <v>242510276</v>
      </c>
      <c r="B28" s="59" t="s">
        <v>122</v>
      </c>
      <c r="C28" s="59" t="s">
        <v>104</v>
      </c>
      <c r="D28" s="59" t="s">
        <v>139</v>
      </c>
      <c r="E28" s="59" t="s">
        <v>47</v>
      </c>
      <c r="F28" s="59" t="s">
        <v>241</v>
      </c>
      <c r="G28" s="59" t="s">
        <v>270</v>
      </c>
      <c r="H28" s="59" t="s">
        <v>271</v>
      </c>
      <c r="I28" s="59" t="s">
        <v>210</v>
      </c>
      <c r="J28" s="59">
        <v>3.33</v>
      </c>
      <c r="K28" s="59">
        <v>3.33</v>
      </c>
      <c r="L28" s="59">
        <v>3.33</v>
      </c>
      <c r="M28" s="59">
        <v>3.33</v>
      </c>
      <c r="N28" s="59">
        <v>3.33</v>
      </c>
      <c r="O28" s="59">
        <v>3.33</v>
      </c>
      <c r="P28" s="59">
        <v>3.33</v>
      </c>
      <c r="Q28" s="59">
        <v>3.33</v>
      </c>
      <c r="R28" s="59">
        <v>3.33</v>
      </c>
      <c r="S28" s="59">
        <v>3.33</v>
      </c>
      <c r="T28" s="59">
        <v>3.33</v>
      </c>
      <c r="U28" s="59">
        <v>3.33</v>
      </c>
      <c r="V28" s="59">
        <v>3.33</v>
      </c>
      <c r="W28" s="59">
        <v>3.33</v>
      </c>
      <c r="X28" s="59">
        <v>3.33</v>
      </c>
      <c r="Y28" s="59">
        <v>3.33</v>
      </c>
      <c r="Z28" s="59">
        <v>3.33</v>
      </c>
      <c r="AA28" s="59">
        <v>0</v>
      </c>
      <c r="AB28" s="59">
        <v>3.33</v>
      </c>
      <c r="AC28" s="59">
        <v>3.33</v>
      </c>
      <c r="AD28" s="59">
        <v>3.33</v>
      </c>
      <c r="AE28" s="59">
        <v>3.33</v>
      </c>
      <c r="AF28" s="59">
        <v>3.33</v>
      </c>
      <c r="AG28" s="59">
        <v>3.33</v>
      </c>
      <c r="AH28" s="59">
        <v>3.33</v>
      </c>
      <c r="AI28" s="59">
        <v>3.33</v>
      </c>
      <c r="AJ28" s="59">
        <v>3.33</v>
      </c>
      <c r="AK28" s="59">
        <v>3.33</v>
      </c>
      <c r="AL28" s="59">
        <v>3.33</v>
      </c>
      <c r="AM28" s="59">
        <v>3.33</v>
      </c>
      <c r="AX28" s="6">
        <f t="shared" si="4"/>
        <v>29</v>
      </c>
      <c r="AY28" s="6">
        <f t="shared" si="0"/>
        <v>1</v>
      </c>
      <c r="AZ28" s="6">
        <f t="shared" si="1"/>
        <v>0</v>
      </c>
      <c r="BA28" s="6">
        <f t="shared" si="2"/>
        <v>30</v>
      </c>
      <c r="BB28" s="7" t="s">
        <v>203</v>
      </c>
    </row>
    <row r="29" spans="1:54" x14ac:dyDescent="0.25">
      <c r="A29" s="43">
        <f t="shared" si="3"/>
        <v>242510241</v>
      </c>
      <c r="B29" s="59" t="s">
        <v>122</v>
      </c>
      <c r="C29" s="59" t="s">
        <v>108</v>
      </c>
      <c r="D29" s="59" t="s">
        <v>128</v>
      </c>
      <c r="E29" s="59" t="s">
        <v>47</v>
      </c>
      <c r="F29" s="59" t="s">
        <v>241</v>
      </c>
      <c r="G29" s="59" t="s">
        <v>272</v>
      </c>
      <c r="H29" s="59" t="s">
        <v>273</v>
      </c>
      <c r="I29" s="59" t="s">
        <v>213</v>
      </c>
      <c r="J29" s="59">
        <v>3.33</v>
      </c>
      <c r="K29" s="59">
        <v>3.33</v>
      </c>
      <c r="L29" s="59">
        <v>3.33</v>
      </c>
      <c r="M29" s="59">
        <v>3.33</v>
      </c>
      <c r="N29" s="59">
        <v>3.33</v>
      </c>
      <c r="O29" s="59">
        <v>0</v>
      </c>
      <c r="P29" s="59">
        <v>3.33</v>
      </c>
      <c r="Q29" s="59">
        <v>3.33</v>
      </c>
      <c r="R29" s="59">
        <v>3.33</v>
      </c>
      <c r="S29" s="59">
        <v>3.33</v>
      </c>
      <c r="T29" s="59">
        <v>3.33</v>
      </c>
      <c r="U29" s="59">
        <v>3.33</v>
      </c>
      <c r="V29" s="59">
        <v>3.33</v>
      </c>
      <c r="W29" s="59">
        <v>3.33</v>
      </c>
      <c r="X29" s="59">
        <v>0</v>
      </c>
      <c r="Y29" s="59">
        <v>3.33</v>
      </c>
      <c r="Z29" s="59">
        <v>3.33</v>
      </c>
      <c r="AA29" s="59">
        <v>0</v>
      </c>
      <c r="AB29" s="59">
        <v>3.33</v>
      </c>
      <c r="AC29" s="59">
        <v>3.33</v>
      </c>
      <c r="AD29" s="59">
        <v>3.33</v>
      </c>
      <c r="AE29" s="59">
        <v>3.33</v>
      </c>
      <c r="AF29" s="59">
        <v>3.33</v>
      </c>
      <c r="AG29" s="59">
        <v>3.33</v>
      </c>
      <c r="AH29" s="59">
        <v>3.33</v>
      </c>
      <c r="AI29" s="59">
        <v>3.33</v>
      </c>
      <c r="AJ29" s="59">
        <v>3.33</v>
      </c>
      <c r="AK29" s="59">
        <v>3.33</v>
      </c>
      <c r="AL29" s="59">
        <v>3.33</v>
      </c>
      <c r="AM29" s="59">
        <v>3.33</v>
      </c>
      <c r="AX29" s="6">
        <f t="shared" si="4"/>
        <v>27</v>
      </c>
      <c r="AY29" s="6">
        <f t="shared" si="0"/>
        <v>3</v>
      </c>
      <c r="AZ29" s="6">
        <f t="shared" si="1"/>
        <v>0</v>
      </c>
      <c r="BA29" s="6">
        <f t="shared" si="2"/>
        <v>30</v>
      </c>
      <c r="BB29" s="7" t="s">
        <v>203</v>
      </c>
    </row>
    <row r="30" spans="1:54" x14ac:dyDescent="0.25">
      <c r="A30" s="43">
        <f t="shared" si="3"/>
        <v>242510217</v>
      </c>
      <c r="B30" s="59" t="s">
        <v>122</v>
      </c>
      <c r="C30" s="59" t="s">
        <v>120</v>
      </c>
      <c r="D30" s="59" t="s">
        <v>150</v>
      </c>
      <c r="E30" s="59" t="s">
        <v>47</v>
      </c>
      <c r="F30" s="59" t="s">
        <v>241</v>
      </c>
      <c r="G30" s="59" t="s">
        <v>249</v>
      </c>
      <c r="H30" s="59" t="s">
        <v>274</v>
      </c>
      <c r="I30" s="59" t="s">
        <v>213</v>
      </c>
      <c r="J30" s="59">
        <v>3.33</v>
      </c>
      <c r="K30" s="59">
        <v>3.33</v>
      </c>
      <c r="L30" s="59">
        <v>3.33</v>
      </c>
      <c r="M30" s="59">
        <v>3.33</v>
      </c>
      <c r="N30" s="59">
        <v>3.33</v>
      </c>
      <c r="O30" s="59">
        <v>3.33</v>
      </c>
      <c r="P30" s="59">
        <v>3.33</v>
      </c>
      <c r="Q30" s="59">
        <v>3.33</v>
      </c>
      <c r="R30" s="59">
        <v>3.33</v>
      </c>
      <c r="S30" s="59">
        <v>0</v>
      </c>
      <c r="T30" s="59">
        <v>3.33</v>
      </c>
      <c r="U30" s="59">
        <v>3.33</v>
      </c>
      <c r="V30" s="59">
        <v>3.33</v>
      </c>
      <c r="W30" s="59">
        <v>3.33</v>
      </c>
      <c r="X30" s="59">
        <v>3.33</v>
      </c>
      <c r="Y30" s="59">
        <v>3.33</v>
      </c>
      <c r="Z30" s="59">
        <v>3.33</v>
      </c>
      <c r="AA30" s="59">
        <v>0</v>
      </c>
      <c r="AB30" s="59">
        <v>3.33</v>
      </c>
      <c r="AC30" s="59">
        <v>3.33</v>
      </c>
      <c r="AD30" s="59">
        <v>3.33</v>
      </c>
      <c r="AE30" s="59">
        <v>3.33</v>
      </c>
      <c r="AF30" s="59">
        <v>3.33</v>
      </c>
      <c r="AG30" s="59">
        <v>3.33</v>
      </c>
      <c r="AH30" s="59">
        <v>3.33</v>
      </c>
      <c r="AI30" s="59">
        <v>0</v>
      </c>
      <c r="AJ30" s="59">
        <v>3.33</v>
      </c>
      <c r="AK30" s="59">
        <v>3.33</v>
      </c>
      <c r="AL30" s="59">
        <v>3.33</v>
      </c>
      <c r="AM30" s="59">
        <v>3.33</v>
      </c>
      <c r="AX30" s="6">
        <f t="shared" si="4"/>
        <v>27</v>
      </c>
      <c r="AY30" s="6">
        <f t="shared" si="0"/>
        <v>3</v>
      </c>
      <c r="AZ30" s="6">
        <f t="shared" si="1"/>
        <v>0</v>
      </c>
      <c r="BA30" s="6">
        <f t="shared" si="2"/>
        <v>30</v>
      </c>
      <c r="BB30" s="7" t="s">
        <v>203</v>
      </c>
    </row>
    <row r="31" spans="1:54" x14ac:dyDescent="0.25">
      <c r="A31" s="43">
        <f t="shared" si="3"/>
        <v>242510023</v>
      </c>
      <c r="B31" s="59" t="s">
        <v>122</v>
      </c>
      <c r="C31" s="59" t="s">
        <v>110</v>
      </c>
      <c r="D31" s="59" t="s">
        <v>127</v>
      </c>
      <c r="E31" s="59" t="s">
        <v>47</v>
      </c>
      <c r="F31" s="59" t="s">
        <v>241</v>
      </c>
      <c r="G31" s="59" t="s">
        <v>245</v>
      </c>
      <c r="H31" s="59" t="s">
        <v>275</v>
      </c>
      <c r="I31" s="59" t="s">
        <v>213</v>
      </c>
      <c r="J31" s="59">
        <v>3.33</v>
      </c>
      <c r="K31" s="59">
        <v>3.33</v>
      </c>
      <c r="L31" s="59">
        <v>3.33</v>
      </c>
      <c r="M31" s="59">
        <v>3.33</v>
      </c>
      <c r="N31" s="59">
        <v>3.33</v>
      </c>
      <c r="O31" s="59">
        <v>0</v>
      </c>
      <c r="P31" s="59">
        <v>3.33</v>
      </c>
      <c r="Q31" s="59">
        <v>3.33</v>
      </c>
      <c r="R31" s="59">
        <v>3.33</v>
      </c>
      <c r="S31" s="59">
        <v>3.33</v>
      </c>
      <c r="T31" s="59">
        <v>3.33</v>
      </c>
      <c r="U31" s="59">
        <v>0</v>
      </c>
      <c r="V31" s="59">
        <v>3.33</v>
      </c>
      <c r="W31" s="59">
        <v>3.33</v>
      </c>
      <c r="X31" s="59">
        <v>3.33</v>
      </c>
      <c r="Y31" s="59">
        <v>3.33</v>
      </c>
      <c r="Z31" s="59">
        <v>3.33</v>
      </c>
      <c r="AA31" s="59">
        <v>0</v>
      </c>
      <c r="AB31" s="59">
        <v>3.33</v>
      </c>
      <c r="AC31" s="59">
        <v>3.33</v>
      </c>
      <c r="AD31" s="59">
        <v>3.33</v>
      </c>
      <c r="AE31" s="59">
        <v>3.33</v>
      </c>
      <c r="AF31" s="59">
        <v>3.33</v>
      </c>
      <c r="AG31" s="59">
        <v>3.33</v>
      </c>
      <c r="AH31" s="59">
        <v>3.33</v>
      </c>
      <c r="AI31" s="59">
        <v>3.33</v>
      </c>
      <c r="AJ31" s="59">
        <v>3.33</v>
      </c>
      <c r="AK31" s="59">
        <v>3.33</v>
      </c>
      <c r="AL31" s="59">
        <v>3.33</v>
      </c>
      <c r="AM31" s="59">
        <v>3.33</v>
      </c>
      <c r="AX31" s="6">
        <f t="shared" si="4"/>
        <v>27</v>
      </c>
      <c r="AY31" s="6">
        <f t="shared" si="0"/>
        <v>3</v>
      </c>
      <c r="AZ31" s="6">
        <f t="shared" si="1"/>
        <v>0</v>
      </c>
      <c r="BA31" s="6">
        <f t="shared" si="2"/>
        <v>30</v>
      </c>
      <c r="BB31" s="7" t="s">
        <v>203</v>
      </c>
    </row>
    <row r="32" spans="1:54" x14ac:dyDescent="0.25">
      <c r="A32" s="43">
        <f t="shared" si="3"/>
        <v>242510340</v>
      </c>
      <c r="B32" s="59" t="s">
        <v>122</v>
      </c>
      <c r="C32" s="59" t="s">
        <v>99</v>
      </c>
      <c r="D32" s="59" t="s">
        <v>152</v>
      </c>
      <c r="E32" s="59" t="s">
        <v>47</v>
      </c>
      <c r="F32" s="59" t="s">
        <v>241</v>
      </c>
      <c r="G32" s="59" t="s">
        <v>235</v>
      </c>
      <c r="H32" s="59" t="s">
        <v>276</v>
      </c>
      <c r="I32" s="59" t="s">
        <v>50</v>
      </c>
      <c r="J32" s="59">
        <v>3.33</v>
      </c>
      <c r="K32" s="59">
        <v>3.33</v>
      </c>
      <c r="L32" s="59">
        <v>3.33</v>
      </c>
      <c r="M32" s="59">
        <v>3.33</v>
      </c>
      <c r="N32" s="59">
        <v>3.33</v>
      </c>
      <c r="O32" s="59">
        <v>3.33</v>
      </c>
      <c r="P32" s="59">
        <v>3.33</v>
      </c>
      <c r="Q32" s="59">
        <v>3.33</v>
      </c>
      <c r="R32" s="59">
        <v>3.33</v>
      </c>
      <c r="S32" s="59">
        <v>3.33</v>
      </c>
      <c r="T32" s="59">
        <v>3.33</v>
      </c>
      <c r="U32" s="59">
        <v>3.33</v>
      </c>
      <c r="V32" s="59">
        <v>3.33</v>
      </c>
      <c r="W32" s="59">
        <v>3.33</v>
      </c>
      <c r="X32" s="59">
        <v>3.33</v>
      </c>
      <c r="Y32" s="59">
        <v>3.33</v>
      </c>
      <c r="Z32" s="59">
        <v>3.33</v>
      </c>
      <c r="AA32" s="59">
        <v>3.33</v>
      </c>
      <c r="AB32" s="59">
        <v>3.33</v>
      </c>
      <c r="AC32" s="59">
        <v>3.33</v>
      </c>
      <c r="AD32" s="59">
        <v>3.33</v>
      </c>
      <c r="AE32" s="59">
        <v>3.33</v>
      </c>
      <c r="AF32" s="59">
        <v>3.33</v>
      </c>
      <c r="AG32" s="59">
        <v>3.33</v>
      </c>
      <c r="AH32" s="59">
        <v>3.33</v>
      </c>
      <c r="AI32" s="59">
        <v>3.33</v>
      </c>
      <c r="AJ32" s="59">
        <v>3.33</v>
      </c>
      <c r="AK32" s="59">
        <v>3.33</v>
      </c>
      <c r="AL32" s="59">
        <v>3.33</v>
      </c>
      <c r="AM32" s="59">
        <v>3.33</v>
      </c>
      <c r="AX32" s="6">
        <f t="shared" si="4"/>
        <v>30</v>
      </c>
      <c r="AY32" s="6">
        <f t="shared" si="0"/>
        <v>0</v>
      </c>
      <c r="AZ32" s="6">
        <f t="shared" si="1"/>
        <v>0</v>
      </c>
      <c r="BA32" s="6">
        <f t="shared" si="2"/>
        <v>30</v>
      </c>
      <c r="BB32" s="7" t="s">
        <v>203</v>
      </c>
    </row>
    <row r="33" spans="1:54" x14ac:dyDescent="0.25">
      <c r="A33" s="43">
        <f t="shared" si="3"/>
        <v>242510067</v>
      </c>
      <c r="B33" s="59" t="s">
        <v>122</v>
      </c>
      <c r="C33" s="59" t="s">
        <v>114</v>
      </c>
      <c r="D33" s="59" t="s">
        <v>138</v>
      </c>
      <c r="E33" s="59" t="s">
        <v>47</v>
      </c>
      <c r="F33" s="59" t="s">
        <v>241</v>
      </c>
      <c r="G33" s="59" t="s">
        <v>267</v>
      </c>
      <c r="H33" s="59" t="s">
        <v>277</v>
      </c>
      <c r="I33" s="59" t="s">
        <v>210</v>
      </c>
      <c r="J33" s="59">
        <v>3.33</v>
      </c>
      <c r="K33" s="59">
        <v>3.33</v>
      </c>
      <c r="L33" s="59">
        <v>3.33</v>
      </c>
      <c r="M33" s="59">
        <v>3.33</v>
      </c>
      <c r="N33" s="59">
        <v>3.33</v>
      </c>
      <c r="O33" s="59">
        <v>3.33</v>
      </c>
      <c r="P33" s="59">
        <v>3.33</v>
      </c>
      <c r="Q33" s="59">
        <v>3.33</v>
      </c>
      <c r="R33" s="59">
        <v>3.33</v>
      </c>
      <c r="S33" s="59">
        <v>3.33</v>
      </c>
      <c r="T33" s="59">
        <v>3.33</v>
      </c>
      <c r="U33" s="59">
        <v>3.33</v>
      </c>
      <c r="V33" s="59">
        <v>3.33</v>
      </c>
      <c r="W33" s="59">
        <v>3.33</v>
      </c>
      <c r="X33" s="59">
        <v>3.33</v>
      </c>
      <c r="Y33" s="59">
        <v>3.33</v>
      </c>
      <c r="Z33" s="59">
        <v>3.33</v>
      </c>
      <c r="AA33" s="59">
        <v>3.33</v>
      </c>
      <c r="AB33" s="59">
        <v>0</v>
      </c>
      <c r="AC33" s="59">
        <v>3.33</v>
      </c>
      <c r="AD33" s="59">
        <v>3.33</v>
      </c>
      <c r="AE33" s="59">
        <v>3.33</v>
      </c>
      <c r="AF33" s="59">
        <v>3.33</v>
      </c>
      <c r="AG33" s="59">
        <v>3.33</v>
      </c>
      <c r="AH33" s="59">
        <v>3.33</v>
      </c>
      <c r="AI33" s="59">
        <v>3.33</v>
      </c>
      <c r="AJ33" s="59">
        <v>3.33</v>
      </c>
      <c r="AK33" s="59">
        <v>3.33</v>
      </c>
      <c r="AL33" s="59">
        <v>3.33</v>
      </c>
      <c r="AM33" s="59">
        <v>3.33</v>
      </c>
      <c r="AX33" s="6">
        <f t="shared" si="4"/>
        <v>29</v>
      </c>
      <c r="AY33" s="6">
        <f t="shared" si="0"/>
        <v>1</v>
      </c>
      <c r="AZ33" s="6">
        <f t="shared" si="1"/>
        <v>0</v>
      </c>
      <c r="BA33" s="6">
        <f t="shared" si="2"/>
        <v>30</v>
      </c>
      <c r="BB33" s="7" t="s">
        <v>203</v>
      </c>
    </row>
    <row r="34" spans="1:54" x14ac:dyDescent="0.25">
      <c r="A34" s="43">
        <f t="shared" si="3"/>
        <v>242510139</v>
      </c>
      <c r="B34" s="59" t="s">
        <v>122</v>
      </c>
      <c r="C34" s="59" t="s">
        <v>116</v>
      </c>
      <c r="D34" s="59" t="s">
        <v>143</v>
      </c>
      <c r="E34" s="59" t="s">
        <v>47</v>
      </c>
      <c r="F34" s="59" t="s">
        <v>241</v>
      </c>
      <c r="G34" s="59" t="s">
        <v>278</v>
      </c>
      <c r="H34" s="59" t="s">
        <v>279</v>
      </c>
      <c r="I34" s="59" t="s">
        <v>210</v>
      </c>
      <c r="J34" s="59">
        <v>3.33</v>
      </c>
      <c r="K34" s="59">
        <v>3.33</v>
      </c>
      <c r="L34" s="59">
        <v>3.33</v>
      </c>
      <c r="M34" s="59">
        <v>3.33</v>
      </c>
      <c r="N34" s="59">
        <v>3.33</v>
      </c>
      <c r="O34" s="59">
        <v>3.33</v>
      </c>
      <c r="P34" s="59">
        <v>3.33</v>
      </c>
      <c r="Q34" s="59">
        <v>3.33</v>
      </c>
      <c r="R34" s="59">
        <v>3.33</v>
      </c>
      <c r="S34" s="59">
        <v>3.33</v>
      </c>
      <c r="T34" s="59">
        <v>3.33</v>
      </c>
      <c r="U34" s="59">
        <v>3.33</v>
      </c>
      <c r="V34" s="59">
        <v>3.33</v>
      </c>
      <c r="W34" s="59">
        <v>3.33</v>
      </c>
      <c r="X34" s="59">
        <v>3.33</v>
      </c>
      <c r="Y34" s="59">
        <v>3.33</v>
      </c>
      <c r="Z34" s="59">
        <v>3.33</v>
      </c>
      <c r="AA34" s="59">
        <v>3.33</v>
      </c>
      <c r="AB34" s="59">
        <v>3.33</v>
      </c>
      <c r="AC34" s="59">
        <v>3.33</v>
      </c>
      <c r="AD34" s="59">
        <v>3.33</v>
      </c>
      <c r="AE34" s="59">
        <v>3.33</v>
      </c>
      <c r="AF34" s="59">
        <v>0</v>
      </c>
      <c r="AG34" s="59">
        <v>3.33</v>
      </c>
      <c r="AH34" s="59">
        <v>3.33</v>
      </c>
      <c r="AI34" s="59">
        <v>3.33</v>
      </c>
      <c r="AJ34" s="59">
        <v>3.33</v>
      </c>
      <c r="AK34" s="59">
        <v>3.33</v>
      </c>
      <c r="AL34" s="59">
        <v>3.33</v>
      </c>
      <c r="AM34" s="59">
        <v>3.33</v>
      </c>
      <c r="AX34" s="6">
        <f t="shared" si="4"/>
        <v>29</v>
      </c>
      <c r="AY34" s="6">
        <f t="shared" si="0"/>
        <v>1</v>
      </c>
      <c r="AZ34" s="6">
        <f t="shared" si="1"/>
        <v>0</v>
      </c>
      <c r="BA34" s="6">
        <f t="shared" si="2"/>
        <v>30</v>
      </c>
      <c r="BB34" s="7" t="s">
        <v>203</v>
      </c>
    </row>
    <row r="35" spans="1:54" x14ac:dyDescent="0.25">
      <c r="A35" s="43">
        <f t="shared" si="3"/>
        <v>242510229</v>
      </c>
      <c r="B35" s="59" t="s">
        <v>122</v>
      </c>
      <c r="C35" s="59" t="s">
        <v>91</v>
      </c>
      <c r="D35" s="59" t="s">
        <v>148</v>
      </c>
      <c r="E35" s="59" t="s">
        <v>47</v>
      </c>
      <c r="F35" s="59" t="s">
        <v>241</v>
      </c>
      <c r="G35" s="59" t="s">
        <v>280</v>
      </c>
      <c r="H35" s="59" t="s">
        <v>219</v>
      </c>
      <c r="I35" s="59" t="s">
        <v>50</v>
      </c>
      <c r="J35" s="59">
        <v>3.33</v>
      </c>
      <c r="K35" s="59">
        <v>3.33</v>
      </c>
      <c r="L35" s="59">
        <v>3.33</v>
      </c>
      <c r="M35" s="59">
        <v>3.33</v>
      </c>
      <c r="N35" s="59">
        <v>3.33</v>
      </c>
      <c r="O35" s="59">
        <v>3.33</v>
      </c>
      <c r="P35" s="59">
        <v>3.33</v>
      </c>
      <c r="Q35" s="59">
        <v>3.33</v>
      </c>
      <c r="R35" s="59">
        <v>3.33</v>
      </c>
      <c r="S35" s="59">
        <v>3.33</v>
      </c>
      <c r="T35" s="59">
        <v>3.33</v>
      </c>
      <c r="U35" s="59">
        <v>3.33</v>
      </c>
      <c r="V35" s="59">
        <v>3.33</v>
      </c>
      <c r="W35" s="59">
        <v>3.33</v>
      </c>
      <c r="X35" s="59">
        <v>3.33</v>
      </c>
      <c r="Y35" s="59">
        <v>3.33</v>
      </c>
      <c r="Z35" s="59">
        <v>3.33</v>
      </c>
      <c r="AA35" s="59">
        <v>3.33</v>
      </c>
      <c r="AB35" s="59">
        <v>3.33</v>
      </c>
      <c r="AC35" s="59">
        <v>3.33</v>
      </c>
      <c r="AD35" s="59">
        <v>3.33</v>
      </c>
      <c r="AE35" s="59">
        <v>3.33</v>
      </c>
      <c r="AF35" s="59">
        <v>3.33</v>
      </c>
      <c r="AG35" s="59">
        <v>3.33</v>
      </c>
      <c r="AH35" s="59">
        <v>3.33</v>
      </c>
      <c r="AI35" s="59">
        <v>3.33</v>
      </c>
      <c r="AJ35" s="59">
        <v>3.33</v>
      </c>
      <c r="AK35" s="59">
        <v>3.33</v>
      </c>
      <c r="AL35" s="59">
        <v>3.33</v>
      </c>
      <c r="AM35" s="59">
        <v>3.33</v>
      </c>
      <c r="AX35" s="6">
        <f t="shared" si="4"/>
        <v>30</v>
      </c>
      <c r="AY35" s="6">
        <f t="shared" si="0"/>
        <v>0</v>
      </c>
      <c r="AZ35" s="6">
        <f t="shared" si="1"/>
        <v>0</v>
      </c>
      <c r="BA35" s="6">
        <f t="shared" si="2"/>
        <v>30</v>
      </c>
      <c r="BB35" s="7" t="s">
        <v>203</v>
      </c>
    </row>
    <row r="36" spans="1:54" x14ac:dyDescent="0.25">
      <c r="A36" s="43">
        <f t="shared" si="3"/>
        <v>242510050</v>
      </c>
      <c r="B36" s="59" t="s">
        <v>154</v>
      </c>
      <c r="C36" s="59" t="s">
        <v>60</v>
      </c>
      <c r="D36" s="59" t="s">
        <v>186</v>
      </c>
      <c r="E36" s="59" t="s">
        <v>47</v>
      </c>
      <c r="F36" s="59" t="s">
        <v>241</v>
      </c>
      <c r="G36" s="59" t="s">
        <v>242</v>
      </c>
      <c r="H36" s="59" t="s">
        <v>223</v>
      </c>
      <c r="I36" s="59" t="s">
        <v>48</v>
      </c>
      <c r="J36" s="59">
        <v>3.33</v>
      </c>
      <c r="K36" s="59">
        <v>3.33</v>
      </c>
      <c r="L36" s="59">
        <v>3.33</v>
      </c>
      <c r="M36" s="59">
        <v>3.33</v>
      </c>
      <c r="N36" s="59">
        <v>3.33</v>
      </c>
      <c r="O36" s="59">
        <v>3.33</v>
      </c>
      <c r="P36" s="59">
        <v>3.33</v>
      </c>
      <c r="Q36" s="59">
        <v>0</v>
      </c>
      <c r="R36" s="59">
        <v>3.33</v>
      </c>
      <c r="S36" s="59">
        <v>3.33</v>
      </c>
      <c r="T36" s="59">
        <v>3.33</v>
      </c>
      <c r="U36" s="59">
        <v>3.33</v>
      </c>
      <c r="V36" s="59">
        <v>3.33</v>
      </c>
      <c r="W36" s="59">
        <v>3.33</v>
      </c>
      <c r="X36" s="59">
        <v>0</v>
      </c>
      <c r="Y36" s="59">
        <v>0</v>
      </c>
      <c r="Z36" s="59">
        <v>3.33</v>
      </c>
      <c r="AA36" s="59">
        <v>0</v>
      </c>
      <c r="AB36" s="59">
        <v>3.33</v>
      </c>
      <c r="AC36" s="59">
        <v>3.33</v>
      </c>
      <c r="AD36" s="59">
        <v>3.33</v>
      </c>
      <c r="AE36" s="59">
        <v>0</v>
      </c>
      <c r="AF36" s="59">
        <v>0</v>
      </c>
      <c r="AG36" s="59">
        <v>3.33</v>
      </c>
      <c r="AH36" s="59">
        <v>3.33</v>
      </c>
      <c r="AI36" s="59">
        <v>3.33</v>
      </c>
      <c r="AJ36" s="59">
        <v>3.33</v>
      </c>
      <c r="AK36" s="59">
        <v>3.33</v>
      </c>
      <c r="AL36" s="59">
        <v>3.33</v>
      </c>
      <c r="AM36" s="59">
        <v>3.33</v>
      </c>
      <c r="AX36" s="6">
        <f t="shared" si="4"/>
        <v>24</v>
      </c>
      <c r="AY36" s="6">
        <f t="shared" si="0"/>
        <v>6</v>
      </c>
      <c r="AZ36" s="6">
        <f t="shared" si="1"/>
        <v>0</v>
      </c>
      <c r="BA36" s="6">
        <f t="shared" si="2"/>
        <v>30</v>
      </c>
      <c r="BB36" s="7" t="s">
        <v>203</v>
      </c>
    </row>
    <row r="37" spans="1:54" x14ac:dyDescent="0.25">
      <c r="A37" s="43">
        <f t="shared" si="3"/>
        <v>242510296</v>
      </c>
      <c r="B37" s="59" t="s">
        <v>154</v>
      </c>
      <c r="C37" s="59" t="s">
        <v>53</v>
      </c>
      <c r="D37" s="59" t="s">
        <v>179</v>
      </c>
      <c r="E37" s="59" t="s">
        <v>47</v>
      </c>
      <c r="F37" s="59" t="s">
        <v>241</v>
      </c>
      <c r="G37" s="59" t="s">
        <v>280</v>
      </c>
      <c r="H37" s="59" t="s">
        <v>218</v>
      </c>
      <c r="I37" s="59" t="s">
        <v>48</v>
      </c>
      <c r="J37" s="59">
        <v>0</v>
      </c>
      <c r="K37" s="59">
        <v>3.33</v>
      </c>
      <c r="L37" s="59">
        <v>3.33</v>
      </c>
      <c r="M37" s="59">
        <v>3.33</v>
      </c>
      <c r="N37" s="59">
        <v>3.33</v>
      </c>
      <c r="O37" s="59">
        <v>0</v>
      </c>
      <c r="P37" s="59">
        <v>3.33</v>
      </c>
      <c r="Q37" s="59">
        <v>0</v>
      </c>
      <c r="R37" s="59">
        <v>3.33</v>
      </c>
      <c r="S37" s="59">
        <v>3.33</v>
      </c>
      <c r="T37" s="59">
        <v>3.33</v>
      </c>
      <c r="U37" s="59">
        <v>3.33</v>
      </c>
      <c r="V37" s="59">
        <v>3.33</v>
      </c>
      <c r="W37" s="59">
        <v>3.33</v>
      </c>
      <c r="X37" s="59">
        <v>3.33</v>
      </c>
      <c r="Y37" s="59">
        <v>3.33</v>
      </c>
      <c r="Z37" s="59">
        <v>0</v>
      </c>
      <c r="AA37" s="59">
        <v>0</v>
      </c>
      <c r="AB37" s="59">
        <v>3.33</v>
      </c>
      <c r="AC37" s="59">
        <v>3.33</v>
      </c>
      <c r="AD37" s="59">
        <v>3.33</v>
      </c>
      <c r="AE37" s="59">
        <v>0</v>
      </c>
      <c r="AF37" s="59">
        <v>3.33</v>
      </c>
      <c r="AG37" s="59">
        <v>3.33</v>
      </c>
      <c r="AH37" s="59">
        <v>3.33</v>
      </c>
      <c r="AI37" s="59">
        <v>3.33</v>
      </c>
      <c r="AJ37" s="59">
        <v>3.33</v>
      </c>
      <c r="AK37" s="59">
        <v>3.33</v>
      </c>
      <c r="AL37" s="59">
        <v>3.33</v>
      </c>
      <c r="AM37" s="59">
        <v>3.33</v>
      </c>
      <c r="AX37" s="6">
        <f t="shared" si="4"/>
        <v>24</v>
      </c>
      <c r="AY37" s="6">
        <f t="shared" si="0"/>
        <v>6</v>
      </c>
      <c r="AZ37" s="6">
        <f t="shared" si="1"/>
        <v>0</v>
      </c>
      <c r="BA37" s="6">
        <f t="shared" si="2"/>
        <v>30</v>
      </c>
      <c r="BB37" s="7" t="s">
        <v>203</v>
      </c>
    </row>
    <row r="38" spans="1:54" x14ac:dyDescent="0.25">
      <c r="A38" s="43">
        <f t="shared" si="3"/>
        <v>242510094</v>
      </c>
      <c r="B38" s="59" t="s">
        <v>122</v>
      </c>
      <c r="C38" s="59" t="s">
        <v>111</v>
      </c>
      <c r="D38" s="59" t="s">
        <v>129</v>
      </c>
      <c r="E38" s="59" t="s">
        <v>47</v>
      </c>
      <c r="F38" s="59" t="s">
        <v>241</v>
      </c>
      <c r="G38" s="59" t="s">
        <v>262</v>
      </c>
      <c r="H38" s="59" t="s">
        <v>281</v>
      </c>
      <c r="I38" s="59" t="s">
        <v>50</v>
      </c>
      <c r="J38" s="59">
        <v>3.33</v>
      </c>
      <c r="K38" s="59">
        <v>3.33</v>
      </c>
      <c r="L38" s="59">
        <v>3.33</v>
      </c>
      <c r="M38" s="59">
        <v>3.33</v>
      </c>
      <c r="N38" s="59">
        <v>3.33</v>
      </c>
      <c r="O38" s="59">
        <v>3.33</v>
      </c>
      <c r="P38" s="59">
        <v>3.33</v>
      </c>
      <c r="Q38" s="59">
        <v>3.33</v>
      </c>
      <c r="R38" s="59">
        <v>3.33</v>
      </c>
      <c r="S38" s="59">
        <v>3.33</v>
      </c>
      <c r="T38" s="59">
        <v>3.33</v>
      </c>
      <c r="U38" s="59">
        <v>3.33</v>
      </c>
      <c r="V38" s="59">
        <v>3.33</v>
      </c>
      <c r="W38" s="59">
        <v>3.33</v>
      </c>
      <c r="X38" s="59">
        <v>3.33</v>
      </c>
      <c r="Y38" s="59">
        <v>3.33</v>
      </c>
      <c r="Z38" s="59">
        <v>3.33</v>
      </c>
      <c r="AA38" s="59">
        <v>3.33</v>
      </c>
      <c r="AB38" s="59">
        <v>3.33</v>
      </c>
      <c r="AC38" s="59">
        <v>3.33</v>
      </c>
      <c r="AD38" s="59">
        <v>3.33</v>
      </c>
      <c r="AE38" s="59">
        <v>3.33</v>
      </c>
      <c r="AF38" s="59">
        <v>3.33</v>
      </c>
      <c r="AG38" s="59">
        <v>3.33</v>
      </c>
      <c r="AH38" s="59">
        <v>3.33</v>
      </c>
      <c r="AI38" s="59">
        <v>3.33</v>
      </c>
      <c r="AJ38" s="59">
        <v>3.33</v>
      </c>
      <c r="AK38" s="59">
        <v>3.33</v>
      </c>
      <c r="AL38" s="59">
        <v>3.33</v>
      </c>
      <c r="AM38" s="59">
        <v>3.33</v>
      </c>
      <c r="AX38" s="6">
        <f t="shared" si="4"/>
        <v>30</v>
      </c>
      <c r="AY38" s="6">
        <f t="shared" si="0"/>
        <v>0</v>
      </c>
      <c r="AZ38" s="6">
        <f t="shared" si="1"/>
        <v>0</v>
      </c>
      <c r="BA38" s="6">
        <f t="shared" si="2"/>
        <v>30</v>
      </c>
      <c r="BB38" s="7" t="s">
        <v>203</v>
      </c>
    </row>
    <row r="39" spans="1:54" x14ac:dyDescent="0.25">
      <c r="A39" s="43">
        <f t="shared" si="3"/>
        <v>242510137</v>
      </c>
      <c r="B39" s="59" t="s">
        <v>122</v>
      </c>
      <c r="C39" s="59" t="s">
        <v>115</v>
      </c>
      <c r="D39" s="59" t="s">
        <v>123</v>
      </c>
      <c r="E39" s="59" t="s">
        <v>47</v>
      </c>
      <c r="F39" s="59" t="s">
        <v>241</v>
      </c>
      <c r="G39" s="59" t="s">
        <v>260</v>
      </c>
      <c r="H39" s="59" t="s">
        <v>282</v>
      </c>
      <c r="I39" s="59" t="s">
        <v>48</v>
      </c>
      <c r="J39" s="59">
        <v>3.33</v>
      </c>
      <c r="K39" s="59">
        <v>3.33</v>
      </c>
      <c r="L39" s="59">
        <v>3.33</v>
      </c>
      <c r="M39" s="59">
        <v>3.33</v>
      </c>
      <c r="N39" s="59">
        <v>0</v>
      </c>
      <c r="O39" s="59">
        <v>3.33</v>
      </c>
      <c r="P39" s="59">
        <v>3.33</v>
      </c>
      <c r="Q39" s="59">
        <v>0</v>
      </c>
      <c r="R39" s="59">
        <v>3.33</v>
      </c>
      <c r="S39" s="59">
        <v>0</v>
      </c>
      <c r="T39" s="59">
        <v>3.33</v>
      </c>
      <c r="U39" s="59">
        <v>3.33</v>
      </c>
      <c r="V39" s="59">
        <v>3.33</v>
      </c>
      <c r="W39" s="59">
        <v>3.33</v>
      </c>
      <c r="X39" s="59">
        <v>3.33</v>
      </c>
      <c r="Y39" s="59">
        <v>3.33</v>
      </c>
      <c r="Z39" s="59">
        <v>3.33</v>
      </c>
      <c r="AA39" s="59">
        <v>3.33</v>
      </c>
      <c r="AB39" s="59">
        <v>3.33</v>
      </c>
      <c r="AC39" s="59">
        <v>3.33</v>
      </c>
      <c r="AD39" s="59">
        <v>3.33</v>
      </c>
      <c r="AE39" s="59">
        <v>0</v>
      </c>
      <c r="AF39" s="59">
        <v>0</v>
      </c>
      <c r="AG39" s="59">
        <v>3.33</v>
      </c>
      <c r="AH39" s="59">
        <v>3.33</v>
      </c>
      <c r="AI39" s="59">
        <v>3.33</v>
      </c>
      <c r="AJ39" s="59">
        <v>3.33</v>
      </c>
      <c r="AK39" s="59">
        <v>0</v>
      </c>
      <c r="AL39" s="59">
        <v>3.33</v>
      </c>
      <c r="AM39" s="59">
        <v>3.33</v>
      </c>
      <c r="AX39" s="6">
        <f t="shared" si="4"/>
        <v>24</v>
      </c>
      <c r="AY39" s="6">
        <f t="shared" si="0"/>
        <v>6</v>
      </c>
      <c r="AZ39" s="6">
        <f t="shared" si="1"/>
        <v>0</v>
      </c>
      <c r="BA39" s="6">
        <f t="shared" si="2"/>
        <v>30</v>
      </c>
      <c r="BB39" s="7" t="s">
        <v>203</v>
      </c>
    </row>
    <row r="40" spans="1:54" x14ac:dyDescent="0.25">
      <c r="A40" s="43">
        <f t="shared" si="3"/>
        <v>242510077</v>
      </c>
      <c r="B40" s="59" t="s">
        <v>154</v>
      </c>
      <c r="C40" s="59" t="s">
        <v>52</v>
      </c>
      <c r="D40" s="59" t="s">
        <v>176</v>
      </c>
      <c r="E40" s="59" t="s">
        <v>47</v>
      </c>
      <c r="F40" s="59" t="s">
        <v>241</v>
      </c>
      <c r="G40" s="59" t="s">
        <v>242</v>
      </c>
      <c r="H40" s="59" t="s">
        <v>283</v>
      </c>
      <c r="I40" s="59" t="s">
        <v>50</v>
      </c>
      <c r="J40" s="59">
        <v>3.33</v>
      </c>
      <c r="K40" s="59">
        <v>3.33</v>
      </c>
      <c r="L40" s="59">
        <v>3.33</v>
      </c>
      <c r="M40" s="59">
        <v>3.33</v>
      </c>
      <c r="N40" s="59">
        <v>3.33</v>
      </c>
      <c r="O40" s="59">
        <v>3.33</v>
      </c>
      <c r="P40" s="59">
        <v>3.33</v>
      </c>
      <c r="Q40" s="59">
        <v>3.33</v>
      </c>
      <c r="R40" s="59">
        <v>3.33</v>
      </c>
      <c r="S40" s="59">
        <v>3.33</v>
      </c>
      <c r="T40" s="59">
        <v>3.33</v>
      </c>
      <c r="U40" s="59">
        <v>3.33</v>
      </c>
      <c r="V40" s="59">
        <v>3.33</v>
      </c>
      <c r="W40" s="59">
        <v>3.33</v>
      </c>
      <c r="X40" s="59">
        <v>3.33</v>
      </c>
      <c r="Y40" s="59">
        <v>3.33</v>
      </c>
      <c r="Z40" s="59">
        <v>3.33</v>
      </c>
      <c r="AA40" s="59">
        <v>3.33</v>
      </c>
      <c r="AB40" s="59">
        <v>3.33</v>
      </c>
      <c r="AC40" s="59">
        <v>3.33</v>
      </c>
      <c r="AD40" s="59">
        <v>3.33</v>
      </c>
      <c r="AE40" s="59">
        <v>3.33</v>
      </c>
      <c r="AF40" s="59">
        <v>3.33</v>
      </c>
      <c r="AG40" s="59">
        <v>3.33</v>
      </c>
      <c r="AH40" s="59">
        <v>3.33</v>
      </c>
      <c r="AI40" s="59">
        <v>3.33</v>
      </c>
      <c r="AJ40" s="59">
        <v>3.33</v>
      </c>
      <c r="AK40" s="59">
        <v>3.33</v>
      </c>
      <c r="AL40" s="59">
        <v>3.33</v>
      </c>
      <c r="AM40" s="59">
        <v>3.33</v>
      </c>
      <c r="AX40" s="6">
        <f t="shared" si="4"/>
        <v>30</v>
      </c>
      <c r="AY40" s="6">
        <f t="shared" si="0"/>
        <v>0</v>
      </c>
      <c r="AZ40" s="6">
        <f t="shared" si="1"/>
        <v>0</v>
      </c>
      <c r="BA40" s="6">
        <f t="shared" si="2"/>
        <v>30</v>
      </c>
      <c r="BB40" s="7" t="s">
        <v>203</v>
      </c>
    </row>
    <row r="41" spans="1:54" x14ac:dyDescent="0.25">
      <c r="A41" s="43">
        <f t="shared" si="3"/>
        <v>242510037</v>
      </c>
      <c r="B41" s="59" t="s">
        <v>154</v>
      </c>
      <c r="C41" s="59" t="s">
        <v>84</v>
      </c>
      <c r="D41" s="59" t="s">
        <v>164</v>
      </c>
      <c r="E41" s="59" t="s">
        <v>47</v>
      </c>
      <c r="F41" s="59" t="s">
        <v>241</v>
      </c>
      <c r="G41" s="59" t="s">
        <v>245</v>
      </c>
      <c r="H41" s="59" t="s">
        <v>284</v>
      </c>
      <c r="I41" s="59" t="s">
        <v>212</v>
      </c>
      <c r="J41" s="59">
        <v>3.33</v>
      </c>
      <c r="K41" s="59">
        <v>3.33</v>
      </c>
      <c r="L41" s="59">
        <v>3.33</v>
      </c>
      <c r="M41" s="59">
        <v>3.33</v>
      </c>
      <c r="N41" s="59">
        <v>3.33</v>
      </c>
      <c r="O41" s="59">
        <v>0</v>
      </c>
      <c r="P41" s="59">
        <v>3.33</v>
      </c>
      <c r="Q41" s="59">
        <v>0</v>
      </c>
      <c r="R41" s="59">
        <v>3.33</v>
      </c>
      <c r="S41" s="59">
        <v>3.33</v>
      </c>
      <c r="T41" s="59">
        <v>0</v>
      </c>
      <c r="U41" s="59">
        <v>0</v>
      </c>
      <c r="V41" s="59">
        <v>3.33</v>
      </c>
      <c r="W41" s="59">
        <v>3.33</v>
      </c>
      <c r="X41" s="59">
        <v>0</v>
      </c>
      <c r="Y41" s="59">
        <v>3.33</v>
      </c>
      <c r="Z41" s="59">
        <v>3.33</v>
      </c>
      <c r="AA41" s="59">
        <v>3.33</v>
      </c>
      <c r="AB41" s="59">
        <v>3.33</v>
      </c>
      <c r="AC41" s="59">
        <v>3.33</v>
      </c>
      <c r="AD41" s="59">
        <v>3.33</v>
      </c>
      <c r="AE41" s="59">
        <v>3.33</v>
      </c>
      <c r="AF41" s="59">
        <v>3.33</v>
      </c>
      <c r="AG41" s="59">
        <v>3.33</v>
      </c>
      <c r="AH41" s="59">
        <v>3.33</v>
      </c>
      <c r="AI41" s="59">
        <v>3.33</v>
      </c>
      <c r="AJ41" s="59">
        <v>3.33</v>
      </c>
      <c r="AK41" s="59">
        <v>3.33</v>
      </c>
      <c r="AL41" s="59">
        <v>3.33</v>
      </c>
      <c r="AM41" s="59">
        <v>3.33</v>
      </c>
      <c r="AX41" s="6">
        <f t="shared" si="4"/>
        <v>25</v>
      </c>
      <c r="AY41" s="6">
        <f t="shared" si="0"/>
        <v>5</v>
      </c>
      <c r="AZ41" s="6">
        <f t="shared" si="1"/>
        <v>0</v>
      </c>
      <c r="BA41" s="6">
        <f t="shared" si="2"/>
        <v>30</v>
      </c>
      <c r="BB41" s="7" t="s">
        <v>203</v>
      </c>
    </row>
    <row r="42" spans="1:54" x14ac:dyDescent="0.25">
      <c r="A42" s="43">
        <f t="shared" si="3"/>
        <v>242510029</v>
      </c>
      <c r="B42" s="59" t="s">
        <v>154</v>
      </c>
      <c r="C42" s="59" t="s">
        <v>75</v>
      </c>
      <c r="D42" s="59" t="s">
        <v>173</v>
      </c>
      <c r="E42" s="59" t="s">
        <v>47</v>
      </c>
      <c r="F42" s="59" t="s">
        <v>241</v>
      </c>
      <c r="G42" s="59" t="s">
        <v>285</v>
      </c>
      <c r="H42" s="59" t="s">
        <v>286</v>
      </c>
      <c r="I42" s="59" t="s">
        <v>209</v>
      </c>
      <c r="J42" s="59">
        <v>3.33</v>
      </c>
      <c r="K42" s="59">
        <v>3.33</v>
      </c>
      <c r="L42" s="59">
        <v>3.33</v>
      </c>
      <c r="M42" s="59">
        <v>3.33</v>
      </c>
      <c r="N42" s="59">
        <v>3.33</v>
      </c>
      <c r="O42" s="59">
        <v>3.33</v>
      </c>
      <c r="P42" s="59">
        <v>3.33</v>
      </c>
      <c r="Q42" s="59">
        <v>3.33</v>
      </c>
      <c r="R42" s="59">
        <v>3.33</v>
      </c>
      <c r="S42" s="59">
        <v>3.33</v>
      </c>
      <c r="T42" s="59">
        <v>3.33</v>
      </c>
      <c r="U42" s="59">
        <v>3.33</v>
      </c>
      <c r="V42" s="59">
        <v>3.33</v>
      </c>
      <c r="W42" s="59">
        <v>3.33</v>
      </c>
      <c r="X42" s="59">
        <v>3.33</v>
      </c>
      <c r="Y42" s="59">
        <v>3.33</v>
      </c>
      <c r="Z42" s="59">
        <v>3.33</v>
      </c>
      <c r="AA42" s="59">
        <v>0</v>
      </c>
      <c r="AB42" s="59">
        <v>3.33</v>
      </c>
      <c r="AC42" s="59">
        <v>3.33</v>
      </c>
      <c r="AD42" s="59">
        <v>3.33</v>
      </c>
      <c r="AE42" s="59">
        <v>3.33</v>
      </c>
      <c r="AF42" s="59">
        <v>0</v>
      </c>
      <c r="AG42" s="59">
        <v>3.33</v>
      </c>
      <c r="AH42" s="59">
        <v>3.33</v>
      </c>
      <c r="AI42" s="59">
        <v>3.33</v>
      </c>
      <c r="AJ42" s="59">
        <v>3.33</v>
      </c>
      <c r="AK42" s="59">
        <v>3.33</v>
      </c>
      <c r="AL42" s="59">
        <v>3.33</v>
      </c>
      <c r="AM42" s="59">
        <v>3.33</v>
      </c>
      <c r="AX42" s="6">
        <f t="shared" si="4"/>
        <v>28</v>
      </c>
      <c r="AY42" s="6">
        <f t="shared" si="0"/>
        <v>2</v>
      </c>
      <c r="AZ42" s="6">
        <f t="shared" si="1"/>
        <v>0</v>
      </c>
      <c r="BA42" s="6">
        <f t="shared" si="2"/>
        <v>30</v>
      </c>
      <c r="BB42" s="7" t="s">
        <v>203</v>
      </c>
    </row>
    <row r="43" spans="1:54" x14ac:dyDescent="0.25">
      <c r="A43" s="43">
        <f t="shared" si="3"/>
        <v>242510136</v>
      </c>
      <c r="B43" s="59" t="s">
        <v>122</v>
      </c>
      <c r="C43" s="59" t="s">
        <v>113</v>
      </c>
      <c r="D43" s="59" t="s">
        <v>147</v>
      </c>
      <c r="E43" s="59" t="s">
        <v>47</v>
      </c>
      <c r="F43" s="59" t="s">
        <v>241</v>
      </c>
      <c r="G43" s="59" t="s">
        <v>287</v>
      </c>
      <c r="H43" s="59" t="s">
        <v>288</v>
      </c>
      <c r="I43" s="59" t="s">
        <v>269</v>
      </c>
      <c r="J43" s="59">
        <v>3.33</v>
      </c>
      <c r="K43" s="59">
        <v>3.33</v>
      </c>
      <c r="L43" s="59">
        <v>3.33</v>
      </c>
      <c r="M43" s="59">
        <v>3.33</v>
      </c>
      <c r="N43" s="59">
        <v>3.33</v>
      </c>
      <c r="O43" s="59">
        <v>0</v>
      </c>
      <c r="P43" s="59">
        <v>3.33</v>
      </c>
      <c r="Q43" s="59">
        <v>0</v>
      </c>
      <c r="R43" s="59">
        <v>0</v>
      </c>
      <c r="S43" s="59">
        <v>3.33</v>
      </c>
      <c r="T43" s="59">
        <v>0</v>
      </c>
      <c r="U43" s="59">
        <v>0</v>
      </c>
      <c r="V43" s="59">
        <v>3.33</v>
      </c>
      <c r="W43" s="59">
        <v>3.33</v>
      </c>
      <c r="X43" s="59">
        <v>0</v>
      </c>
      <c r="Y43" s="59">
        <v>3.33</v>
      </c>
      <c r="Z43" s="59">
        <v>3.33</v>
      </c>
      <c r="AA43" s="59">
        <v>0</v>
      </c>
      <c r="AB43" s="59">
        <v>3.33</v>
      </c>
      <c r="AC43" s="59">
        <v>0</v>
      </c>
      <c r="AD43" s="59">
        <v>3.33</v>
      </c>
      <c r="AE43" s="59">
        <v>0</v>
      </c>
      <c r="AF43" s="59">
        <v>0</v>
      </c>
      <c r="AG43" s="59">
        <v>3.33</v>
      </c>
      <c r="AH43" s="59">
        <v>3.33</v>
      </c>
      <c r="AI43" s="59">
        <v>3.33</v>
      </c>
      <c r="AJ43" s="59">
        <v>0</v>
      </c>
      <c r="AK43" s="59">
        <v>3.33</v>
      </c>
      <c r="AL43" s="59">
        <v>3.33</v>
      </c>
      <c r="AM43" s="59">
        <v>3.33</v>
      </c>
      <c r="AX43" s="6">
        <f t="shared" si="4"/>
        <v>19</v>
      </c>
      <c r="AY43" s="6">
        <f t="shared" si="0"/>
        <v>11</v>
      </c>
      <c r="AZ43" s="6">
        <f t="shared" si="1"/>
        <v>0</v>
      </c>
      <c r="BA43" s="6">
        <f t="shared" si="2"/>
        <v>30</v>
      </c>
      <c r="BB43" s="7" t="s">
        <v>203</v>
      </c>
    </row>
    <row r="44" spans="1:54" x14ac:dyDescent="0.25">
      <c r="A44" s="43">
        <f t="shared" si="3"/>
        <v>252611399</v>
      </c>
      <c r="B44" s="59" t="s">
        <v>154</v>
      </c>
      <c r="C44" s="59" t="s">
        <v>61</v>
      </c>
      <c r="D44" s="59" t="s">
        <v>189</v>
      </c>
      <c r="E44" s="59" t="s">
        <v>47</v>
      </c>
      <c r="F44" s="59" t="s">
        <v>289</v>
      </c>
      <c r="G44" s="59" t="s">
        <v>280</v>
      </c>
      <c r="H44" s="59" t="s">
        <v>229</v>
      </c>
      <c r="I44" s="59" t="s">
        <v>215</v>
      </c>
      <c r="J44" s="59">
        <v>3.33</v>
      </c>
      <c r="K44" s="59">
        <v>3.33</v>
      </c>
      <c r="L44" s="59">
        <v>3.33</v>
      </c>
      <c r="M44" s="59">
        <v>3.33</v>
      </c>
      <c r="N44" s="59">
        <v>3.33</v>
      </c>
      <c r="O44" s="59">
        <v>0</v>
      </c>
      <c r="P44" s="59">
        <v>3.33</v>
      </c>
      <c r="Q44" s="59">
        <v>3.33</v>
      </c>
      <c r="R44" s="59">
        <v>3.33</v>
      </c>
      <c r="S44" s="59">
        <v>0</v>
      </c>
      <c r="T44" s="59">
        <v>3.33</v>
      </c>
      <c r="U44" s="59">
        <v>0</v>
      </c>
      <c r="V44" s="59">
        <v>3.33</v>
      </c>
      <c r="W44" s="59">
        <v>3.33</v>
      </c>
      <c r="X44" s="59">
        <v>0</v>
      </c>
      <c r="Y44" s="59">
        <v>3.33</v>
      </c>
      <c r="Z44" s="59">
        <v>3.33</v>
      </c>
      <c r="AA44" s="59">
        <v>0</v>
      </c>
      <c r="AB44" s="59">
        <v>3.33</v>
      </c>
      <c r="AC44" s="59">
        <v>3.33</v>
      </c>
      <c r="AD44" s="59">
        <v>3.33</v>
      </c>
      <c r="AE44" s="59">
        <v>3.33</v>
      </c>
      <c r="AF44" s="59">
        <v>0</v>
      </c>
      <c r="AG44" s="59">
        <v>3.33</v>
      </c>
      <c r="AH44" s="59">
        <v>3.33</v>
      </c>
      <c r="AI44" s="59">
        <v>3.33</v>
      </c>
      <c r="AJ44" s="59">
        <v>3.33</v>
      </c>
      <c r="AK44" s="59">
        <v>0</v>
      </c>
      <c r="AL44" s="59">
        <v>3.33</v>
      </c>
      <c r="AM44" s="59">
        <v>3.33</v>
      </c>
      <c r="AX44" s="6">
        <f t="shared" si="4"/>
        <v>23</v>
      </c>
      <c r="AY44" s="6">
        <f t="shared" si="0"/>
        <v>7</v>
      </c>
      <c r="AZ44" s="6">
        <f t="shared" si="1"/>
        <v>0</v>
      </c>
      <c r="BA44" s="6">
        <f t="shared" si="2"/>
        <v>30</v>
      </c>
      <c r="BB44" s="7" t="s">
        <v>203</v>
      </c>
    </row>
    <row r="45" spans="1:54" x14ac:dyDescent="0.25">
      <c r="A45" s="43">
        <f t="shared" si="3"/>
        <v>242510274</v>
      </c>
      <c r="B45" s="59" t="s">
        <v>122</v>
      </c>
      <c r="C45" s="59" t="s">
        <v>103</v>
      </c>
      <c r="D45" s="59" t="s">
        <v>149</v>
      </c>
      <c r="E45" s="59" t="s">
        <v>47</v>
      </c>
      <c r="F45" s="59" t="s">
        <v>289</v>
      </c>
      <c r="G45" s="59" t="s">
        <v>287</v>
      </c>
      <c r="H45" s="59" t="s">
        <v>224</v>
      </c>
      <c r="I45" s="59" t="s">
        <v>209</v>
      </c>
      <c r="J45" s="59">
        <v>3.33</v>
      </c>
      <c r="K45" s="59">
        <v>3.33</v>
      </c>
      <c r="L45" s="59">
        <v>3.33</v>
      </c>
      <c r="M45" s="59">
        <v>3.33</v>
      </c>
      <c r="N45" s="59">
        <v>3.33</v>
      </c>
      <c r="O45" s="59">
        <v>3.33</v>
      </c>
      <c r="P45" s="59">
        <v>3.33</v>
      </c>
      <c r="Q45" s="59">
        <v>3.33</v>
      </c>
      <c r="R45" s="59">
        <v>3.33</v>
      </c>
      <c r="S45" s="59">
        <v>3.33</v>
      </c>
      <c r="T45" s="59">
        <v>3.33</v>
      </c>
      <c r="U45" s="59">
        <v>3.33</v>
      </c>
      <c r="V45" s="59">
        <v>3.33</v>
      </c>
      <c r="W45" s="59">
        <v>3.33</v>
      </c>
      <c r="X45" s="59">
        <v>3.33</v>
      </c>
      <c r="Y45" s="59">
        <v>0</v>
      </c>
      <c r="Z45" s="59">
        <v>3.33</v>
      </c>
      <c r="AA45" s="59">
        <v>0</v>
      </c>
      <c r="AB45" s="59">
        <v>3.33</v>
      </c>
      <c r="AC45" s="59">
        <v>3.33</v>
      </c>
      <c r="AD45" s="59">
        <v>3.33</v>
      </c>
      <c r="AE45" s="59">
        <v>3.33</v>
      </c>
      <c r="AF45" s="59">
        <v>3.33</v>
      </c>
      <c r="AG45" s="59">
        <v>3.33</v>
      </c>
      <c r="AH45" s="59">
        <v>3.33</v>
      </c>
      <c r="AI45" s="59">
        <v>3.33</v>
      </c>
      <c r="AJ45" s="59">
        <v>3.33</v>
      </c>
      <c r="AK45" s="59">
        <v>3.33</v>
      </c>
      <c r="AL45" s="59">
        <v>3.33</v>
      </c>
      <c r="AM45" s="59">
        <v>3.33</v>
      </c>
      <c r="AX45" s="6">
        <f t="shared" si="4"/>
        <v>28</v>
      </c>
      <c r="AY45" s="6">
        <f t="shared" si="0"/>
        <v>2</v>
      </c>
      <c r="AZ45" s="6">
        <f t="shared" si="1"/>
        <v>0</v>
      </c>
      <c r="BA45" s="6">
        <f t="shared" si="2"/>
        <v>30</v>
      </c>
      <c r="BB45" s="7" t="s">
        <v>203</v>
      </c>
    </row>
    <row r="46" spans="1:54" x14ac:dyDescent="0.25">
      <c r="A46" s="43">
        <f t="shared" si="3"/>
        <v>242510383</v>
      </c>
      <c r="B46" s="59" t="s">
        <v>122</v>
      </c>
      <c r="C46" s="59" t="s">
        <v>106</v>
      </c>
      <c r="D46" s="59" t="s">
        <v>137</v>
      </c>
      <c r="E46" s="59" t="s">
        <v>47</v>
      </c>
      <c r="F46" s="59" t="s">
        <v>289</v>
      </c>
      <c r="G46" s="59" t="s">
        <v>290</v>
      </c>
      <c r="H46" s="59" t="s">
        <v>291</v>
      </c>
      <c r="I46" s="59" t="s">
        <v>50</v>
      </c>
      <c r="J46" s="59">
        <v>3.33</v>
      </c>
      <c r="K46" s="59">
        <v>3.33</v>
      </c>
      <c r="L46" s="59">
        <v>3.33</v>
      </c>
      <c r="M46" s="59">
        <v>3.33</v>
      </c>
      <c r="N46" s="59">
        <v>3.33</v>
      </c>
      <c r="O46" s="59">
        <v>3.33</v>
      </c>
      <c r="P46" s="59">
        <v>3.33</v>
      </c>
      <c r="Q46" s="59">
        <v>3.33</v>
      </c>
      <c r="R46" s="59">
        <v>3.33</v>
      </c>
      <c r="S46" s="59">
        <v>3.33</v>
      </c>
      <c r="T46" s="59">
        <v>3.33</v>
      </c>
      <c r="U46" s="59">
        <v>3.33</v>
      </c>
      <c r="V46" s="59">
        <v>3.33</v>
      </c>
      <c r="W46" s="59">
        <v>3.33</v>
      </c>
      <c r="X46" s="59">
        <v>3.33</v>
      </c>
      <c r="Y46" s="59">
        <v>3.33</v>
      </c>
      <c r="Z46" s="59">
        <v>3.33</v>
      </c>
      <c r="AA46" s="59">
        <v>3.33</v>
      </c>
      <c r="AB46" s="59">
        <v>3.33</v>
      </c>
      <c r="AC46" s="59">
        <v>3.33</v>
      </c>
      <c r="AD46" s="59">
        <v>3.33</v>
      </c>
      <c r="AE46" s="59">
        <v>3.33</v>
      </c>
      <c r="AF46" s="59">
        <v>3.33</v>
      </c>
      <c r="AG46" s="59">
        <v>3.33</v>
      </c>
      <c r="AH46" s="59">
        <v>3.33</v>
      </c>
      <c r="AI46" s="59">
        <v>3.33</v>
      </c>
      <c r="AJ46" s="59">
        <v>3.33</v>
      </c>
      <c r="AK46" s="59">
        <v>3.33</v>
      </c>
      <c r="AL46" s="59">
        <v>3.33</v>
      </c>
      <c r="AM46" s="59">
        <v>3.33</v>
      </c>
      <c r="AX46" s="6">
        <f t="shared" si="4"/>
        <v>30</v>
      </c>
      <c r="AY46" s="6">
        <f t="shared" si="0"/>
        <v>0</v>
      </c>
      <c r="AZ46" s="6">
        <f t="shared" si="1"/>
        <v>0</v>
      </c>
      <c r="BA46" s="6">
        <f t="shared" si="2"/>
        <v>30</v>
      </c>
      <c r="BB46" s="7" t="s">
        <v>203</v>
      </c>
    </row>
    <row r="47" spans="1:54" x14ac:dyDescent="0.25">
      <c r="A47" s="43">
        <f t="shared" si="3"/>
        <v>242510388</v>
      </c>
      <c r="B47" s="59" t="s">
        <v>122</v>
      </c>
      <c r="C47" s="59" t="s">
        <v>109</v>
      </c>
      <c r="D47" s="59" t="s">
        <v>140</v>
      </c>
      <c r="E47" s="59" t="s">
        <v>47</v>
      </c>
      <c r="F47" s="59" t="s">
        <v>289</v>
      </c>
      <c r="G47" s="59" t="s">
        <v>245</v>
      </c>
      <c r="H47" s="59" t="s">
        <v>226</v>
      </c>
      <c r="I47" s="59" t="s">
        <v>48</v>
      </c>
      <c r="J47" s="59">
        <v>3.33</v>
      </c>
      <c r="K47" s="59">
        <v>3.33</v>
      </c>
      <c r="L47" s="59">
        <v>3.33</v>
      </c>
      <c r="M47" s="59">
        <v>3.33</v>
      </c>
      <c r="N47" s="59">
        <v>3.33</v>
      </c>
      <c r="O47" s="59">
        <v>3.33</v>
      </c>
      <c r="P47" s="59">
        <v>3.33</v>
      </c>
      <c r="Q47" s="59">
        <v>3.33</v>
      </c>
      <c r="R47" s="59">
        <v>0</v>
      </c>
      <c r="S47" s="59">
        <v>3.33</v>
      </c>
      <c r="T47" s="59">
        <v>3.33</v>
      </c>
      <c r="U47" s="59">
        <v>3.33</v>
      </c>
      <c r="V47" s="59">
        <v>3.33</v>
      </c>
      <c r="W47" s="59">
        <v>3.33</v>
      </c>
      <c r="X47" s="59">
        <v>3.33</v>
      </c>
      <c r="Y47" s="59">
        <v>0</v>
      </c>
      <c r="Z47" s="59">
        <v>3.33</v>
      </c>
      <c r="AA47" s="59">
        <v>0</v>
      </c>
      <c r="AB47" s="59">
        <v>0</v>
      </c>
      <c r="AC47" s="59">
        <v>3.33</v>
      </c>
      <c r="AD47" s="59">
        <v>3.33</v>
      </c>
      <c r="AE47" s="59">
        <v>3.33</v>
      </c>
      <c r="AF47" s="59">
        <v>0</v>
      </c>
      <c r="AG47" s="59">
        <v>3.33</v>
      </c>
      <c r="AH47" s="59">
        <v>3.33</v>
      </c>
      <c r="AI47" s="59">
        <v>3.33</v>
      </c>
      <c r="AJ47" s="59">
        <v>3.33</v>
      </c>
      <c r="AK47" s="59">
        <v>0</v>
      </c>
      <c r="AL47" s="59">
        <v>3.33</v>
      </c>
      <c r="AM47" s="59">
        <v>3.33</v>
      </c>
      <c r="AX47" s="6">
        <f t="shared" si="4"/>
        <v>24</v>
      </c>
      <c r="AY47" s="6">
        <f t="shared" si="0"/>
        <v>6</v>
      </c>
      <c r="AZ47" s="6">
        <f t="shared" si="1"/>
        <v>0</v>
      </c>
      <c r="BA47" s="6">
        <f t="shared" si="2"/>
        <v>30</v>
      </c>
      <c r="BB47" s="7" t="s">
        <v>203</v>
      </c>
    </row>
    <row r="48" spans="1:54" x14ac:dyDescent="0.25">
      <c r="A48" s="43">
        <f t="shared" si="3"/>
        <v>242510266</v>
      </c>
      <c r="B48" s="59" t="s">
        <v>122</v>
      </c>
      <c r="C48" s="59" t="s">
        <v>94</v>
      </c>
      <c r="D48" s="59" t="s">
        <v>136</v>
      </c>
      <c r="E48" s="59" t="s">
        <v>47</v>
      </c>
      <c r="F48" s="59" t="s">
        <v>289</v>
      </c>
      <c r="G48" s="59" t="s">
        <v>258</v>
      </c>
      <c r="H48" s="59" t="s">
        <v>221</v>
      </c>
      <c r="I48" s="59" t="s">
        <v>215</v>
      </c>
      <c r="J48" s="59">
        <v>3.33</v>
      </c>
      <c r="K48" s="59">
        <v>3.33</v>
      </c>
      <c r="L48" s="59">
        <v>3.33</v>
      </c>
      <c r="M48" s="59">
        <v>3.33</v>
      </c>
      <c r="N48" s="59">
        <v>3.33</v>
      </c>
      <c r="O48" s="59">
        <v>0</v>
      </c>
      <c r="P48" s="59">
        <v>3.33</v>
      </c>
      <c r="Q48" s="59">
        <v>3.33</v>
      </c>
      <c r="R48" s="59">
        <v>3.33</v>
      </c>
      <c r="S48" s="59">
        <v>3.33</v>
      </c>
      <c r="T48" s="59">
        <v>3.33</v>
      </c>
      <c r="U48" s="59">
        <v>0</v>
      </c>
      <c r="V48" s="59">
        <v>3.33</v>
      </c>
      <c r="W48" s="59">
        <v>3.33</v>
      </c>
      <c r="X48" s="59">
        <v>3.33</v>
      </c>
      <c r="Y48" s="59">
        <v>3.33</v>
      </c>
      <c r="Z48" s="59">
        <v>3.33</v>
      </c>
      <c r="AA48" s="59">
        <v>0</v>
      </c>
      <c r="AB48" s="59">
        <v>0</v>
      </c>
      <c r="AC48" s="59">
        <v>0</v>
      </c>
      <c r="AD48" s="59">
        <v>3.33</v>
      </c>
      <c r="AE48" s="59">
        <v>3.33</v>
      </c>
      <c r="AF48" s="59">
        <v>0</v>
      </c>
      <c r="AG48" s="59">
        <v>3.33</v>
      </c>
      <c r="AH48" s="59">
        <v>3.33</v>
      </c>
      <c r="AI48" s="59">
        <v>3.33</v>
      </c>
      <c r="AJ48" s="59">
        <v>3.33</v>
      </c>
      <c r="AK48" s="59">
        <v>0</v>
      </c>
      <c r="AL48" s="59">
        <v>3.33</v>
      </c>
      <c r="AM48" s="59">
        <v>3.33</v>
      </c>
      <c r="AX48" s="6">
        <f t="shared" si="4"/>
        <v>23</v>
      </c>
      <c r="AY48" s="6">
        <f t="shared" si="0"/>
        <v>7</v>
      </c>
      <c r="AZ48" s="6">
        <f t="shared" si="1"/>
        <v>0</v>
      </c>
      <c r="BA48" s="6">
        <f t="shared" si="2"/>
        <v>30</v>
      </c>
      <c r="BB48" s="7" t="s">
        <v>203</v>
      </c>
    </row>
    <row r="49" spans="1:54" x14ac:dyDescent="0.25">
      <c r="A49" s="43">
        <f t="shared" si="3"/>
        <v>242510245</v>
      </c>
      <c r="B49" s="59" t="s">
        <v>154</v>
      </c>
      <c r="C49" s="59" t="s">
        <v>77</v>
      </c>
      <c r="D49" s="59" t="s">
        <v>171</v>
      </c>
      <c r="E49" s="59" t="s">
        <v>47</v>
      </c>
      <c r="F49" s="59" t="s">
        <v>289</v>
      </c>
      <c r="G49" s="59" t="s">
        <v>253</v>
      </c>
      <c r="H49" s="59" t="s">
        <v>292</v>
      </c>
      <c r="I49" s="59" t="s">
        <v>210</v>
      </c>
      <c r="J49" s="59">
        <v>3.33</v>
      </c>
      <c r="K49" s="59">
        <v>3.33</v>
      </c>
      <c r="L49" s="59">
        <v>3.33</v>
      </c>
      <c r="M49" s="59">
        <v>3.33</v>
      </c>
      <c r="N49" s="59">
        <v>3.33</v>
      </c>
      <c r="O49" s="59">
        <v>3.33</v>
      </c>
      <c r="P49" s="59">
        <v>3.33</v>
      </c>
      <c r="Q49" s="59">
        <v>3.33</v>
      </c>
      <c r="R49" s="59">
        <v>3.33</v>
      </c>
      <c r="S49" s="59">
        <v>3.33</v>
      </c>
      <c r="T49" s="59">
        <v>3.33</v>
      </c>
      <c r="U49" s="59">
        <v>3.33</v>
      </c>
      <c r="V49" s="59">
        <v>3.33</v>
      </c>
      <c r="W49" s="59">
        <v>3.33</v>
      </c>
      <c r="X49" s="59">
        <v>3.33</v>
      </c>
      <c r="Y49" s="59">
        <v>3.33</v>
      </c>
      <c r="Z49" s="59">
        <v>3.33</v>
      </c>
      <c r="AA49" s="59">
        <v>3.33</v>
      </c>
      <c r="AB49" s="59">
        <v>3.33</v>
      </c>
      <c r="AC49" s="59">
        <v>0</v>
      </c>
      <c r="AD49" s="59">
        <v>3.33</v>
      </c>
      <c r="AE49" s="59">
        <v>3.33</v>
      </c>
      <c r="AF49" s="59">
        <v>3.33</v>
      </c>
      <c r="AG49" s="59">
        <v>3.33</v>
      </c>
      <c r="AH49" s="59">
        <v>3.33</v>
      </c>
      <c r="AI49" s="59">
        <v>3.33</v>
      </c>
      <c r="AJ49" s="59">
        <v>3.33</v>
      </c>
      <c r="AK49" s="59">
        <v>3.33</v>
      </c>
      <c r="AL49" s="59">
        <v>3.33</v>
      </c>
      <c r="AM49" s="59">
        <v>3.33</v>
      </c>
      <c r="AX49" s="6">
        <f t="shared" si="4"/>
        <v>29</v>
      </c>
      <c r="AY49" s="6">
        <f t="shared" si="0"/>
        <v>1</v>
      </c>
      <c r="AZ49" s="6">
        <f t="shared" si="1"/>
        <v>0</v>
      </c>
      <c r="BA49" s="6">
        <f t="shared" si="2"/>
        <v>30</v>
      </c>
      <c r="BB49" s="7" t="s">
        <v>203</v>
      </c>
    </row>
    <row r="50" spans="1:54" x14ac:dyDescent="0.25">
      <c r="A50" s="43">
        <f t="shared" si="3"/>
        <v>242510069</v>
      </c>
      <c r="B50" s="59" t="s">
        <v>122</v>
      </c>
      <c r="C50" s="59" t="s">
        <v>117</v>
      </c>
      <c r="D50" s="59" t="s">
        <v>126</v>
      </c>
      <c r="E50" s="59" t="s">
        <v>47</v>
      </c>
      <c r="F50" s="59" t="s">
        <v>237</v>
      </c>
      <c r="G50" s="59" t="s">
        <v>235</v>
      </c>
      <c r="H50" s="59" t="s">
        <v>293</v>
      </c>
      <c r="I50" s="59" t="s">
        <v>50</v>
      </c>
      <c r="J50" s="59">
        <v>3.33</v>
      </c>
      <c r="K50" s="59">
        <v>3.33</v>
      </c>
      <c r="L50" s="59">
        <v>3.33</v>
      </c>
      <c r="M50" s="59">
        <v>3.33</v>
      </c>
      <c r="N50" s="59">
        <v>3.33</v>
      </c>
      <c r="O50" s="59">
        <v>3.33</v>
      </c>
      <c r="P50" s="59">
        <v>3.33</v>
      </c>
      <c r="Q50" s="59">
        <v>3.33</v>
      </c>
      <c r="R50" s="59">
        <v>3.33</v>
      </c>
      <c r="S50" s="59">
        <v>3.33</v>
      </c>
      <c r="T50" s="59">
        <v>3.33</v>
      </c>
      <c r="U50" s="59">
        <v>3.33</v>
      </c>
      <c r="V50" s="59">
        <v>3.33</v>
      </c>
      <c r="W50" s="59">
        <v>3.33</v>
      </c>
      <c r="X50" s="59">
        <v>3.33</v>
      </c>
      <c r="Y50" s="59">
        <v>3.33</v>
      </c>
      <c r="Z50" s="59">
        <v>3.33</v>
      </c>
      <c r="AA50" s="59">
        <v>3.33</v>
      </c>
      <c r="AB50" s="59">
        <v>3.33</v>
      </c>
      <c r="AC50" s="59">
        <v>3.33</v>
      </c>
      <c r="AD50" s="59">
        <v>3.33</v>
      </c>
      <c r="AE50" s="59">
        <v>3.33</v>
      </c>
      <c r="AF50" s="59">
        <v>3.33</v>
      </c>
      <c r="AG50" s="59">
        <v>3.33</v>
      </c>
      <c r="AH50" s="59">
        <v>3.33</v>
      </c>
      <c r="AI50" s="59">
        <v>3.33</v>
      </c>
      <c r="AJ50" s="59">
        <v>3.33</v>
      </c>
      <c r="AK50" s="59">
        <v>3.33</v>
      </c>
      <c r="AL50" s="59">
        <v>3.33</v>
      </c>
      <c r="AM50" s="59">
        <v>3.33</v>
      </c>
      <c r="AX50" s="6">
        <f t="shared" si="4"/>
        <v>30</v>
      </c>
      <c r="AY50" s="6">
        <f t="shared" si="0"/>
        <v>0</v>
      </c>
      <c r="AZ50" s="6">
        <f t="shared" si="1"/>
        <v>0</v>
      </c>
      <c r="BA50" s="6">
        <f t="shared" si="2"/>
        <v>30</v>
      </c>
      <c r="BB50" s="7" t="s">
        <v>203</v>
      </c>
    </row>
    <row r="51" spans="1:54" x14ac:dyDescent="0.25">
      <c r="A51" s="43">
        <f t="shared" si="3"/>
        <v>242510170</v>
      </c>
      <c r="B51" s="59" t="s">
        <v>122</v>
      </c>
      <c r="C51" s="59" t="s">
        <v>105</v>
      </c>
      <c r="D51" s="59" t="s">
        <v>153</v>
      </c>
      <c r="E51" s="59" t="s">
        <v>47</v>
      </c>
      <c r="F51" s="59" t="s">
        <v>289</v>
      </c>
      <c r="G51" s="59" t="s">
        <v>278</v>
      </c>
      <c r="H51" s="59" t="s">
        <v>294</v>
      </c>
      <c r="I51" s="59" t="s">
        <v>50</v>
      </c>
      <c r="J51" s="59">
        <v>3.33</v>
      </c>
      <c r="K51" s="59">
        <v>3.33</v>
      </c>
      <c r="L51" s="59">
        <v>3.33</v>
      </c>
      <c r="M51" s="59">
        <v>3.33</v>
      </c>
      <c r="N51" s="59">
        <v>3.33</v>
      </c>
      <c r="O51" s="59">
        <v>3.33</v>
      </c>
      <c r="P51" s="59">
        <v>3.33</v>
      </c>
      <c r="Q51" s="59">
        <v>3.33</v>
      </c>
      <c r="R51" s="59">
        <v>3.33</v>
      </c>
      <c r="S51" s="59">
        <v>3.33</v>
      </c>
      <c r="T51" s="59">
        <v>3.33</v>
      </c>
      <c r="U51" s="59">
        <v>3.33</v>
      </c>
      <c r="V51" s="59">
        <v>3.33</v>
      </c>
      <c r="W51" s="59">
        <v>3.33</v>
      </c>
      <c r="X51" s="59">
        <v>3.33</v>
      </c>
      <c r="Y51" s="59">
        <v>3.33</v>
      </c>
      <c r="Z51" s="59">
        <v>3.33</v>
      </c>
      <c r="AA51" s="59">
        <v>3.33</v>
      </c>
      <c r="AB51" s="59">
        <v>3.33</v>
      </c>
      <c r="AC51" s="59">
        <v>3.33</v>
      </c>
      <c r="AD51" s="59">
        <v>3.33</v>
      </c>
      <c r="AE51" s="59">
        <v>3.33</v>
      </c>
      <c r="AF51" s="59">
        <v>3.33</v>
      </c>
      <c r="AG51" s="59">
        <v>3.33</v>
      </c>
      <c r="AH51" s="59">
        <v>3.33</v>
      </c>
      <c r="AI51" s="59">
        <v>3.33</v>
      </c>
      <c r="AJ51" s="59">
        <v>3.33</v>
      </c>
      <c r="AK51" s="59">
        <v>3.33</v>
      </c>
      <c r="AL51" s="59">
        <v>3.33</v>
      </c>
      <c r="AM51" s="59">
        <v>3.33</v>
      </c>
      <c r="AX51" s="6">
        <f t="shared" si="4"/>
        <v>30</v>
      </c>
      <c r="AY51" s="6">
        <f t="shared" si="0"/>
        <v>0</v>
      </c>
      <c r="AZ51" s="6">
        <f t="shared" si="1"/>
        <v>0</v>
      </c>
      <c r="BA51" s="6">
        <f t="shared" si="2"/>
        <v>30</v>
      </c>
      <c r="BB51" s="7" t="s">
        <v>203</v>
      </c>
    </row>
    <row r="52" spans="1:54" x14ac:dyDescent="0.25">
      <c r="A52" s="43">
        <f t="shared" si="3"/>
        <v>242510135</v>
      </c>
      <c r="B52" s="59" t="s">
        <v>154</v>
      </c>
      <c r="C52" s="59" t="s">
        <v>68</v>
      </c>
      <c r="D52" s="59" t="s">
        <v>184</v>
      </c>
      <c r="E52" s="59" t="s">
        <v>47</v>
      </c>
      <c r="F52" s="59" t="s">
        <v>289</v>
      </c>
      <c r="G52" s="59" t="s">
        <v>239</v>
      </c>
      <c r="H52" s="59" t="s">
        <v>248</v>
      </c>
      <c r="I52" s="59" t="s">
        <v>210</v>
      </c>
      <c r="J52" s="59">
        <v>0</v>
      </c>
      <c r="K52" s="59">
        <v>3.33</v>
      </c>
      <c r="L52" s="59">
        <v>3.33</v>
      </c>
      <c r="M52" s="59">
        <v>3.33</v>
      </c>
      <c r="N52" s="59">
        <v>3.33</v>
      </c>
      <c r="O52" s="59">
        <v>3.33</v>
      </c>
      <c r="P52" s="59">
        <v>3.33</v>
      </c>
      <c r="Q52" s="59">
        <v>3.33</v>
      </c>
      <c r="R52" s="59">
        <v>3.33</v>
      </c>
      <c r="S52" s="59">
        <v>3.33</v>
      </c>
      <c r="T52" s="59">
        <v>3.33</v>
      </c>
      <c r="U52" s="59">
        <v>3.33</v>
      </c>
      <c r="V52" s="59">
        <v>3.33</v>
      </c>
      <c r="W52" s="59">
        <v>3.33</v>
      </c>
      <c r="X52" s="59">
        <v>3.33</v>
      </c>
      <c r="Y52" s="59">
        <v>3.33</v>
      </c>
      <c r="Z52" s="59">
        <v>3.33</v>
      </c>
      <c r="AA52" s="59">
        <v>3.33</v>
      </c>
      <c r="AB52" s="59">
        <v>3.33</v>
      </c>
      <c r="AC52" s="59">
        <v>3.33</v>
      </c>
      <c r="AD52" s="59">
        <v>3.33</v>
      </c>
      <c r="AE52" s="59">
        <v>3.33</v>
      </c>
      <c r="AF52" s="59">
        <v>3.33</v>
      </c>
      <c r="AG52" s="59">
        <v>3.33</v>
      </c>
      <c r="AH52" s="59">
        <v>3.33</v>
      </c>
      <c r="AI52" s="59">
        <v>3.33</v>
      </c>
      <c r="AJ52" s="59">
        <v>3.33</v>
      </c>
      <c r="AK52" s="59">
        <v>3.33</v>
      </c>
      <c r="AL52" s="59">
        <v>3.33</v>
      </c>
      <c r="AM52" s="59">
        <v>3.33</v>
      </c>
      <c r="AX52" s="6">
        <f t="shared" si="4"/>
        <v>29</v>
      </c>
      <c r="AY52" s="6">
        <f t="shared" si="0"/>
        <v>1</v>
      </c>
      <c r="AZ52" s="6">
        <f t="shared" si="1"/>
        <v>0</v>
      </c>
      <c r="BA52" s="6">
        <f t="shared" si="2"/>
        <v>30</v>
      </c>
      <c r="BB52" s="7" t="s">
        <v>203</v>
      </c>
    </row>
    <row r="53" spans="1:54" x14ac:dyDescent="0.25">
      <c r="A53" s="43">
        <f t="shared" si="3"/>
        <v>252611400</v>
      </c>
      <c r="B53" s="59" t="s">
        <v>154</v>
      </c>
      <c r="C53" s="59" t="s">
        <v>83</v>
      </c>
      <c r="D53" s="59" t="s">
        <v>168</v>
      </c>
      <c r="E53" s="59" t="s">
        <v>47</v>
      </c>
      <c r="F53" s="59" t="s">
        <v>289</v>
      </c>
      <c r="G53" s="59" t="s">
        <v>235</v>
      </c>
      <c r="H53" s="59" t="s">
        <v>295</v>
      </c>
      <c r="I53" s="59" t="s">
        <v>244</v>
      </c>
      <c r="J53" s="59">
        <v>3.33</v>
      </c>
      <c r="K53" s="59">
        <v>3.33</v>
      </c>
      <c r="L53" s="59">
        <v>3.33</v>
      </c>
      <c r="M53" s="59">
        <v>3.33</v>
      </c>
      <c r="N53" s="59">
        <v>3.33</v>
      </c>
      <c r="O53" s="59">
        <v>0</v>
      </c>
      <c r="P53" s="59">
        <v>3.33</v>
      </c>
      <c r="Q53" s="59">
        <v>0</v>
      </c>
      <c r="R53" s="59">
        <v>3.33</v>
      </c>
      <c r="S53" s="59">
        <v>3.33</v>
      </c>
      <c r="T53" s="59">
        <v>0</v>
      </c>
      <c r="U53" s="59">
        <v>3.33</v>
      </c>
      <c r="V53" s="59">
        <v>3.33</v>
      </c>
      <c r="W53" s="59">
        <v>3.33</v>
      </c>
      <c r="X53" s="59">
        <v>0</v>
      </c>
      <c r="Y53" s="59">
        <v>3.33</v>
      </c>
      <c r="Z53" s="59">
        <v>3.33</v>
      </c>
      <c r="AA53" s="59">
        <v>0</v>
      </c>
      <c r="AB53" s="59">
        <v>3.33</v>
      </c>
      <c r="AC53" s="59">
        <v>3.33</v>
      </c>
      <c r="AD53" s="59">
        <v>3.33</v>
      </c>
      <c r="AE53" s="59">
        <v>0</v>
      </c>
      <c r="AF53" s="59">
        <v>0</v>
      </c>
      <c r="AG53" s="59">
        <v>0</v>
      </c>
      <c r="AH53" s="59">
        <v>3.33</v>
      </c>
      <c r="AI53" s="59">
        <v>3.33</v>
      </c>
      <c r="AJ53" s="59">
        <v>3.33</v>
      </c>
      <c r="AK53" s="59">
        <v>3.33</v>
      </c>
      <c r="AL53" s="59">
        <v>3.33</v>
      </c>
      <c r="AM53" s="59">
        <v>3.33</v>
      </c>
      <c r="AX53" s="6">
        <f t="shared" si="4"/>
        <v>22</v>
      </c>
      <c r="AY53" s="6">
        <f t="shared" si="0"/>
        <v>8</v>
      </c>
      <c r="AZ53" s="6">
        <f t="shared" si="1"/>
        <v>0</v>
      </c>
      <c r="BA53" s="6">
        <f t="shared" si="2"/>
        <v>30</v>
      </c>
      <c r="BB53" s="7" t="s">
        <v>203</v>
      </c>
    </row>
    <row r="54" spans="1:54" x14ac:dyDescent="0.25">
      <c r="A54" s="43">
        <f t="shared" si="3"/>
        <v>242510189</v>
      </c>
      <c r="B54" s="59" t="s">
        <v>154</v>
      </c>
      <c r="C54" s="59" t="s">
        <v>56</v>
      </c>
      <c r="D54" s="59" t="s">
        <v>178</v>
      </c>
      <c r="E54" s="59" t="s">
        <v>47</v>
      </c>
      <c r="F54" s="59" t="s">
        <v>289</v>
      </c>
      <c r="G54" s="59" t="s">
        <v>296</v>
      </c>
      <c r="H54" s="59" t="s">
        <v>297</v>
      </c>
      <c r="I54" s="59" t="s">
        <v>50</v>
      </c>
      <c r="J54" s="59">
        <v>3.33</v>
      </c>
      <c r="K54" s="59">
        <v>3.33</v>
      </c>
      <c r="L54" s="59">
        <v>3.33</v>
      </c>
      <c r="M54" s="59">
        <v>3.33</v>
      </c>
      <c r="N54" s="59">
        <v>3.33</v>
      </c>
      <c r="O54" s="59">
        <v>3.33</v>
      </c>
      <c r="P54" s="59">
        <v>3.33</v>
      </c>
      <c r="Q54" s="59">
        <v>3.33</v>
      </c>
      <c r="R54" s="59">
        <v>3.33</v>
      </c>
      <c r="S54" s="59">
        <v>3.33</v>
      </c>
      <c r="T54" s="59">
        <v>3.33</v>
      </c>
      <c r="U54" s="59">
        <v>3.33</v>
      </c>
      <c r="V54" s="59">
        <v>3.33</v>
      </c>
      <c r="W54" s="59">
        <v>3.33</v>
      </c>
      <c r="X54" s="59">
        <v>3.33</v>
      </c>
      <c r="Y54" s="59">
        <v>3.33</v>
      </c>
      <c r="Z54" s="59">
        <v>3.33</v>
      </c>
      <c r="AA54" s="59">
        <v>3.33</v>
      </c>
      <c r="AB54" s="59">
        <v>3.33</v>
      </c>
      <c r="AC54" s="59">
        <v>3.33</v>
      </c>
      <c r="AD54" s="59">
        <v>3.33</v>
      </c>
      <c r="AE54" s="59">
        <v>3.33</v>
      </c>
      <c r="AF54" s="59">
        <v>3.33</v>
      </c>
      <c r="AG54" s="59">
        <v>3.33</v>
      </c>
      <c r="AH54" s="59">
        <v>3.33</v>
      </c>
      <c r="AI54" s="59">
        <v>3.33</v>
      </c>
      <c r="AJ54" s="59">
        <v>3.33</v>
      </c>
      <c r="AK54" s="59">
        <v>3.33</v>
      </c>
      <c r="AL54" s="59">
        <v>3.33</v>
      </c>
      <c r="AM54" s="59">
        <v>3.33</v>
      </c>
      <c r="AX54" s="6">
        <f t="shared" si="4"/>
        <v>30</v>
      </c>
      <c r="AY54" s="6">
        <f t="shared" si="0"/>
        <v>0</v>
      </c>
      <c r="AZ54" s="6">
        <f t="shared" si="1"/>
        <v>0</v>
      </c>
      <c r="BA54" s="6">
        <f t="shared" si="2"/>
        <v>30</v>
      </c>
      <c r="BB54" s="7" t="s">
        <v>203</v>
      </c>
    </row>
    <row r="55" spans="1:54" x14ac:dyDescent="0.25">
      <c r="A55" s="43">
        <f t="shared" si="3"/>
        <v>242510152</v>
      </c>
      <c r="B55" s="59" t="s">
        <v>122</v>
      </c>
      <c r="C55" s="59" t="s">
        <v>89</v>
      </c>
      <c r="D55" s="59" t="s">
        <v>146</v>
      </c>
      <c r="E55" s="59" t="s">
        <v>47</v>
      </c>
      <c r="F55" s="59" t="s">
        <v>289</v>
      </c>
      <c r="G55" s="59" t="s">
        <v>298</v>
      </c>
      <c r="H55" s="59" t="s">
        <v>299</v>
      </c>
      <c r="I55" s="59" t="s">
        <v>212</v>
      </c>
      <c r="J55" s="59">
        <v>3.33</v>
      </c>
      <c r="K55" s="59">
        <v>3.33</v>
      </c>
      <c r="L55" s="59">
        <v>3.33</v>
      </c>
      <c r="M55" s="59">
        <v>3.33</v>
      </c>
      <c r="N55" s="59">
        <v>3.33</v>
      </c>
      <c r="O55" s="59">
        <v>3.33</v>
      </c>
      <c r="P55" s="59">
        <v>3.33</v>
      </c>
      <c r="Q55" s="59">
        <v>3.33</v>
      </c>
      <c r="R55" s="59">
        <v>3.33</v>
      </c>
      <c r="S55" s="59">
        <v>3.33</v>
      </c>
      <c r="T55" s="59">
        <v>3.33</v>
      </c>
      <c r="U55" s="59">
        <v>3.33</v>
      </c>
      <c r="V55" s="59">
        <v>3.33</v>
      </c>
      <c r="W55" s="59">
        <v>3.33</v>
      </c>
      <c r="X55" s="59">
        <v>0</v>
      </c>
      <c r="Y55" s="59">
        <v>3.33</v>
      </c>
      <c r="Z55" s="59">
        <v>0</v>
      </c>
      <c r="AA55" s="59">
        <v>3.33</v>
      </c>
      <c r="AB55" s="59">
        <v>3.33</v>
      </c>
      <c r="AC55" s="59">
        <v>0</v>
      </c>
      <c r="AD55" s="59">
        <v>3.33</v>
      </c>
      <c r="AE55" s="59">
        <v>0</v>
      </c>
      <c r="AF55" s="59">
        <v>3.33</v>
      </c>
      <c r="AG55" s="59">
        <v>3.33</v>
      </c>
      <c r="AH55" s="59">
        <v>3.33</v>
      </c>
      <c r="AI55" s="59">
        <v>3.33</v>
      </c>
      <c r="AJ55" s="59">
        <v>3.33</v>
      </c>
      <c r="AK55" s="59">
        <v>0</v>
      </c>
      <c r="AL55" s="59">
        <v>3.33</v>
      </c>
      <c r="AM55" s="59">
        <v>3.33</v>
      </c>
      <c r="AX55" s="6">
        <f t="shared" si="4"/>
        <v>25</v>
      </c>
      <c r="AY55" s="6">
        <f t="shared" si="0"/>
        <v>5</v>
      </c>
      <c r="AZ55" s="6">
        <f t="shared" si="1"/>
        <v>0</v>
      </c>
      <c r="BA55" s="6">
        <f t="shared" si="2"/>
        <v>30</v>
      </c>
      <c r="BB55" s="7" t="s">
        <v>203</v>
      </c>
    </row>
    <row r="56" spans="1:54" x14ac:dyDescent="0.25">
      <c r="A56" s="43">
        <f t="shared" si="3"/>
        <v>242510231</v>
      </c>
      <c r="B56" s="59" t="s">
        <v>154</v>
      </c>
      <c r="C56" s="59" t="s">
        <v>58</v>
      </c>
      <c r="D56" s="59" t="s">
        <v>187</v>
      </c>
      <c r="E56" s="59" t="s">
        <v>47</v>
      </c>
      <c r="F56" s="59" t="s">
        <v>289</v>
      </c>
      <c r="G56" s="59" t="s">
        <v>280</v>
      </c>
      <c r="H56" s="59" t="s">
        <v>300</v>
      </c>
      <c r="I56" s="59" t="s">
        <v>210</v>
      </c>
      <c r="J56" s="59">
        <v>3.33</v>
      </c>
      <c r="K56" s="59">
        <v>3.33</v>
      </c>
      <c r="L56" s="59">
        <v>3.33</v>
      </c>
      <c r="M56" s="59">
        <v>3.33</v>
      </c>
      <c r="N56" s="59">
        <v>3.33</v>
      </c>
      <c r="O56" s="59">
        <v>3.33</v>
      </c>
      <c r="P56" s="59">
        <v>3.33</v>
      </c>
      <c r="Q56" s="59">
        <v>3.33</v>
      </c>
      <c r="R56" s="59">
        <v>3.33</v>
      </c>
      <c r="S56" s="59">
        <v>3.33</v>
      </c>
      <c r="T56" s="59">
        <v>3.33</v>
      </c>
      <c r="U56" s="59">
        <v>3.33</v>
      </c>
      <c r="V56" s="59">
        <v>3.33</v>
      </c>
      <c r="W56" s="59">
        <v>3.33</v>
      </c>
      <c r="X56" s="59">
        <v>3.33</v>
      </c>
      <c r="Y56" s="59">
        <v>3.33</v>
      </c>
      <c r="Z56" s="59">
        <v>3.33</v>
      </c>
      <c r="AA56" s="59">
        <v>3.33</v>
      </c>
      <c r="AB56" s="59">
        <v>3.33</v>
      </c>
      <c r="AC56" s="59">
        <v>0</v>
      </c>
      <c r="AD56" s="59">
        <v>3.33</v>
      </c>
      <c r="AE56" s="59">
        <v>3.33</v>
      </c>
      <c r="AF56" s="59">
        <v>3.33</v>
      </c>
      <c r="AG56" s="59">
        <v>3.33</v>
      </c>
      <c r="AH56" s="59">
        <v>3.33</v>
      </c>
      <c r="AI56" s="59">
        <v>3.33</v>
      </c>
      <c r="AJ56" s="59">
        <v>3.33</v>
      </c>
      <c r="AK56" s="59">
        <v>3.33</v>
      </c>
      <c r="AL56" s="59">
        <v>3.33</v>
      </c>
      <c r="AM56" s="59">
        <v>3.33</v>
      </c>
      <c r="AX56" s="6">
        <f t="shared" si="4"/>
        <v>29</v>
      </c>
      <c r="AY56" s="6">
        <f t="shared" si="0"/>
        <v>1</v>
      </c>
      <c r="AZ56" s="6">
        <f t="shared" si="1"/>
        <v>0</v>
      </c>
      <c r="BA56" s="6">
        <f t="shared" si="2"/>
        <v>30</v>
      </c>
      <c r="BB56" s="7" t="s">
        <v>203</v>
      </c>
    </row>
    <row r="57" spans="1:54" x14ac:dyDescent="0.25">
      <c r="A57" s="43">
        <f t="shared" si="3"/>
        <v>252611401</v>
      </c>
      <c r="B57" s="59" t="s">
        <v>122</v>
      </c>
      <c r="C57" s="59" t="s">
        <v>102</v>
      </c>
      <c r="D57" s="59" t="s">
        <v>174</v>
      </c>
      <c r="E57" s="59" t="s">
        <v>47</v>
      </c>
      <c r="F57" s="59" t="s">
        <v>289</v>
      </c>
      <c r="G57" s="59" t="s">
        <v>301</v>
      </c>
      <c r="H57" s="59" t="s">
        <v>302</v>
      </c>
      <c r="I57" s="59" t="s">
        <v>50</v>
      </c>
      <c r="J57" s="59">
        <v>3.33</v>
      </c>
      <c r="K57" s="59">
        <v>3.33</v>
      </c>
      <c r="L57" s="59">
        <v>3.33</v>
      </c>
      <c r="M57" s="59">
        <v>3.33</v>
      </c>
      <c r="N57" s="59">
        <v>3.33</v>
      </c>
      <c r="O57" s="59">
        <v>3.33</v>
      </c>
      <c r="P57" s="59">
        <v>3.33</v>
      </c>
      <c r="Q57" s="59">
        <v>3.33</v>
      </c>
      <c r="R57" s="59">
        <v>3.33</v>
      </c>
      <c r="S57" s="59">
        <v>3.33</v>
      </c>
      <c r="T57" s="59">
        <v>3.33</v>
      </c>
      <c r="U57" s="59">
        <v>3.33</v>
      </c>
      <c r="V57" s="59">
        <v>3.33</v>
      </c>
      <c r="W57" s="59">
        <v>3.33</v>
      </c>
      <c r="X57" s="59">
        <v>3.33</v>
      </c>
      <c r="Y57" s="59">
        <v>3.33</v>
      </c>
      <c r="Z57" s="59">
        <v>3.33</v>
      </c>
      <c r="AA57" s="59">
        <v>3.33</v>
      </c>
      <c r="AB57" s="59">
        <v>3.33</v>
      </c>
      <c r="AC57" s="59">
        <v>3.33</v>
      </c>
      <c r="AD57" s="59">
        <v>3.33</v>
      </c>
      <c r="AE57" s="59">
        <v>3.33</v>
      </c>
      <c r="AF57" s="59">
        <v>3.33</v>
      </c>
      <c r="AG57" s="59">
        <v>3.33</v>
      </c>
      <c r="AH57" s="59">
        <v>3.33</v>
      </c>
      <c r="AI57" s="59">
        <v>3.33</v>
      </c>
      <c r="AJ57" s="59">
        <v>3.33</v>
      </c>
      <c r="AK57" s="59">
        <v>3.33</v>
      </c>
      <c r="AL57" s="59">
        <v>3.33</v>
      </c>
      <c r="AM57" s="59">
        <v>3.33</v>
      </c>
      <c r="AX57" s="6">
        <f t="shared" si="4"/>
        <v>30</v>
      </c>
      <c r="AY57" s="6">
        <f t="shared" si="0"/>
        <v>0</v>
      </c>
      <c r="AZ57" s="6">
        <f t="shared" si="1"/>
        <v>0</v>
      </c>
      <c r="BA57" s="6">
        <f t="shared" si="2"/>
        <v>30</v>
      </c>
      <c r="BB57" s="7" t="s">
        <v>203</v>
      </c>
    </row>
    <row r="58" spans="1:54" x14ac:dyDescent="0.25">
      <c r="A58" s="43">
        <f t="shared" si="3"/>
        <v>242510275</v>
      </c>
      <c r="B58" s="59" t="s">
        <v>154</v>
      </c>
      <c r="C58" s="59" t="s">
        <v>64</v>
      </c>
      <c r="D58" s="59" t="s">
        <v>185</v>
      </c>
      <c r="E58" s="59" t="s">
        <v>47</v>
      </c>
      <c r="F58" s="59" t="s">
        <v>289</v>
      </c>
      <c r="G58" s="59" t="s">
        <v>245</v>
      </c>
      <c r="H58" s="59" t="s">
        <v>303</v>
      </c>
      <c r="I58" s="59" t="s">
        <v>215</v>
      </c>
      <c r="J58" s="59">
        <v>0</v>
      </c>
      <c r="K58" s="59">
        <v>3.33</v>
      </c>
      <c r="L58" s="59">
        <v>3.33</v>
      </c>
      <c r="M58" s="59">
        <v>3.33</v>
      </c>
      <c r="N58" s="59">
        <v>0</v>
      </c>
      <c r="O58" s="59">
        <v>3.33</v>
      </c>
      <c r="P58" s="59">
        <v>3.33</v>
      </c>
      <c r="Q58" s="59">
        <v>0</v>
      </c>
      <c r="R58" s="59">
        <v>3.33</v>
      </c>
      <c r="S58" s="59">
        <v>3.33</v>
      </c>
      <c r="T58" s="59">
        <v>3.33</v>
      </c>
      <c r="U58" s="59">
        <v>0</v>
      </c>
      <c r="V58" s="59">
        <v>3.33</v>
      </c>
      <c r="W58" s="59">
        <v>3.33</v>
      </c>
      <c r="X58" s="59">
        <v>3.33</v>
      </c>
      <c r="Y58" s="59">
        <v>0</v>
      </c>
      <c r="Z58" s="59">
        <v>3.33</v>
      </c>
      <c r="AA58" s="59">
        <v>3.33</v>
      </c>
      <c r="AB58" s="59">
        <v>3.33</v>
      </c>
      <c r="AC58" s="59">
        <v>0</v>
      </c>
      <c r="AD58" s="59">
        <v>3.33</v>
      </c>
      <c r="AE58" s="59">
        <v>0</v>
      </c>
      <c r="AF58" s="59">
        <v>3.33</v>
      </c>
      <c r="AG58" s="59">
        <v>3.33</v>
      </c>
      <c r="AH58" s="59">
        <v>3.33</v>
      </c>
      <c r="AI58" s="59">
        <v>3.33</v>
      </c>
      <c r="AJ58" s="59">
        <v>3.33</v>
      </c>
      <c r="AK58" s="59">
        <v>3.33</v>
      </c>
      <c r="AL58" s="59">
        <v>3.33</v>
      </c>
      <c r="AM58" s="59">
        <v>3.33</v>
      </c>
      <c r="AX58" s="6">
        <f t="shared" si="4"/>
        <v>23</v>
      </c>
      <c r="AY58" s="6">
        <f t="shared" si="0"/>
        <v>7</v>
      </c>
      <c r="AZ58" s="6">
        <f t="shared" si="1"/>
        <v>0</v>
      </c>
      <c r="BA58" s="6">
        <f t="shared" si="2"/>
        <v>30</v>
      </c>
      <c r="BB58" s="7" t="s">
        <v>203</v>
      </c>
    </row>
    <row r="59" spans="1:54" x14ac:dyDescent="0.25">
      <c r="A59" s="43">
        <f t="shared" si="3"/>
        <v>242510019</v>
      </c>
      <c r="B59" s="59" t="s">
        <v>154</v>
      </c>
      <c r="C59" s="59" t="s">
        <v>63</v>
      </c>
      <c r="D59" s="59" t="s">
        <v>181</v>
      </c>
      <c r="E59" s="59" t="s">
        <v>47</v>
      </c>
      <c r="F59" s="59" t="s">
        <v>289</v>
      </c>
      <c r="G59" s="59" t="s">
        <v>237</v>
      </c>
      <c r="H59" s="59" t="s">
        <v>231</v>
      </c>
      <c r="I59" s="59" t="s">
        <v>209</v>
      </c>
      <c r="J59" s="59">
        <v>3.33</v>
      </c>
      <c r="K59" s="59">
        <v>3.33</v>
      </c>
      <c r="L59" s="59">
        <v>3.33</v>
      </c>
      <c r="M59" s="59">
        <v>3.33</v>
      </c>
      <c r="N59" s="59">
        <v>3.33</v>
      </c>
      <c r="O59" s="59">
        <v>3.33</v>
      </c>
      <c r="P59" s="59">
        <v>3.33</v>
      </c>
      <c r="Q59" s="59">
        <v>3.33</v>
      </c>
      <c r="R59" s="59">
        <v>0</v>
      </c>
      <c r="S59" s="59">
        <v>3.33</v>
      </c>
      <c r="T59" s="59">
        <v>0</v>
      </c>
      <c r="U59" s="59">
        <v>3.33</v>
      </c>
      <c r="V59" s="59">
        <v>3.33</v>
      </c>
      <c r="W59" s="59">
        <v>3.33</v>
      </c>
      <c r="X59" s="59">
        <v>3.33</v>
      </c>
      <c r="Y59" s="59">
        <v>3.33</v>
      </c>
      <c r="Z59" s="59">
        <v>3.33</v>
      </c>
      <c r="AA59" s="59">
        <v>3.33</v>
      </c>
      <c r="AB59" s="59">
        <v>3.33</v>
      </c>
      <c r="AC59" s="59">
        <v>3.33</v>
      </c>
      <c r="AD59" s="59">
        <v>3.33</v>
      </c>
      <c r="AE59" s="59">
        <v>3.33</v>
      </c>
      <c r="AF59" s="59">
        <v>3.33</v>
      </c>
      <c r="AG59" s="59">
        <v>3.33</v>
      </c>
      <c r="AH59" s="59">
        <v>3.33</v>
      </c>
      <c r="AI59" s="59">
        <v>3.33</v>
      </c>
      <c r="AJ59" s="59">
        <v>3.33</v>
      </c>
      <c r="AK59" s="59">
        <v>3.33</v>
      </c>
      <c r="AL59" s="59">
        <v>3.33</v>
      </c>
      <c r="AM59" s="59">
        <v>3.33</v>
      </c>
      <c r="AX59" s="6">
        <f t="shared" si="4"/>
        <v>28</v>
      </c>
      <c r="AY59" s="6">
        <f t="shared" si="0"/>
        <v>2</v>
      </c>
      <c r="AZ59" s="6">
        <f t="shared" si="1"/>
        <v>0</v>
      </c>
      <c r="BA59" s="6">
        <f t="shared" si="2"/>
        <v>30</v>
      </c>
      <c r="BB59" s="7" t="s">
        <v>203</v>
      </c>
    </row>
    <row r="60" spans="1:54" x14ac:dyDescent="0.25">
      <c r="A60" s="43">
        <f t="shared" si="3"/>
        <v>242510092</v>
      </c>
      <c r="B60" s="59" t="s">
        <v>154</v>
      </c>
      <c r="C60" s="59" t="s">
        <v>67</v>
      </c>
      <c r="D60" s="59" t="s">
        <v>191</v>
      </c>
      <c r="E60" s="59" t="s">
        <v>47</v>
      </c>
      <c r="F60" s="59" t="s">
        <v>289</v>
      </c>
      <c r="G60" s="59" t="s">
        <v>253</v>
      </c>
      <c r="H60" s="59" t="s">
        <v>304</v>
      </c>
      <c r="I60" s="59" t="s">
        <v>50</v>
      </c>
      <c r="J60" s="59">
        <v>3.33</v>
      </c>
      <c r="K60" s="59">
        <v>3.33</v>
      </c>
      <c r="L60" s="59">
        <v>3.33</v>
      </c>
      <c r="M60" s="59">
        <v>3.33</v>
      </c>
      <c r="N60" s="59">
        <v>3.33</v>
      </c>
      <c r="O60" s="59">
        <v>3.33</v>
      </c>
      <c r="P60" s="59">
        <v>3.33</v>
      </c>
      <c r="Q60" s="59">
        <v>3.33</v>
      </c>
      <c r="R60" s="59">
        <v>3.33</v>
      </c>
      <c r="S60" s="59">
        <v>3.33</v>
      </c>
      <c r="T60" s="59">
        <v>3.33</v>
      </c>
      <c r="U60" s="59">
        <v>3.33</v>
      </c>
      <c r="V60" s="59">
        <v>3.33</v>
      </c>
      <c r="W60" s="59">
        <v>3.33</v>
      </c>
      <c r="X60" s="59">
        <v>3.33</v>
      </c>
      <c r="Y60" s="59">
        <v>3.33</v>
      </c>
      <c r="Z60" s="59">
        <v>3.33</v>
      </c>
      <c r="AA60" s="59">
        <v>3.33</v>
      </c>
      <c r="AB60" s="59">
        <v>3.33</v>
      </c>
      <c r="AC60" s="59">
        <v>3.33</v>
      </c>
      <c r="AD60" s="59">
        <v>3.33</v>
      </c>
      <c r="AE60" s="59">
        <v>3.33</v>
      </c>
      <c r="AF60" s="59">
        <v>3.33</v>
      </c>
      <c r="AG60" s="59">
        <v>3.33</v>
      </c>
      <c r="AH60" s="59">
        <v>3.33</v>
      </c>
      <c r="AI60" s="59">
        <v>3.33</v>
      </c>
      <c r="AJ60" s="59">
        <v>3.33</v>
      </c>
      <c r="AK60" s="59">
        <v>3.33</v>
      </c>
      <c r="AL60" s="59">
        <v>3.33</v>
      </c>
      <c r="AM60" s="59">
        <v>3.33</v>
      </c>
      <c r="AX60" s="6">
        <f t="shared" si="4"/>
        <v>30</v>
      </c>
      <c r="AY60" s="6">
        <f t="shared" si="0"/>
        <v>0</v>
      </c>
      <c r="AZ60" s="6">
        <f t="shared" si="1"/>
        <v>0</v>
      </c>
      <c r="BA60" s="6">
        <f t="shared" si="2"/>
        <v>30</v>
      </c>
      <c r="BB60" s="7" t="s">
        <v>203</v>
      </c>
    </row>
    <row r="61" spans="1:54" x14ac:dyDescent="0.25">
      <c r="A61" s="43">
        <f t="shared" si="3"/>
        <v>252611402</v>
      </c>
      <c r="B61" s="59" t="s">
        <v>154</v>
      </c>
      <c r="C61" s="59" t="s">
        <v>55</v>
      </c>
      <c r="D61" s="59" t="s">
        <v>182</v>
      </c>
      <c r="E61" s="59" t="s">
        <v>47</v>
      </c>
      <c r="F61" s="59" t="s">
        <v>289</v>
      </c>
      <c r="G61" s="59" t="s">
        <v>258</v>
      </c>
      <c r="H61" s="59" t="s">
        <v>305</v>
      </c>
      <c r="I61" s="59" t="s">
        <v>213</v>
      </c>
      <c r="J61" s="59">
        <v>3.33</v>
      </c>
      <c r="K61" s="59">
        <v>3.33</v>
      </c>
      <c r="L61" s="59">
        <v>3.33</v>
      </c>
      <c r="M61" s="59">
        <v>3.33</v>
      </c>
      <c r="N61" s="59">
        <v>3.33</v>
      </c>
      <c r="O61" s="59">
        <v>0</v>
      </c>
      <c r="P61" s="59">
        <v>3.33</v>
      </c>
      <c r="Q61" s="59">
        <v>3.33</v>
      </c>
      <c r="R61" s="59">
        <v>3.33</v>
      </c>
      <c r="S61" s="59">
        <v>3.33</v>
      </c>
      <c r="T61" s="59">
        <v>3.33</v>
      </c>
      <c r="U61" s="59">
        <v>0</v>
      </c>
      <c r="V61" s="59">
        <v>3.33</v>
      </c>
      <c r="W61" s="59">
        <v>3.33</v>
      </c>
      <c r="X61" s="59">
        <v>3.33</v>
      </c>
      <c r="Y61" s="59">
        <v>3.33</v>
      </c>
      <c r="Z61" s="59">
        <v>3.33</v>
      </c>
      <c r="AA61" s="59">
        <v>3.33</v>
      </c>
      <c r="AB61" s="59">
        <v>3.33</v>
      </c>
      <c r="AC61" s="59">
        <v>3.33</v>
      </c>
      <c r="AD61" s="59">
        <v>3.33</v>
      </c>
      <c r="AE61" s="59">
        <v>0</v>
      </c>
      <c r="AF61" s="59">
        <v>3.33</v>
      </c>
      <c r="AG61" s="59">
        <v>3.33</v>
      </c>
      <c r="AH61" s="59">
        <v>3.33</v>
      </c>
      <c r="AI61" s="59">
        <v>3.33</v>
      </c>
      <c r="AJ61" s="59">
        <v>3.33</v>
      </c>
      <c r="AK61" s="59">
        <v>3.33</v>
      </c>
      <c r="AL61" s="59">
        <v>3.33</v>
      </c>
      <c r="AM61" s="59">
        <v>3.33</v>
      </c>
      <c r="AX61" s="6">
        <f t="shared" si="4"/>
        <v>27</v>
      </c>
      <c r="AY61" s="6">
        <f t="shared" si="0"/>
        <v>3</v>
      </c>
      <c r="AZ61" s="6">
        <f t="shared" si="1"/>
        <v>0</v>
      </c>
      <c r="BA61" s="6">
        <f t="shared" si="2"/>
        <v>30</v>
      </c>
      <c r="BB61" s="7" t="s">
        <v>203</v>
      </c>
    </row>
    <row r="62" spans="1:54" x14ac:dyDescent="0.25">
      <c r="A62" s="43">
        <f t="shared" si="3"/>
        <v>242510088</v>
      </c>
      <c r="B62" s="59" t="s">
        <v>122</v>
      </c>
      <c r="C62" s="59" t="s">
        <v>101</v>
      </c>
      <c r="D62" s="59" t="s">
        <v>151</v>
      </c>
      <c r="E62" s="59" t="s">
        <v>47</v>
      </c>
      <c r="F62" s="59" t="s">
        <v>289</v>
      </c>
      <c r="G62" s="59" t="s">
        <v>306</v>
      </c>
      <c r="H62" s="59" t="s">
        <v>307</v>
      </c>
      <c r="I62" s="59" t="s">
        <v>209</v>
      </c>
      <c r="J62" s="59">
        <v>3.33</v>
      </c>
      <c r="K62" s="59">
        <v>3.33</v>
      </c>
      <c r="L62" s="59">
        <v>3.33</v>
      </c>
      <c r="M62" s="59">
        <v>3.33</v>
      </c>
      <c r="N62" s="59">
        <v>3.33</v>
      </c>
      <c r="O62" s="59">
        <v>3.33</v>
      </c>
      <c r="P62" s="59">
        <v>3.33</v>
      </c>
      <c r="Q62" s="59">
        <v>3.33</v>
      </c>
      <c r="R62" s="59">
        <v>3.33</v>
      </c>
      <c r="S62" s="59">
        <v>3.33</v>
      </c>
      <c r="T62" s="59">
        <v>3.33</v>
      </c>
      <c r="U62" s="59">
        <v>3.33</v>
      </c>
      <c r="V62" s="59">
        <v>3.33</v>
      </c>
      <c r="W62" s="59">
        <v>3.33</v>
      </c>
      <c r="X62" s="59">
        <v>3.33</v>
      </c>
      <c r="Y62" s="59">
        <v>3.33</v>
      </c>
      <c r="Z62" s="59">
        <v>3.33</v>
      </c>
      <c r="AA62" s="59">
        <v>0</v>
      </c>
      <c r="AB62" s="59">
        <v>3.33</v>
      </c>
      <c r="AC62" s="59">
        <v>3.33</v>
      </c>
      <c r="AD62" s="59">
        <v>3.33</v>
      </c>
      <c r="AE62" s="59">
        <v>0</v>
      </c>
      <c r="AF62" s="59">
        <v>3.33</v>
      </c>
      <c r="AG62" s="59">
        <v>3.33</v>
      </c>
      <c r="AH62" s="59">
        <v>3.33</v>
      </c>
      <c r="AI62" s="59">
        <v>3.33</v>
      </c>
      <c r="AJ62" s="59">
        <v>3.33</v>
      </c>
      <c r="AK62" s="59">
        <v>3.33</v>
      </c>
      <c r="AL62" s="59">
        <v>3.33</v>
      </c>
      <c r="AM62" s="59">
        <v>3.33</v>
      </c>
      <c r="AX62" s="6">
        <f t="shared" si="4"/>
        <v>28</v>
      </c>
      <c r="AY62" s="6">
        <f t="shared" si="0"/>
        <v>2</v>
      </c>
      <c r="AZ62" s="6">
        <f t="shared" si="1"/>
        <v>0</v>
      </c>
      <c r="BA62" s="6">
        <f t="shared" si="2"/>
        <v>30</v>
      </c>
      <c r="BB62" s="7" t="s">
        <v>203</v>
      </c>
    </row>
    <row r="63" spans="1:54" x14ac:dyDescent="0.25">
      <c r="A63" s="43">
        <f t="shared" si="3"/>
        <v>242510238</v>
      </c>
      <c r="B63" s="59" t="s">
        <v>154</v>
      </c>
      <c r="C63" s="59" t="s">
        <v>66</v>
      </c>
      <c r="D63" s="59" t="s">
        <v>183</v>
      </c>
      <c r="E63" s="59" t="s">
        <v>47</v>
      </c>
      <c r="F63" s="59" t="s">
        <v>308</v>
      </c>
      <c r="G63" s="59" t="s">
        <v>309</v>
      </c>
      <c r="H63" s="59" t="s">
        <v>228</v>
      </c>
      <c r="I63" s="59" t="s">
        <v>210</v>
      </c>
      <c r="J63" s="59">
        <v>3.33</v>
      </c>
      <c r="K63" s="59">
        <v>3.33</v>
      </c>
      <c r="L63" s="59">
        <v>3.33</v>
      </c>
      <c r="M63" s="59">
        <v>3.33</v>
      </c>
      <c r="N63" s="59">
        <v>3.33</v>
      </c>
      <c r="O63" s="59">
        <v>3.33</v>
      </c>
      <c r="P63" s="59">
        <v>3.33</v>
      </c>
      <c r="Q63" s="59">
        <v>3.33</v>
      </c>
      <c r="R63" s="59">
        <v>3.33</v>
      </c>
      <c r="S63" s="59">
        <v>3.33</v>
      </c>
      <c r="T63" s="59">
        <v>3.33</v>
      </c>
      <c r="U63" s="59">
        <v>3.33</v>
      </c>
      <c r="V63" s="59">
        <v>3.33</v>
      </c>
      <c r="W63" s="59">
        <v>3.33</v>
      </c>
      <c r="X63" s="59">
        <v>3.33</v>
      </c>
      <c r="Y63" s="59">
        <v>3.33</v>
      </c>
      <c r="Z63" s="59">
        <v>3.33</v>
      </c>
      <c r="AA63" s="59">
        <v>3.33</v>
      </c>
      <c r="AB63" s="59">
        <v>3.33</v>
      </c>
      <c r="AC63" s="59">
        <v>3.33</v>
      </c>
      <c r="AD63" s="59">
        <v>3.33</v>
      </c>
      <c r="AE63" s="59">
        <v>3.33</v>
      </c>
      <c r="AF63" s="59">
        <v>3.33</v>
      </c>
      <c r="AG63" s="59">
        <v>3.33</v>
      </c>
      <c r="AH63" s="59">
        <v>0</v>
      </c>
      <c r="AI63" s="59">
        <v>3.33</v>
      </c>
      <c r="AJ63" s="59">
        <v>3.33</v>
      </c>
      <c r="AK63" s="59">
        <v>3.33</v>
      </c>
      <c r="AL63" s="59">
        <v>3.33</v>
      </c>
      <c r="AM63" s="59">
        <v>3.33</v>
      </c>
      <c r="AX63" s="6">
        <f t="shared" si="4"/>
        <v>29</v>
      </c>
      <c r="AY63" s="6">
        <f t="shared" si="0"/>
        <v>1</v>
      </c>
      <c r="AZ63" s="6">
        <f t="shared" si="1"/>
        <v>0</v>
      </c>
      <c r="BA63" s="6">
        <f t="shared" si="2"/>
        <v>30</v>
      </c>
      <c r="BB63" s="7" t="s">
        <v>203</v>
      </c>
    </row>
    <row r="64" spans="1:54" x14ac:dyDescent="0.25">
      <c r="A64" s="43">
        <f t="shared" si="3"/>
        <v>242510192</v>
      </c>
      <c r="B64" s="59" t="s">
        <v>154</v>
      </c>
      <c r="C64" s="59" t="s">
        <v>57</v>
      </c>
      <c r="D64" s="59" t="s">
        <v>214</v>
      </c>
      <c r="E64" s="59" t="s">
        <v>47</v>
      </c>
      <c r="F64" s="59" t="s">
        <v>308</v>
      </c>
      <c r="G64" s="59" t="s">
        <v>245</v>
      </c>
      <c r="H64" s="59" t="s">
        <v>310</v>
      </c>
      <c r="I64" s="59" t="s">
        <v>311</v>
      </c>
      <c r="J64" s="59">
        <v>3.33</v>
      </c>
      <c r="K64" s="59">
        <v>3.33</v>
      </c>
      <c r="L64" s="59">
        <v>3.33</v>
      </c>
      <c r="M64" s="59">
        <v>3.33</v>
      </c>
      <c r="N64" s="59">
        <v>0</v>
      </c>
      <c r="O64" s="59">
        <v>3.33</v>
      </c>
      <c r="P64" s="59">
        <v>3.33</v>
      </c>
      <c r="Q64" s="59">
        <v>3.33</v>
      </c>
      <c r="R64" s="59">
        <v>3.33</v>
      </c>
      <c r="S64" s="59">
        <v>3.33</v>
      </c>
      <c r="T64" s="59">
        <v>0</v>
      </c>
      <c r="U64" s="59">
        <v>0</v>
      </c>
      <c r="V64" s="59">
        <v>3.33</v>
      </c>
      <c r="W64" s="59">
        <v>3.33</v>
      </c>
      <c r="X64" s="59">
        <v>0</v>
      </c>
      <c r="Y64" s="59">
        <v>3.33</v>
      </c>
      <c r="Z64" s="59">
        <v>3.33</v>
      </c>
      <c r="AA64" s="59">
        <v>0</v>
      </c>
      <c r="AB64" s="59">
        <v>0</v>
      </c>
      <c r="AC64" s="59">
        <v>0</v>
      </c>
      <c r="AD64" s="59">
        <v>3.33</v>
      </c>
      <c r="AE64" s="59">
        <v>3.33</v>
      </c>
      <c r="AF64" s="59">
        <v>0</v>
      </c>
      <c r="AG64" s="59">
        <v>3.33</v>
      </c>
      <c r="AH64" s="59">
        <v>0</v>
      </c>
      <c r="AI64" s="59">
        <v>3.33</v>
      </c>
      <c r="AJ64" s="59">
        <v>0</v>
      </c>
      <c r="AK64" s="59">
        <v>3.33</v>
      </c>
      <c r="AL64" s="59">
        <v>3.33</v>
      </c>
      <c r="AM64" s="59">
        <v>3.33</v>
      </c>
      <c r="AX64" s="6">
        <f t="shared" si="4"/>
        <v>20</v>
      </c>
      <c r="AY64" s="6">
        <f t="shared" si="0"/>
        <v>10</v>
      </c>
      <c r="AZ64" s="6">
        <f t="shared" si="1"/>
        <v>0</v>
      </c>
      <c r="BA64" s="6">
        <f t="shared" si="2"/>
        <v>30</v>
      </c>
      <c r="BB64" s="7" t="s">
        <v>203</v>
      </c>
    </row>
    <row r="65" spans="1:54" x14ac:dyDescent="0.25">
      <c r="A65" s="43">
        <f t="shared" si="3"/>
        <v>242510289</v>
      </c>
      <c r="B65" s="59" t="s">
        <v>154</v>
      </c>
      <c r="C65" s="59" t="s">
        <v>82</v>
      </c>
      <c r="D65" s="59" t="s">
        <v>159</v>
      </c>
      <c r="E65" s="59" t="s">
        <v>47</v>
      </c>
      <c r="F65" s="59" t="s">
        <v>308</v>
      </c>
      <c r="G65" s="59" t="s">
        <v>249</v>
      </c>
      <c r="H65" s="59" t="s">
        <v>312</v>
      </c>
      <c r="I65" s="59" t="s">
        <v>50</v>
      </c>
      <c r="J65" s="59">
        <v>3.33</v>
      </c>
      <c r="K65" s="59">
        <v>3.33</v>
      </c>
      <c r="L65" s="59">
        <v>3.33</v>
      </c>
      <c r="M65" s="59">
        <v>3.33</v>
      </c>
      <c r="N65" s="59">
        <v>3.33</v>
      </c>
      <c r="O65" s="59">
        <v>3.33</v>
      </c>
      <c r="P65" s="59">
        <v>3.33</v>
      </c>
      <c r="Q65" s="59">
        <v>3.33</v>
      </c>
      <c r="R65" s="59">
        <v>3.33</v>
      </c>
      <c r="S65" s="59">
        <v>3.33</v>
      </c>
      <c r="T65" s="59">
        <v>3.33</v>
      </c>
      <c r="U65" s="59">
        <v>3.33</v>
      </c>
      <c r="V65" s="59">
        <v>3.33</v>
      </c>
      <c r="W65" s="59">
        <v>3.33</v>
      </c>
      <c r="X65" s="59">
        <v>3.33</v>
      </c>
      <c r="Y65" s="59">
        <v>3.33</v>
      </c>
      <c r="Z65" s="59">
        <v>3.33</v>
      </c>
      <c r="AA65" s="59">
        <v>3.33</v>
      </c>
      <c r="AB65" s="59">
        <v>3.33</v>
      </c>
      <c r="AC65" s="59">
        <v>3.33</v>
      </c>
      <c r="AD65" s="59">
        <v>3.33</v>
      </c>
      <c r="AE65" s="59">
        <v>3.33</v>
      </c>
      <c r="AF65" s="59">
        <v>3.33</v>
      </c>
      <c r="AG65" s="59">
        <v>3.33</v>
      </c>
      <c r="AH65" s="59">
        <v>3.33</v>
      </c>
      <c r="AI65" s="59">
        <v>3.33</v>
      </c>
      <c r="AJ65" s="59">
        <v>3.33</v>
      </c>
      <c r="AK65" s="59">
        <v>3.33</v>
      </c>
      <c r="AL65" s="59">
        <v>3.33</v>
      </c>
      <c r="AM65" s="59">
        <v>3.33</v>
      </c>
      <c r="AX65" s="6">
        <f t="shared" si="4"/>
        <v>30</v>
      </c>
      <c r="AY65" s="6">
        <f t="shared" si="0"/>
        <v>0</v>
      </c>
      <c r="AZ65" s="6">
        <f t="shared" si="1"/>
        <v>0</v>
      </c>
      <c r="BA65" s="6">
        <f t="shared" si="2"/>
        <v>30</v>
      </c>
      <c r="BB65" s="7" t="s">
        <v>203</v>
      </c>
    </row>
    <row r="66" spans="1:54" x14ac:dyDescent="0.25">
      <c r="A66" s="43">
        <f t="shared" si="3"/>
        <v>242510361</v>
      </c>
      <c r="B66" s="59" t="s">
        <v>122</v>
      </c>
      <c r="C66" s="59" t="s">
        <v>121</v>
      </c>
      <c r="D66" s="59" t="s">
        <v>161</v>
      </c>
      <c r="E66" s="59" t="s">
        <v>47</v>
      </c>
      <c r="F66" s="59" t="s">
        <v>308</v>
      </c>
      <c r="G66" s="59" t="s">
        <v>278</v>
      </c>
      <c r="H66" s="59" t="s">
        <v>313</v>
      </c>
      <c r="I66" s="59" t="s">
        <v>209</v>
      </c>
      <c r="J66" s="59">
        <v>3.33</v>
      </c>
      <c r="K66" s="59">
        <v>3.33</v>
      </c>
      <c r="L66" s="59">
        <v>3.33</v>
      </c>
      <c r="M66" s="59">
        <v>3.33</v>
      </c>
      <c r="N66" s="59">
        <v>3.33</v>
      </c>
      <c r="O66" s="59">
        <v>3.33</v>
      </c>
      <c r="P66" s="59">
        <v>3.33</v>
      </c>
      <c r="Q66" s="59">
        <v>3.33</v>
      </c>
      <c r="R66" s="59">
        <v>3.33</v>
      </c>
      <c r="S66" s="59">
        <v>3.33</v>
      </c>
      <c r="T66" s="59">
        <v>3.33</v>
      </c>
      <c r="U66" s="59">
        <v>3.33</v>
      </c>
      <c r="V66" s="59">
        <v>3.33</v>
      </c>
      <c r="W66" s="59">
        <v>3.33</v>
      </c>
      <c r="X66" s="59">
        <v>3.33</v>
      </c>
      <c r="Y66" s="59">
        <v>3.33</v>
      </c>
      <c r="Z66" s="59">
        <v>3.33</v>
      </c>
      <c r="AA66" s="59">
        <v>0</v>
      </c>
      <c r="AB66" s="59">
        <v>3.33</v>
      </c>
      <c r="AC66" s="59">
        <v>0</v>
      </c>
      <c r="AD66" s="59">
        <v>3.33</v>
      </c>
      <c r="AE66" s="59">
        <v>3.33</v>
      </c>
      <c r="AF66" s="59">
        <v>3.33</v>
      </c>
      <c r="AG66" s="59">
        <v>3.33</v>
      </c>
      <c r="AH66" s="59">
        <v>3.33</v>
      </c>
      <c r="AI66" s="59">
        <v>3.33</v>
      </c>
      <c r="AJ66" s="59">
        <v>3.33</v>
      </c>
      <c r="AK66" s="59">
        <v>3.33</v>
      </c>
      <c r="AL66" s="59">
        <v>3.33</v>
      </c>
      <c r="AM66" s="59">
        <v>3.33</v>
      </c>
      <c r="AX66" s="6">
        <f t="shared" si="4"/>
        <v>28</v>
      </c>
      <c r="AY66" s="6">
        <f t="shared" si="0"/>
        <v>2</v>
      </c>
      <c r="AZ66" s="6">
        <f t="shared" si="1"/>
        <v>0</v>
      </c>
      <c r="BA66" s="6">
        <f t="shared" si="2"/>
        <v>30</v>
      </c>
      <c r="BB66" s="7" t="s">
        <v>203</v>
      </c>
    </row>
    <row r="67" spans="1:54" x14ac:dyDescent="0.25">
      <c r="A67" s="43">
        <f t="shared" si="3"/>
        <v>242510232</v>
      </c>
      <c r="B67" s="59" t="s">
        <v>122</v>
      </c>
      <c r="C67" s="59" t="s">
        <v>95</v>
      </c>
      <c r="D67" s="59" t="s">
        <v>145</v>
      </c>
      <c r="E67" s="59" t="s">
        <v>47</v>
      </c>
      <c r="F67" s="59" t="s">
        <v>308</v>
      </c>
      <c r="G67" s="59" t="s">
        <v>301</v>
      </c>
      <c r="H67" s="59" t="s">
        <v>225</v>
      </c>
      <c r="I67" s="59" t="s">
        <v>210</v>
      </c>
      <c r="J67" s="59">
        <v>3.33</v>
      </c>
      <c r="K67" s="59">
        <v>3.33</v>
      </c>
      <c r="L67" s="59">
        <v>3.33</v>
      </c>
      <c r="M67" s="59">
        <v>3.33</v>
      </c>
      <c r="N67" s="59">
        <v>3.33</v>
      </c>
      <c r="O67" s="59">
        <v>0</v>
      </c>
      <c r="P67" s="59">
        <v>3.33</v>
      </c>
      <c r="Q67" s="59">
        <v>3.33</v>
      </c>
      <c r="R67" s="59">
        <v>3.33</v>
      </c>
      <c r="S67" s="59">
        <v>3.33</v>
      </c>
      <c r="T67" s="59">
        <v>3.33</v>
      </c>
      <c r="U67" s="59">
        <v>3.33</v>
      </c>
      <c r="V67" s="59">
        <v>3.33</v>
      </c>
      <c r="W67" s="59">
        <v>3.33</v>
      </c>
      <c r="X67" s="59">
        <v>3.33</v>
      </c>
      <c r="Y67" s="59">
        <v>3.33</v>
      </c>
      <c r="Z67" s="59">
        <v>3.33</v>
      </c>
      <c r="AA67" s="59">
        <v>3.33</v>
      </c>
      <c r="AB67" s="59">
        <v>3.33</v>
      </c>
      <c r="AC67" s="59">
        <v>3.33</v>
      </c>
      <c r="AD67" s="59">
        <v>3.33</v>
      </c>
      <c r="AE67" s="59">
        <v>3.33</v>
      </c>
      <c r="AF67" s="59">
        <v>3.33</v>
      </c>
      <c r="AG67" s="59">
        <v>3.33</v>
      </c>
      <c r="AH67" s="59">
        <v>3.33</v>
      </c>
      <c r="AI67" s="59">
        <v>3.33</v>
      </c>
      <c r="AJ67" s="59">
        <v>3.33</v>
      </c>
      <c r="AK67" s="59">
        <v>3.33</v>
      </c>
      <c r="AL67" s="59">
        <v>3.33</v>
      </c>
      <c r="AM67" s="59">
        <v>3.33</v>
      </c>
      <c r="AX67" s="6">
        <f t="shared" ref="AX67:AX130" si="5">COUNTIF(J67:AW67,"&gt;1")</f>
        <v>29</v>
      </c>
      <c r="AY67" s="6">
        <f t="shared" ref="AY67:AY130" si="6">COUNTIF(J67:AW67,0)</f>
        <v>1</v>
      </c>
      <c r="AZ67" s="6">
        <f t="shared" ref="AZ67:AZ130" si="7">COUNTIF(J67:AW67,"-")</f>
        <v>0</v>
      </c>
      <c r="BA67" s="6">
        <f t="shared" ref="BA67:BA130" si="8">SUM(AX67:AZ67)</f>
        <v>30</v>
      </c>
      <c r="BB67" s="7" t="s">
        <v>203</v>
      </c>
    </row>
    <row r="68" spans="1:54" x14ac:dyDescent="0.25">
      <c r="A68" s="43">
        <f t="shared" ref="A68:A131" si="9">_xlfn.NUMBERVALUE(LEFT(D68,9))</f>
        <v>242510258</v>
      </c>
      <c r="B68" s="59" t="s">
        <v>122</v>
      </c>
      <c r="C68" s="59" t="s">
        <v>87</v>
      </c>
      <c r="D68" s="59" t="s">
        <v>169</v>
      </c>
      <c r="E68" s="59" t="s">
        <v>47</v>
      </c>
      <c r="F68" s="59" t="s">
        <v>296</v>
      </c>
      <c r="G68" s="59" t="s">
        <v>260</v>
      </c>
      <c r="H68" s="59" t="s">
        <v>314</v>
      </c>
      <c r="I68" s="59" t="s">
        <v>209</v>
      </c>
      <c r="J68" s="59">
        <v>3.33</v>
      </c>
      <c r="K68" s="59">
        <v>3.33</v>
      </c>
      <c r="L68" s="59">
        <v>3.33</v>
      </c>
      <c r="M68" s="59">
        <v>3.33</v>
      </c>
      <c r="N68" s="59">
        <v>3.33</v>
      </c>
      <c r="O68" s="59">
        <v>3.33</v>
      </c>
      <c r="P68" s="59">
        <v>3.33</v>
      </c>
      <c r="Q68" s="59">
        <v>3.33</v>
      </c>
      <c r="R68" s="59">
        <v>3.33</v>
      </c>
      <c r="S68" s="59">
        <v>3.33</v>
      </c>
      <c r="T68" s="59">
        <v>3.33</v>
      </c>
      <c r="U68" s="59">
        <v>3.33</v>
      </c>
      <c r="V68" s="59">
        <v>3.33</v>
      </c>
      <c r="W68" s="59">
        <v>3.33</v>
      </c>
      <c r="X68" s="59">
        <v>3.33</v>
      </c>
      <c r="Y68" s="59">
        <v>3.33</v>
      </c>
      <c r="Z68" s="59">
        <v>3.33</v>
      </c>
      <c r="AA68" s="59">
        <v>0</v>
      </c>
      <c r="AB68" s="59">
        <v>3.33</v>
      </c>
      <c r="AC68" s="59">
        <v>3.33</v>
      </c>
      <c r="AD68" s="59">
        <v>3.33</v>
      </c>
      <c r="AE68" s="59">
        <v>3.33</v>
      </c>
      <c r="AF68" s="59">
        <v>3.33</v>
      </c>
      <c r="AG68" s="59">
        <v>3.33</v>
      </c>
      <c r="AH68" s="59">
        <v>3.33</v>
      </c>
      <c r="AI68" s="59">
        <v>0</v>
      </c>
      <c r="AJ68" s="59">
        <v>3.33</v>
      </c>
      <c r="AK68" s="59">
        <v>3.33</v>
      </c>
      <c r="AL68" s="59">
        <v>3.33</v>
      </c>
      <c r="AM68" s="59">
        <v>3.33</v>
      </c>
      <c r="AX68" s="6">
        <f t="shared" si="5"/>
        <v>28</v>
      </c>
      <c r="AY68" s="6">
        <f t="shared" si="6"/>
        <v>2</v>
      </c>
      <c r="AZ68" s="6">
        <f t="shared" si="7"/>
        <v>0</v>
      </c>
      <c r="BA68" s="6">
        <f t="shared" si="8"/>
        <v>30</v>
      </c>
      <c r="BB68" s="7" t="s">
        <v>203</v>
      </c>
    </row>
    <row r="69" spans="1:54" x14ac:dyDescent="0.25">
      <c r="A69" s="43">
        <f t="shared" si="9"/>
        <v>242510343</v>
      </c>
      <c r="B69" s="59" t="s">
        <v>122</v>
      </c>
      <c r="C69" s="59" t="s">
        <v>100</v>
      </c>
      <c r="D69" s="59" t="s">
        <v>135</v>
      </c>
      <c r="E69" s="59" t="s">
        <v>47</v>
      </c>
      <c r="F69" s="59" t="s">
        <v>315</v>
      </c>
      <c r="G69" s="59" t="s">
        <v>253</v>
      </c>
      <c r="H69" s="59" t="s">
        <v>316</v>
      </c>
      <c r="I69" s="59" t="s">
        <v>212</v>
      </c>
      <c r="J69" s="59">
        <v>3.33</v>
      </c>
      <c r="K69" s="59">
        <v>3.33</v>
      </c>
      <c r="L69" s="59">
        <v>3.33</v>
      </c>
      <c r="M69" s="59">
        <v>3.33</v>
      </c>
      <c r="N69" s="59">
        <v>3.33</v>
      </c>
      <c r="O69" s="59">
        <v>3.33</v>
      </c>
      <c r="P69" s="59">
        <v>3.33</v>
      </c>
      <c r="Q69" s="59">
        <v>0</v>
      </c>
      <c r="R69" s="59">
        <v>3.33</v>
      </c>
      <c r="S69" s="59">
        <v>3.33</v>
      </c>
      <c r="T69" s="59">
        <v>3.33</v>
      </c>
      <c r="U69" s="59">
        <v>3.33</v>
      </c>
      <c r="V69" s="59">
        <v>3.33</v>
      </c>
      <c r="W69" s="59">
        <v>3.33</v>
      </c>
      <c r="X69" s="59">
        <v>3.33</v>
      </c>
      <c r="Y69" s="59">
        <v>0</v>
      </c>
      <c r="Z69" s="59">
        <v>0</v>
      </c>
      <c r="AA69" s="59">
        <v>0</v>
      </c>
      <c r="AB69" s="59">
        <v>3.33</v>
      </c>
      <c r="AC69" s="59">
        <v>3.33</v>
      </c>
      <c r="AD69" s="59">
        <v>3.33</v>
      </c>
      <c r="AE69" s="59">
        <v>3.33</v>
      </c>
      <c r="AF69" s="59">
        <v>3.33</v>
      </c>
      <c r="AG69" s="59">
        <v>3.33</v>
      </c>
      <c r="AH69" s="59">
        <v>3.33</v>
      </c>
      <c r="AI69" s="59">
        <v>3.33</v>
      </c>
      <c r="AJ69" s="59">
        <v>3.33</v>
      </c>
      <c r="AK69" s="59">
        <v>0</v>
      </c>
      <c r="AL69" s="59">
        <v>3.33</v>
      </c>
      <c r="AM69" s="59">
        <v>3.33</v>
      </c>
      <c r="AX69" s="6">
        <f t="shared" si="5"/>
        <v>25</v>
      </c>
      <c r="AY69" s="6">
        <f t="shared" si="6"/>
        <v>5</v>
      </c>
      <c r="AZ69" s="6">
        <f t="shared" si="7"/>
        <v>0</v>
      </c>
      <c r="BA69" s="6">
        <f t="shared" si="8"/>
        <v>30</v>
      </c>
      <c r="BB69" s="7" t="s">
        <v>203</v>
      </c>
    </row>
    <row r="70" spans="1:54" x14ac:dyDescent="0.25">
      <c r="A70" s="43">
        <f t="shared" si="9"/>
        <v>242510064</v>
      </c>
      <c r="B70" s="59" t="s">
        <v>154</v>
      </c>
      <c r="C70" s="59" t="s">
        <v>69</v>
      </c>
      <c r="D70" s="59" t="s">
        <v>177</v>
      </c>
      <c r="E70" s="59" t="s">
        <v>47</v>
      </c>
      <c r="F70" s="59" t="s">
        <v>315</v>
      </c>
      <c r="G70" s="59" t="s">
        <v>233</v>
      </c>
      <c r="H70" s="59" t="s">
        <v>216</v>
      </c>
      <c r="I70" s="59" t="s">
        <v>210</v>
      </c>
      <c r="J70" s="59">
        <v>3.33</v>
      </c>
      <c r="K70" s="59">
        <v>3.33</v>
      </c>
      <c r="L70" s="59">
        <v>3.33</v>
      </c>
      <c r="M70" s="59">
        <v>3.33</v>
      </c>
      <c r="N70" s="59">
        <v>3.33</v>
      </c>
      <c r="O70" s="59">
        <v>3.33</v>
      </c>
      <c r="P70" s="59">
        <v>3.33</v>
      </c>
      <c r="Q70" s="59">
        <v>3.33</v>
      </c>
      <c r="R70" s="59">
        <v>3.33</v>
      </c>
      <c r="S70" s="59">
        <v>3.33</v>
      </c>
      <c r="T70" s="59">
        <v>3.33</v>
      </c>
      <c r="U70" s="59">
        <v>3.33</v>
      </c>
      <c r="V70" s="59">
        <v>3.33</v>
      </c>
      <c r="W70" s="59">
        <v>3.33</v>
      </c>
      <c r="X70" s="59">
        <v>3.33</v>
      </c>
      <c r="Y70" s="59">
        <v>3.33</v>
      </c>
      <c r="Z70" s="59">
        <v>3.33</v>
      </c>
      <c r="AA70" s="59">
        <v>0</v>
      </c>
      <c r="AB70" s="59">
        <v>3.33</v>
      </c>
      <c r="AC70" s="59">
        <v>3.33</v>
      </c>
      <c r="AD70" s="59">
        <v>3.33</v>
      </c>
      <c r="AE70" s="59">
        <v>3.33</v>
      </c>
      <c r="AF70" s="59">
        <v>3.33</v>
      </c>
      <c r="AG70" s="59">
        <v>3.33</v>
      </c>
      <c r="AH70" s="59">
        <v>3.33</v>
      </c>
      <c r="AI70" s="59">
        <v>3.33</v>
      </c>
      <c r="AJ70" s="59">
        <v>3.33</v>
      </c>
      <c r="AK70" s="59">
        <v>3.33</v>
      </c>
      <c r="AL70" s="59">
        <v>3.33</v>
      </c>
      <c r="AM70" s="59">
        <v>3.33</v>
      </c>
      <c r="AX70" s="6">
        <f t="shared" si="5"/>
        <v>29</v>
      </c>
      <c r="AY70" s="6">
        <f t="shared" si="6"/>
        <v>1</v>
      </c>
      <c r="AZ70" s="6">
        <f t="shared" si="7"/>
        <v>0</v>
      </c>
      <c r="BA70" s="6">
        <f t="shared" si="8"/>
        <v>30</v>
      </c>
      <c r="BB70" s="7" t="s">
        <v>203</v>
      </c>
    </row>
    <row r="71" spans="1:54" x14ac:dyDescent="0.25">
      <c r="A71" s="43">
        <f t="shared" si="9"/>
        <v>242510382</v>
      </c>
      <c r="B71" s="59" t="s">
        <v>154</v>
      </c>
      <c r="C71" s="59" t="s">
        <v>65</v>
      </c>
      <c r="D71" s="59" t="s">
        <v>175</v>
      </c>
      <c r="E71" s="59" t="s">
        <v>47</v>
      </c>
      <c r="F71" s="59" t="s">
        <v>317</v>
      </c>
      <c r="G71" s="59" t="s">
        <v>258</v>
      </c>
      <c r="H71" s="59" t="s">
        <v>318</v>
      </c>
      <c r="I71" s="59" t="s">
        <v>209</v>
      </c>
      <c r="J71" s="59">
        <v>3.33</v>
      </c>
      <c r="K71" s="59">
        <v>3.33</v>
      </c>
      <c r="L71" s="59">
        <v>3.33</v>
      </c>
      <c r="M71" s="59">
        <v>3.33</v>
      </c>
      <c r="N71" s="59">
        <v>3.33</v>
      </c>
      <c r="O71" s="59">
        <v>3.33</v>
      </c>
      <c r="P71" s="59">
        <v>3.33</v>
      </c>
      <c r="Q71" s="59">
        <v>3.33</v>
      </c>
      <c r="R71" s="59">
        <v>3.33</v>
      </c>
      <c r="S71" s="59">
        <v>3.33</v>
      </c>
      <c r="T71" s="59">
        <v>3.33</v>
      </c>
      <c r="U71" s="59">
        <v>3.33</v>
      </c>
      <c r="V71" s="59">
        <v>3.33</v>
      </c>
      <c r="W71" s="59">
        <v>3.33</v>
      </c>
      <c r="X71" s="59">
        <v>3.33</v>
      </c>
      <c r="Y71" s="59">
        <v>3.33</v>
      </c>
      <c r="Z71" s="59">
        <v>0</v>
      </c>
      <c r="AA71" s="59">
        <v>0</v>
      </c>
      <c r="AB71" s="59">
        <v>3.33</v>
      </c>
      <c r="AC71" s="59">
        <v>3.33</v>
      </c>
      <c r="AD71" s="59">
        <v>3.33</v>
      </c>
      <c r="AE71" s="59">
        <v>3.33</v>
      </c>
      <c r="AF71" s="59">
        <v>3.33</v>
      </c>
      <c r="AG71" s="59">
        <v>3.33</v>
      </c>
      <c r="AH71" s="59">
        <v>3.33</v>
      </c>
      <c r="AI71" s="59">
        <v>3.33</v>
      </c>
      <c r="AJ71" s="59">
        <v>3.33</v>
      </c>
      <c r="AK71" s="59">
        <v>3.33</v>
      </c>
      <c r="AL71" s="59">
        <v>3.33</v>
      </c>
      <c r="AM71" s="59">
        <v>3.33</v>
      </c>
      <c r="AX71" s="6">
        <f t="shared" si="5"/>
        <v>28</v>
      </c>
      <c r="AY71" s="6">
        <f t="shared" si="6"/>
        <v>2</v>
      </c>
      <c r="AZ71" s="6">
        <f t="shared" si="7"/>
        <v>0</v>
      </c>
      <c r="BA71" s="6">
        <f t="shared" si="8"/>
        <v>30</v>
      </c>
      <c r="BB71" s="7" t="s">
        <v>203</v>
      </c>
    </row>
    <row r="72" spans="1:54" x14ac:dyDescent="0.25">
      <c r="A72" s="43">
        <f t="shared" si="9"/>
        <v>0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X72" s="6">
        <f t="shared" si="5"/>
        <v>0</v>
      </c>
      <c r="AY72" s="6">
        <f t="shared" si="6"/>
        <v>0</v>
      </c>
      <c r="AZ72" s="6">
        <f t="shared" si="7"/>
        <v>0</v>
      </c>
      <c r="BA72" s="6">
        <f t="shared" si="8"/>
        <v>0</v>
      </c>
      <c r="BB72" s="7" t="s">
        <v>203</v>
      </c>
    </row>
    <row r="73" spans="1:54" x14ac:dyDescent="0.25">
      <c r="A73" s="43">
        <f t="shared" si="9"/>
        <v>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X73" s="6">
        <f t="shared" si="5"/>
        <v>0</v>
      </c>
      <c r="AY73" s="6">
        <f t="shared" si="6"/>
        <v>0</v>
      </c>
      <c r="AZ73" s="6">
        <f t="shared" si="7"/>
        <v>0</v>
      </c>
      <c r="BA73" s="6">
        <f t="shared" si="8"/>
        <v>0</v>
      </c>
      <c r="BB73" s="7" t="s">
        <v>203</v>
      </c>
    </row>
    <row r="74" spans="1:54" x14ac:dyDescent="0.25">
      <c r="A74" s="43">
        <f t="shared" si="9"/>
        <v>0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X74" s="6">
        <f t="shared" si="5"/>
        <v>0</v>
      </c>
      <c r="AY74" s="6">
        <f t="shared" si="6"/>
        <v>0</v>
      </c>
      <c r="AZ74" s="6">
        <f t="shared" si="7"/>
        <v>0</v>
      </c>
      <c r="BA74" s="6">
        <f t="shared" si="8"/>
        <v>0</v>
      </c>
      <c r="BB74" s="7" t="s">
        <v>203</v>
      </c>
    </row>
    <row r="75" spans="1:54" x14ac:dyDescent="0.25">
      <c r="A75" s="43">
        <f t="shared" si="9"/>
        <v>0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X75" s="6">
        <f t="shared" si="5"/>
        <v>0</v>
      </c>
      <c r="AY75" s="6">
        <f t="shared" si="6"/>
        <v>0</v>
      </c>
      <c r="AZ75" s="6">
        <f t="shared" si="7"/>
        <v>0</v>
      </c>
      <c r="BA75" s="6">
        <f t="shared" si="8"/>
        <v>0</v>
      </c>
      <c r="BB75" s="7" t="s">
        <v>203</v>
      </c>
    </row>
    <row r="76" spans="1:54" x14ac:dyDescent="0.25">
      <c r="A76" s="43">
        <f t="shared" si="9"/>
        <v>0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X76" s="6">
        <f t="shared" si="5"/>
        <v>0</v>
      </c>
      <c r="AY76" s="6">
        <f t="shared" si="6"/>
        <v>0</v>
      </c>
      <c r="AZ76" s="6">
        <f t="shared" si="7"/>
        <v>0</v>
      </c>
      <c r="BA76" s="6">
        <f t="shared" si="8"/>
        <v>0</v>
      </c>
      <c r="BB76" s="7" t="s">
        <v>203</v>
      </c>
    </row>
    <row r="77" spans="1:54" x14ac:dyDescent="0.25">
      <c r="A77" s="43">
        <f t="shared" si="9"/>
        <v>0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X77" s="6">
        <f t="shared" si="5"/>
        <v>0</v>
      </c>
      <c r="AY77" s="6">
        <f t="shared" si="6"/>
        <v>0</v>
      </c>
      <c r="AZ77" s="6">
        <f t="shared" si="7"/>
        <v>0</v>
      </c>
      <c r="BA77" s="6">
        <f t="shared" si="8"/>
        <v>0</v>
      </c>
      <c r="BB77" s="7" t="s">
        <v>203</v>
      </c>
    </row>
    <row r="78" spans="1:54" x14ac:dyDescent="0.25">
      <c r="A78" s="43">
        <f t="shared" si="9"/>
        <v>0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X78" s="6">
        <f t="shared" si="5"/>
        <v>0</v>
      </c>
      <c r="AY78" s="6">
        <f t="shared" si="6"/>
        <v>0</v>
      </c>
      <c r="AZ78" s="6">
        <f t="shared" si="7"/>
        <v>0</v>
      </c>
      <c r="BA78" s="6">
        <f t="shared" si="8"/>
        <v>0</v>
      </c>
      <c r="BB78" s="7" t="s">
        <v>203</v>
      </c>
    </row>
    <row r="79" spans="1:54" x14ac:dyDescent="0.25">
      <c r="A79" s="43">
        <f t="shared" si="9"/>
        <v>0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X79" s="6">
        <f t="shared" si="5"/>
        <v>0</v>
      </c>
      <c r="AY79" s="6">
        <f t="shared" si="6"/>
        <v>0</v>
      </c>
      <c r="AZ79" s="6">
        <f t="shared" si="7"/>
        <v>0</v>
      </c>
      <c r="BA79" s="6">
        <f t="shared" si="8"/>
        <v>0</v>
      </c>
      <c r="BB79" s="7" t="s">
        <v>203</v>
      </c>
    </row>
    <row r="80" spans="1:54" x14ac:dyDescent="0.25">
      <c r="A80" s="43">
        <f t="shared" si="9"/>
        <v>0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X80" s="6">
        <f t="shared" si="5"/>
        <v>0</v>
      </c>
      <c r="AY80" s="6">
        <f t="shared" si="6"/>
        <v>0</v>
      </c>
      <c r="AZ80" s="6">
        <f t="shared" si="7"/>
        <v>0</v>
      </c>
      <c r="BA80" s="6">
        <f t="shared" si="8"/>
        <v>0</v>
      </c>
      <c r="BB80" s="7" t="s">
        <v>203</v>
      </c>
    </row>
    <row r="81" spans="1:54" x14ac:dyDescent="0.25">
      <c r="A81" s="43">
        <f t="shared" si="9"/>
        <v>0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X81" s="6">
        <f t="shared" si="5"/>
        <v>0</v>
      </c>
      <c r="AY81" s="6">
        <f t="shared" si="6"/>
        <v>0</v>
      </c>
      <c r="AZ81" s="6">
        <f t="shared" si="7"/>
        <v>0</v>
      </c>
      <c r="BA81" s="6">
        <f t="shared" si="8"/>
        <v>0</v>
      </c>
      <c r="BB81" s="7" t="s">
        <v>203</v>
      </c>
    </row>
    <row r="82" spans="1:54" x14ac:dyDescent="0.25">
      <c r="A82" s="43">
        <f t="shared" si="9"/>
        <v>0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X82" s="6">
        <f t="shared" si="5"/>
        <v>0</v>
      </c>
      <c r="AY82" s="6">
        <f t="shared" si="6"/>
        <v>0</v>
      </c>
      <c r="AZ82" s="6">
        <f t="shared" si="7"/>
        <v>0</v>
      </c>
      <c r="BA82" s="6">
        <f t="shared" si="8"/>
        <v>0</v>
      </c>
      <c r="BB82" s="7" t="s">
        <v>203</v>
      </c>
    </row>
    <row r="83" spans="1:54" x14ac:dyDescent="0.25">
      <c r="A83" s="43">
        <f t="shared" si="9"/>
        <v>0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X83" s="6">
        <f t="shared" si="5"/>
        <v>0</v>
      </c>
      <c r="AY83" s="6">
        <f t="shared" si="6"/>
        <v>0</v>
      </c>
      <c r="AZ83" s="6">
        <f t="shared" si="7"/>
        <v>0</v>
      </c>
      <c r="BA83" s="6">
        <f t="shared" si="8"/>
        <v>0</v>
      </c>
      <c r="BB83" s="7" t="s">
        <v>203</v>
      </c>
    </row>
    <row r="84" spans="1:54" x14ac:dyDescent="0.25">
      <c r="A84" s="43">
        <f t="shared" si="9"/>
        <v>0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X84" s="6">
        <f t="shared" si="5"/>
        <v>0</v>
      </c>
      <c r="AY84" s="6">
        <f t="shared" si="6"/>
        <v>0</v>
      </c>
      <c r="AZ84" s="6">
        <f t="shared" si="7"/>
        <v>0</v>
      </c>
      <c r="BA84" s="6">
        <f t="shared" si="8"/>
        <v>0</v>
      </c>
      <c r="BB84" s="7" t="s">
        <v>203</v>
      </c>
    </row>
    <row r="85" spans="1:54" x14ac:dyDescent="0.25">
      <c r="A85" s="43">
        <f t="shared" si="9"/>
        <v>0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X85" s="6">
        <f t="shared" si="5"/>
        <v>0</v>
      </c>
      <c r="AY85" s="6">
        <f t="shared" si="6"/>
        <v>0</v>
      </c>
      <c r="AZ85" s="6">
        <f t="shared" si="7"/>
        <v>0</v>
      </c>
      <c r="BA85" s="6">
        <f t="shared" si="8"/>
        <v>0</v>
      </c>
      <c r="BB85" s="7" t="s">
        <v>203</v>
      </c>
    </row>
    <row r="86" spans="1:54" x14ac:dyDescent="0.25">
      <c r="A86" s="43">
        <f t="shared" si="9"/>
        <v>0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X86" s="6">
        <f t="shared" si="5"/>
        <v>0</v>
      </c>
      <c r="AY86" s="6">
        <f t="shared" si="6"/>
        <v>0</v>
      </c>
      <c r="AZ86" s="6">
        <f t="shared" si="7"/>
        <v>0</v>
      </c>
      <c r="BA86" s="6">
        <f t="shared" si="8"/>
        <v>0</v>
      </c>
      <c r="BB86" s="7" t="s">
        <v>203</v>
      </c>
    </row>
    <row r="87" spans="1:54" x14ac:dyDescent="0.25">
      <c r="A87" s="43">
        <f t="shared" si="9"/>
        <v>0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X87" s="6">
        <f t="shared" si="5"/>
        <v>0</v>
      </c>
      <c r="AY87" s="6">
        <f t="shared" si="6"/>
        <v>0</v>
      </c>
      <c r="AZ87" s="6">
        <f t="shared" si="7"/>
        <v>0</v>
      </c>
      <c r="BA87" s="6">
        <f t="shared" si="8"/>
        <v>0</v>
      </c>
      <c r="BB87" s="7" t="s">
        <v>203</v>
      </c>
    </row>
    <row r="88" spans="1:54" x14ac:dyDescent="0.25">
      <c r="A88" s="43">
        <f t="shared" si="9"/>
        <v>0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X88" s="6">
        <f t="shared" si="5"/>
        <v>0</v>
      </c>
      <c r="AY88" s="6">
        <f t="shared" si="6"/>
        <v>0</v>
      </c>
      <c r="AZ88" s="6">
        <f t="shared" si="7"/>
        <v>0</v>
      </c>
      <c r="BA88" s="6">
        <f t="shared" si="8"/>
        <v>0</v>
      </c>
      <c r="BB88" s="7" t="s">
        <v>203</v>
      </c>
    </row>
    <row r="89" spans="1:54" x14ac:dyDescent="0.25">
      <c r="A89" s="43">
        <f t="shared" si="9"/>
        <v>0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X89" s="6">
        <f t="shared" si="5"/>
        <v>0</v>
      </c>
      <c r="AY89" s="6">
        <f t="shared" si="6"/>
        <v>0</v>
      </c>
      <c r="AZ89" s="6">
        <f t="shared" si="7"/>
        <v>0</v>
      </c>
      <c r="BA89" s="6">
        <f t="shared" si="8"/>
        <v>0</v>
      </c>
      <c r="BB89" s="7" t="s">
        <v>203</v>
      </c>
    </row>
    <row r="90" spans="1:54" x14ac:dyDescent="0.25">
      <c r="A90" s="43">
        <f t="shared" si="9"/>
        <v>0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X90" s="6">
        <f t="shared" si="5"/>
        <v>0</v>
      </c>
      <c r="AY90" s="6">
        <f t="shared" si="6"/>
        <v>0</v>
      </c>
      <c r="AZ90" s="6">
        <f t="shared" si="7"/>
        <v>0</v>
      </c>
      <c r="BA90" s="6">
        <f t="shared" si="8"/>
        <v>0</v>
      </c>
      <c r="BB90" s="7" t="s">
        <v>203</v>
      </c>
    </row>
    <row r="91" spans="1:54" x14ac:dyDescent="0.25">
      <c r="A91" s="43">
        <f t="shared" si="9"/>
        <v>0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X91" s="6">
        <f t="shared" si="5"/>
        <v>0</v>
      </c>
      <c r="AY91" s="6">
        <f t="shared" si="6"/>
        <v>0</v>
      </c>
      <c r="AZ91" s="6">
        <f t="shared" si="7"/>
        <v>0</v>
      </c>
      <c r="BA91" s="6">
        <f t="shared" si="8"/>
        <v>0</v>
      </c>
      <c r="BB91" s="7" t="s">
        <v>203</v>
      </c>
    </row>
    <row r="92" spans="1:54" x14ac:dyDescent="0.25">
      <c r="A92" s="43">
        <f t="shared" si="9"/>
        <v>0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X92" s="6">
        <f t="shared" si="5"/>
        <v>0</v>
      </c>
      <c r="AY92" s="6">
        <f t="shared" si="6"/>
        <v>0</v>
      </c>
      <c r="AZ92" s="6">
        <f t="shared" si="7"/>
        <v>0</v>
      </c>
      <c r="BA92" s="6">
        <f t="shared" si="8"/>
        <v>0</v>
      </c>
      <c r="BB92" s="7" t="s">
        <v>203</v>
      </c>
    </row>
    <row r="93" spans="1:54" x14ac:dyDescent="0.25">
      <c r="A93" s="43">
        <f t="shared" si="9"/>
        <v>0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X93" s="6">
        <f t="shared" si="5"/>
        <v>0</v>
      </c>
      <c r="AY93" s="6">
        <f t="shared" si="6"/>
        <v>0</v>
      </c>
      <c r="AZ93" s="6">
        <f t="shared" si="7"/>
        <v>0</v>
      </c>
      <c r="BA93" s="6">
        <f t="shared" si="8"/>
        <v>0</v>
      </c>
      <c r="BB93" s="7" t="s">
        <v>203</v>
      </c>
    </row>
    <row r="94" spans="1:54" x14ac:dyDescent="0.25">
      <c r="A94" s="43">
        <f t="shared" si="9"/>
        <v>0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X94" s="6">
        <f t="shared" si="5"/>
        <v>0</v>
      </c>
      <c r="AY94" s="6">
        <f t="shared" si="6"/>
        <v>0</v>
      </c>
      <c r="AZ94" s="6">
        <f t="shared" si="7"/>
        <v>0</v>
      </c>
      <c r="BA94" s="6">
        <f t="shared" si="8"/>
        <v>0</v>
      </c>
      <c r="BB94" s="7" t="s">
        <v>203</v>
      </c>
    </row>
    <row r="95" spans="1:54" x14ac:dyDescent="0.25">
      <c r="A95" s="43">
        <f t="shared" si="9"/>
        <v>0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X95" s="6">
        <f t="shared" si="5"/>
        <v>0</v>
      </c>
      <c r="AY95" s="6">
        <f t="shared" si="6"/>
        <v>0</v>
      </c>
      <c r="AZ95" s="6">
        <f t="shared" si="7"/>
        <v>0</v>
      </c>
      <c r="BA95" s="6">
        <f t="shared" si="8"/>
        <v>0</v>
      </c>
      <c r="BB95" s="7" t="s">
        <v>203</v>
      </c>
    </row>
    <row r="96" spans="1:54" x14ac:dyDescent="0.25">
      <c r="A96" s="43">
        <f t="shared" si="9"/>
        <v>0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X96" s="6">
        <f t="shared" si="5"/>
        <v>0</v>
      </c>
      <c r="AY96" s="6">
        <f t="shared" si="6"/>
        <v>0</v>
      </c>
      <c r="AZ96" s="6">
        <f t="shared" si="7"/>
        <v>0</v>
      </c>
      <c r="BA96" s="6">
        <f t="shared" si="8"/>
        <v>0</v>
      </c>
      <c r="BB96" s="7" t="s">
        <v>203</v>
      </c>
    </row>
    <row r="97" spans="1:54" x14ac:dyDescent="0.25">
      <c r="A97" s="43">
        <f t="shared" si="9"/>
        <v>0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X97" s="6">
        <f t="shared" si="5"/>
        <v>0</v>
      </c>
      <c r="AY97" s="6">
        <f t="shared" si="6"/>
        <v>0</v>
      </c>
      <c r="AZ97" s="6">
        <f t="shared" si="7"/>
        <v>0</v>
      </c>
      <c r="BA97" s="6">
        <f t="shared" si="8"/>
        <v>0</v>
      </c>
      <c r="BB97" s="7" t="s">
        <v>203</v>
      </c>
    </row>
    <row r="98" spans="1:54" x14ac:dyDescent="0.25">
      <c r="A98" s="43">
        <f t="shared" si="9"/>
        <v>0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X98" s="6">
        <f t="shared" si="5"/>
        <v>0</v>
      </c>
      <c r="AY98" s="6">
        <f t="shared" si="6"/>
        <v>0</v>
      </c>
      <c r="AZ98" s="6">
        <f t="shared" si="7"/>
        <v>0</v>
      </c>
      <c r="BA98" s="6">
        <f t="shared" si="8"/>
        <v>0</v>
      </c>
      <c r="BB98" s="7" t="s">
        <v>203</v>
      </c>
    </row>
    <row r="99" spans="1:54" x14ac:dyDescent="0.25">
      <c r="A99" s="43">
        <f t="shared" si="9"/>
        <v>0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X99" s="6">
        <f t="shared" si="5"/>
        <v>0</v>
      </c>
      <c r="AY99" s="6">
        <f t="shared" si="6"/>
        <v>0</v>
      </c>
      <c r="AZ99" s="6">
        <f t="shared" si="7"/>
        <v>0</v>
      </c>
      <c r="BA99" s="6">
        <f t="shared" si="8"/>
        <v>0</v>
      </c>
      <c r="BB99" s="7" t="s">
        <v>203</v>
      </c>
    </row>
    <row r="100" spans="1:54" x14ac:dyDescent="0.25">
      <c r="A100" s="43">
        <f t="shared" si="9"/>
        <v>0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X100" s="6">
        <f t="shared" si="5"/>
        <v>0</v>
      </c>
      <c r="AY100" s="6">
        <f t="shared" si="6"/>
        <v>0</v>
      </c>
      <c r="AZ100" s="6">
        <f t="shared" si="7"/>
        <v>0</v>
      </c>
      <c r="BA100" s="6">
        <f t="shared" si="8"/>
        <v>0</v>
      </c>
      <c r="BB100" s="7" t="s">
        <v>203</v>
      </c>
    </row>
    <row r="101" spans="1:54" x14ac:dyDescent="0.25">
      <c r="A101" s="43">
        <f t="shared" si="9"/>
        <v>0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X101" s="6">
        <f t="shared" si="5"/>
        <v>0</v>
      </c>
      <c r="AY101" s="6">
        <f t="shared" si="6"/>
        <v>0</v>
      </c>
      <c r="AZ101" s="6">
        <f t="shared" si="7"/>
        <v>0</v>
      </c>
      <c r="BA101" s="6">
        <f t="shared" si="8"/>
        <v>0</v>
      </c>
      <c r="BB101" s="7" t="s">
        <v>203</v>
      </c>
    </row>
    <row r="102" spans="1:54" x14ac:dyDescent="0.25">
      <c r="A102" s="43">
        <f t="shared" si="9"/>
        <v>0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X102" s="6">
        <f t="shared" si="5"/>
        <v>0</v>
      </c>
      <c r="AY102" s="6">
        <f t="shared" si="6"/>
        <v>0</v>
      </c>
      <c r="AZ102" s="6">
        <f t="shared" si="7"/>
        <v>0</v>
      </c>
      <c r="BA102" s="6">
        <f t="shared" si="8"/>
        <v>0</v>
      </c>
      <c r="BB102" s="7" t="s">
        <v>203</v>
      </c>
    </row>
    <row r="103" spans="1:54" x14ac:dyDescent="0.25">
      <c r="A103" s="43">
        <f t="shared" si="9"/>
        <v>0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X103" s="6">
        <f t="shared" si="5"/>
        <v>0</v>
      </c>
      <c r="AY103" s="6">
        <f t="shared" si="6"/>
        <v>0</v>
      </c>
      <c r="AZ103" s="6">
        <f t="shared" si="7"/>
        <v>0</v>
      </c>
      <c r="BA103" s="6">
        <f t="shared" si="8"/>
        <v>0</v>
      </c>
      <c r="BB103" s="7" t="s">
        <v>203</v>
      </c>
    </row>
    <row r="104" spans="1:54" x14ac:dyDescent="0.25">
      <c r="A104" s="43">
        <f t="shared" si="9"/>
        <v>0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X104" s="6">
        <f t="shared" si="5"/>
        <v>0</v>
      </c>
      <c r="AY104" s="6">
        <f t="shared" si="6"/>
        <v>0</v>
      </c>
      <c r="AZ104" s="6">
        <f t="shared" si="7"/>
        <v>0</v>
      </c>
      <c r="BA104" s="6">
        <f t="shared" si="8"/>
        <v>0</v>
      </c>
      <c r="BB104" s="7" t="s">
        <v>203</v>
      </c>
    </row>
    <row r="105" spans="1:54" x14ac:dyDescent="0.25">
      <c r="A105" s="43">
        <f t="shared" si="9"/>
        <v>0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X105" s="6">
        <f t="shared" si="5"/>
        <v>0</v>
      </c>
      <c r="AY105" s="6">
        <f t="shared" si="6"/>
        <v>0</v>
      </c>
      <c r="AZ105" s="6">
        <f t="shared" si="7"/>
        <v>0</v>
      </c>
      <c r="BA105" s="6">
        <f t="shared" si="8"/>
        <v>0</v>
      </c>
      <c r="BB105" s="7" t="s">
        <v>203</v>
      </c>
    </row>
    <row r="106" spans="1:54" x14ac:dyDescent="0.25">
      <c r="A106" s="43">
        <f t="shared" si="9"/>
        <v>0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X106" s="6">
        <f t="shared" si="5"/>
        <v>0</v>
      </c>
      <c r="AY106" s="6">
        <f t="shared" si="6"/>
        <v>0</v>
      </c>
      <c r="AZ106" s="6">
        <f t="shared" si="7"/>
        <v>0</v>
      </c>
      <c r="BA106" s="6">
        <f t="shared" si="8"/>
        <v>0</v>
      </c>
      <c r="BB106" s="7" t="s">
        <v>203</v>
      </c>
    </row>
    <row r="107" spans="1:54" x14ac:dyDescent="0.25">
      <c r="A107" s="43">
        <f t="shared" si="9"/>
        <v>0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X107" s="6">
        <f t="shared" si="5"/>
        <v>0</v>
      </c>
      <c r="AY107" s="6">
        <f t="shared" si="6"/>
        <v>0</v>
      </c>
      <c r="AZ107" s="6">
        <f t="shared" si="7"/>
        <v>0</v>
      </c>
      <c r="BA107" s="6">
        <f t="shared" si="8"/>
        <v>0</v>
      </c>
      <c r="BB107" s="7" t="s">
        <v>203</v>
      </c>
    </row>
    <row r="108" spans="1:54" x14ac:dyDescent="0.25">
      <c r="A108" s="43">
        <f t="shared" si="9"/>
        <v>0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X108" s="6">
        <f t="shared" si="5"/>
        <v>0</v>
      </c>
      <c r="AY108" s="6">
        <f t="shared" si="6"/>
        <v>0</v>
      </c>
      <c r="AZ108" s="6">
        <f t="shared" si="7"/>
        <v>0</v>
      </c>
      <c r="BA108" s="6">
        <f t="shared" si="8"/>
        <v>0</v>
      </c>
      <c r="BB108" s="7" t="s">
        <v>203</v>
      </c>
    </row>
    <row r="109" spans="1:54" x14ac:dyDescent="0.25">
      <c r="A109" s="43">
        <f t="shared" si="9"/>
        <v>0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X109" s="6">
        <f t="shared" si="5"/>
        <v>0</v>
      </c>
      <c r="AY109" s="6">
        <f t="shared" si="6"/>
        <v>0</v>
      </c>
      <c r="AZ109" s="6">
        <f t="shared" si="7"/>
        <v>0</v>
      </c>
      <c r="BA109" s="6">
        <f t="shared" si="8"/>
        <v>0</v>
      </c>
      <c r="BB109" s="7" t="s">
        <v>203</v>
      </c>
    </row>
    <row r="110" spans="1:54" x14ac:dyDescent="0.25">
      <c r="A110" s="43">
        <f t="shared" si="9"/>
        <v>0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X110" s="6">
        <f t="shared" si="5"/>
        <v>0</v>
      </c>
      <c r="AY110" s="6">
        <f t="shared" si="6"/>
        <v>0</v>
      </c>
      <c r="AZ110" s="6">
        <f t="shared" si="7"/>
        <v>0</v>
      </c>
      <c r="BA110" s="6">
        <f t="shared" si="8"/>
        <v>0</v>
      </c>
      <c r="BB110" s="7" t="s">
        <v>203</v>
      </c>
    </row>
    <row r="111" spans="1:54" x14ac:dyDescent="0.25">
      <c r="A111" s="43">
        <f t="shared" si="9"/>
        <v>0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X111" s="6">
        <f t="shared" si="5"/>
        <v>0</v>
      </c>
      <c r="AY111" s="6">
        <f t="shared" si="6"/>
        <v>0</v>
      </c>
      <c r="AZ111" s="6">
        <f t="shared" si="7"/>
        <v>0</v>
      </c>
      <c r="BA111" s="6">
        <f t="shared" si="8"/>
        <v>0</v>
      </c>
      <c r="BB111" s="7" t="s">
        <v>203</v>
      </c>
    </row>
    <row r="112" spans="1:54" x14ac:dyDescent="0.25">
      <c r="A112" s="43">
        <f t="shared" si="9"/>
        <v>0</v>
      </c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X112" s="6">
        <f t="shared" si="5"/>
        <v>0</v>
      </c>
      <c r="AY112" s="6">
        <f t="shared" si="6"/>
        <v>0</v>
      </c>
      <c r="AZ112" s="6">
        <f t="shared" si="7"/>
        <v>0</v>
      </c>
      <c r="BA112" s="6">
        <f t="shared" si="8"/>
        <v>0</v>
      </c>
      <c r="BB112" s="7" t="s">
        <v>203</v>
      </c>
    </row>
    <row r="113" spans="1:54" x14ac:dyDescent="0.25">
      <c r="A113" s="43">
        <f t="shared" si="9"/>
        <v>0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X113" s="6">
        <f t="shared" si="5"/>
        <v>0</v>
      </c>
      <c r="AY113" s="6">
        <f t="shared" si="6"/>
        <v>0</v>
      </c>
      <c r="AZ113" s="6">
        <f t="shared" si="7"/>
        <v>0</v>
      </c>
      <c r="BA113" s="6">
        <f t="shared" si="8"/>
        <v>0</v>
      </c>
      <c r="BB113" s="7" t="s">
        <v>203</v>
      </c>
    </row>
    <row r="114" spans="1:54" x14ac:dyDescent="0.25">
      <c r="A114" s="43">
        <f t="shared" si="9"/>
        <v>0</v>
      </c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X114" s="6">
        <f t="shared" si="5"/>
        <v>0</v>
      </c>
      <c r="AY114" s="6">
        <f t="shared" si="6"/>
        <v>0</v>
      </c>
      <c r="AZ114" s="6">
        <f t="shared" si="7"/>
        <v>0</v>
      </c>
      <c r="BA114" s="6">
        <f t="shared" si="8"/>
        <v>0</v>
      </c>
      <c r="BB114" s="7" t="s">
        <v>203</v>
      </c>
    </row>
    <row r="115" spans="1:54" x14ac:dyDescent="0.25">
      <c r="A115" s="43">
        <f t="shared" si="9"/>
        <v>0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X115" s="6">
        <f t="shared" si="5"/>
        <v>0</v>
      </c>
      <c r="AY115" s="6">
        <f t="shared" si="6"/>
        <v>0</v>
      </c>
      <c r="AZ115" s="6">
        <f t="shared" si="7"/>
        <v>0</v>
      </c>
      <c r="BA115" s="6">
        <f t="shared" si="8"/>
        <v>0</v>
      </c>
      <c r="BB115" s="7" t="s">
        <v>203</v>
      </c>
    </row>
    <row r="116" spans="1:54" x14ac:dyDescent="0.25">
      <c r="A116" s="43">
        <f t="shared" si="9"/>
        <v>0</v>
      </c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X116" s="6">
        <f t="shared" si="5"/>
        <v>0</v>
      </c>
      <c r="AY116" s="6">
        <f t="shared" si="6"/>
        <v>0</v>
      </c>
      <c r="AZ116" s="6">
        <f t="shared" si="7"/>
        <v>0</v>
      </c>
      <c r="BA116" s="6">
        <f t="shared" si="8"/>
        <v>0</v>
      </c>
      <c r="BB116" s="7" t="s">
        <v>203</v>
      </c>
    </row>
    <row r="117" spans="1:54" x14ac:dyDescent="0.25">
      <c r="A117" s="43">
        <f t="shared" si="9"/>
        <v>0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X117" s="6">
        <f t="shared" si="5"/>
        <v>0</v>
      </c>
      <c r="AY117" s="6">
        <f t="shared" si="6"/>
        <v>0</v>
      </c>
      <c r="AZ117" s="6">
        <f t="shared" si="7"/>
        <v>0</v>
      </c>
      <c r="BA117" s="6">
        <f t="shared" si="8"/>
        <v>0</v>
      </c>
      <c r="BB117" s="7" t="s">
        <v>203</v>
      </c>
    </row>
    <row r="118" spans="1:54" x14ac:dyDescent="0.25">
      <c r="A118" s="43">
        <f t="shared" si="9"/>
        <v>0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X118" s="6">
        <f t="shared" si="5"/>
        <v>0</v>
      </c>
      <c r="AY118" s="6">
        <f t="shared" si="6"/>
        <v>0</v>
      </c>
      <c r="AZ118" s="6">
        <f t="shared" si="7"/>
        <v>0</v>
      </c>
      <c r="BA118" s="6">
        <f t="shared" si="8"/>
        <v>0</v>
      </c>
      <c r="BB118" s="7" t="s">
        <v>203</v>
      </c>
    </row>
    <row r="119" spans="1:54" x14ac:dyDescent="0.25">
      <c r="A119" s="43">
        <f t="shared" si="9"/>
        <v>0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X119" s="6">
        <f t="shared" si="5"/>
        <v>0</v>
      </c>
      <c r="AY119" s="6">
        <f t="shared" si="6"/>
        <v>0</v>
      </c>
      <c r="AZ119" s="6">
        <f t="shared" si="7"/>
        <v>0</v>
      </c>
      <c r="BA119" s="6">
        <f t="shared" si="8"/>
        <v>0</v>
      </c>
      <c r="BB119" s="7" t="s">
        <v>203</v>
      </c>
    </row>
    <row r="120" spans="1:54" x14ac:dyDescent="0.25">
      <c r="A120" s="43">
        <f t="shared" si="9"/>
        <v>0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X120" s="6">
        <f t="shared" si="5"/>
        <v>0</v>
      </c>
      <c r="AY120" s="6">
        <f t="shared" si="6"/>
        <v>0</v>
      </c>
      <c r="AZ120" s="6">
        <f t="shared" si="7"/>
        <v>0</v>
      </c>
      <c r="BA120" s="6">
        <f t="shared" si="8"/>
        <v>0</v>
      </c>
      <c r="BB120" s="7" t="s">
        <v>203</v>
      </c>
    </row>
    <row r="121" spans="1:54" x14ac:dyDescent="0.25">
      <c r="A121" s="43">
        <f t="shared" si="9"/>
        <v>0</v>
      </c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X121" s="6">
        <f t="shared" si="5"/>
        <v>0</v>
      </c>
      <c r="AY121" s="6">
        <f t="shared" si="6"/>
        <v>0</v>
      </c>
      <c r="AZ121" s="6">
        <f t="shared" si="7"/>
        <v>0</v>
      </c>
      <c r="BA121" s="6">
        <f t="shared" si="8"/>
        <v>0</v>
      </c>
      <c r="BB121" s="7" t="s">
        <v>203</v>
      </c>
    </row>
    <row r="122" spans="1:54" x14ac:dyDescent="0.25">
      <c r="A122" s="43">
        <f t="shared" si="9"/>
        <v>0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X122" s="6">
        <f t="shared" si="5"/>
        <v>0</v>
      </c>
      <c r="AY122" s="6">
        <f t="shared" si="6"/>
        <v>0</v>
      </c>
      <c r="AZ122" s="6">
        <f t="shared" si="7"/>
        <v>0</v>
      </c>
      <c r="BA122" s="6">
        <f t="shared" si="8"/>
        <v>0</v>
      </c>
      <c r="BB122" s="7" t="s">
        <v>203</v>
      </c>
    </row>
    <row r="123" spans="1:54" x14ac:dyDescent="0.25">
      <c r="A123" s="43">
        <f t="shared" si="9"/>
        <v>0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X123" s="6">
        <f t="shared" si="5"/>
        <v>0</v>
      </c>
      <c r="AY123" s="6">
        <f t="shared" si="6"/>
        <v>0</v>
      </c>
      <c r="AZ123" s="6">
        <f t="shared" si="7"/>
        <v>0</v>
      </c>
      <c r="BA123" s="6">
        <f t="shared" si="8"/>
        <v>0</v>
      </c>
      <c r="BB123" s="7" t="s">
        <v>203</v>
      </c>
    </row>
    <row r="124" spans="1:54" x14ac:dyDescent="0.25">
      <c r="A124" s="43">
        <f t="shared" si="9"/>
        <v>0</v>
      </c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X124" s="6">
        <f t="shared" si="5"/>
        <v>0</v>
      </c>
      <c r="AY124" s="6">
        <f t="shared" si="6"/>
        <v>0</v>
      </c>
      <c r="AZ124" s="6">
        <f t="shared" si="7"/>
        <v>0</v>
      </c>
      <c r="BA124" s="6">
        <f t="shared" si="8"/>
        <v>0</v>
      </c>
      <c r="BB124" s="7" t="s">
        <v>203</v>
      </c>
    </row>
    <row r="125" spans="1:54" x14ac:dyDescent="0.25">
      <c r="A125" s="43">
        <f t="shared" si="9"/>
        <v>0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X125" s="6">
        <f t="shared" si="5"/>
        <v>0</v>
      </c>
      <c r="AY125" s="6">
        <f t="shared" si="6"/>
        <v>0</v>
      </c>
      <c r="AZ125" s="6">
        <f t="shared" si="7"/>
        <v>0</v>
      </c>
      <c r="BA125" s="6">
        <f t="shared" si="8"/>
        <v>0</v>
      </c>
      <c r="BB125" s="7" t="s">
        <v>203</v>
      </c>
    </row>
    <row r="126" spans="1:54" x14ac:dyDescent="0.25">
      <c r="A126" s="43">
        <f t="shared" si="9"/>
        <v>0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X126" s="6">
        <f t="shared" si="5"/>
        <v>0</v>
      </c>
      <c r="AY126" s="6">
        <f t="shared" si="6"/>
        <v>0</v>
      </c>
      <c r="AZ126" s="6">
        <f t="shared" si="7"/>
        <v>0</v>
      </c>
      <c r="BA126" s="6">
        <f t="shared" si="8"/>
        <v>0</v>
      </c>
      <c r="BB126" s="7" t="s">
        <v>203</v>
      </c>
    </row>
    <row r="127" spans="1:54" x14ac:dyDescent="0.25">
      <c r="A127" s="43">
        <f t="shared" si="9"/>
        <v>0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X127" s="6">
        <f t="shared" si="5"/>
        <v>0</v>
      </c>
      <c r="AY127" s="6">
        <f t="shared" si="6"/>
        <v>0</v>
      </c>
      <c r="AZ127" s="6">
        <f t="shared" si="7"/>
        <v>0</v>
      </c>
      <c r="BA127" s="6">
        <f t="shared" si="8"/>
        <v>0</v>
      </c>
      <c r="BB127" s="7" t="s">
        <v>203</v>
      </c>
    </row>
    <row r="128" spans="1:54" x14ac:dyDescent="0.25">
      <c r="A128" s="43">
        <f t="shared" si="9"/>
        <v>0</v>
      </c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X128" s="6">
        <f t="shared" si="5"/>
        <v>0</v>
      </c>
      <c r="AY128" s="6">
        <f t="shared" si="6"/>
        <v>0</v>
      </c>
      <c r="AZ128" s="6">
        <f t="shared" si="7"/>
        <v>0</v>
      </c>
      <c r="BA128" s="6">
        <f t="shared" si="8"/>
        <v>0</v>
      </c>
      <c r="BB128" s="7" t="s">
        <v>203</v>
      </c>
    </row>
    <row r="129" spans="1:54" x14ac:dyDescent="0.25">
      <c r="A129" s="43">
        <f t="shared" si="9"/>
        <v>0</v>
      </c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X129" s="6">
        <f t="shared" si="5"/>
        <v>0</v>
      </c>
      <c r="AY129" s="6">
        <f t="shared" si="6"/>
        <v>0</v>
      </c>
      <c r="AZ129" s="6">
        <f t="shared" si="7"/>
        <v>0</v>
      </c>
      <c r="BA129" s="6">
        <f t="shared" si="8"/>
        <v>0</v>
      </c>
      <c r="BB129" s="7" t="s">
        <v>203</v>
      </c>
    </row>
    <row r="130" spans="1:54" x14ac:dyDescent="0.25">
      <c r="A130" s="43">
        <f t="shared" si="9"/>
        <v>0</v>
      </c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X130" s="6">
        <f t="shared" si="5"/>
        <v>0</v>
      </c>
      <c r="AY130" s="6">
        <f t="shared" si="6"/>
        <v>0</v>
      </c>
      <c r="AZ130" s="6">
        <f t="shared" si="7"/>
        <v>0</v>
      </c>
      <c r="BA130" s="6">
        <f t="shared" si="8"/>
        <v>0</v>
      </c>
      <c r="BB130" s="7" t="s">
        <v>203</v>
      </c>
    </row>
    <row r="131" spans="1:54" x14ac:dyDescent="0.25">
      <c r="A131" s="43">
        <f t="shared" si="9"/>
        <v>0</v>
      </c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X131" s="6">
        <f t="shared" ref="AX131:AX194" si="10">COUNTIF(J131:AW131,"&gt;1")</f>
        <v>0</v>
      </c>
      <c r="AY131" s="6">
        <f t="shared" ref="AY131:AY194" si="11">COUNTIF(J131:AW131,0)</f>
        <v>0</v>
      </c>
      <c r="AZ131" s="6">
        <f t="shared" ref="AZ131:AZ194" si="12">COUNTIF(J131:AW131,"-")</f>
        <v>0</v>
      </c>
      <c r="BA131" s="6">
        <f t="shared" ref="BA131:BA194" si="13">SUM(AX131:AZ131)</f>
        <v>0</v>
      </c>
      <c r="BB131" s="7" t="s">
        <v>203</v>
      </c>
    </row>
    <row r="132" spans="1:54" x14ac:dyDescent="0.25">
      <c r="A132" s="43">
        <f t="shared" ref="A132:A195" si="14">_xlfn.NUMBERVALUE(LEFT(D132,9))</f>
        <v>0</v>
      </c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X132" s="6">
        <f t="shared" si="10"/>
        <v>0</v>
      </c>
      <c r="AY132" s="6">
        <f t="shared" si="11"/>
        <v>0</v>
      </c>
      <c r="AZ132" s="6">
        <f t="shared" si="12"/>
        <v>0</v>
      </c>
      <c r="BA132" s="6">
        <f t="shared" si="13"/>
        <v>0</v>
      </c>
      <c r="BB132" s="7" t="s">
        <v>203</v>
      </c>
    </row>
    <row r="133" spans="1:54" x14ac:dyDescent="0.25">
      <c r="A133" s="43">
        <f t="shared" si="14"/>
        <v>0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X133" s="6">
        <f t="shared" si="10"/>
        <v>0</v>
      </c>
      <c r="AY133" s="6">
        <f t="shared" si="11"/>
        <v>0</v>
      </c>
      <c r="AZ133" s="6">
        <f t="shared" si="12"/>
        <v>0</v>
      </c>
      <c r="BA133" s="6">
        <f t="shared" si="13"/>
        <v>0</v>
      </c>
      <c r="BB133" s="7" t="s">
        <v>203</v>
      </c>
    </row>
    <row r="134" spans="1:54" x14ac:dyDescent="0.25">
      <c r="A134" s="43">
        <f t="shared" si="14"/>
        <v>0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X134" s="6">
        <f t="shared" si="10"/>
        <v>0</v>
      </c>
      <c r="AY134" s="6">
        <f t="shared" si="11"/>
        <v>0</v>
      </c>
      <c r="AZ134" s="6">
        <f t="shared" si="12"/>
        <v>0</v>
      </c>
      <c r="BA134" s="6">
        <f t="shared" si="13"/>
        <v>0</v>
      </c>
      <c r="BB134" s="7" t="s">
        <v>203</v>
      </c>
    </row>
    <row r="135" spans="1:54" x14ac:dyDescent="0.25">
      <c r="A135" s="43">
        <f t="shared" si="14"/>
        <v>0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X135" s="6">
        <f t="shared" si="10"/>
        <v>0</v>
      </c>
      <c r="AY135" s="6">
        <f t="shared" si="11"/>
        <v>0</v>
      </c>
      <c r="AZ135" s="6">
        <f t="shared" si="12"/>
        <v>0</v>
      </c>
      <c r="BA135" s="6">
        <f t="shared" si="13"/>
        <v>0</v>
      </c>
      <c r="BB135" s="7" t="s">
        <v>203</v>
      </c>
    </row>
    <row r="136" spans="1:54" x14ac:dyDescent="0.25">
      <c r="A136" s="43">
        <f t="shared" si="14"/>
        <v>0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X136" s="6">
        <f t="shared" si="10"/>
        <v>0</v>
      </c>
      <c r="AY136" s="6">
        <f t="shared" si="11"/>
        <v>0</v>
      </c>
      <c r="AZ136" s="6">
        <f t="shared" si="12"/>
        <v>0</v>
      </c>
      <c r="BA136" s="6">
        <f t="shared" si="13"/>
        <v>0</v>
      </c>
      <c r="BB136" s="7" t="s">
        <v>203</v>
      </c>
    </row>
    <row r="137" spans="1:54" x14ac:dyDescent="0.25">
      <c r="A137" s="43">
        <f t="shared" si="14"/>
        <v>0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X137" s="6">
        <f t="shared" si="10"/>
        <v>0</v>
      </c>
      <c r="AY137" s="6">
        <f t="shared" si="11"/>
        <v>0</v>
      </c>
      <c r="AZ137" s="6">
        <f t="shared" si="12"/>
        <v>0</v>
      </c>
      <c r="BA137" s="6">
        <f t="shared" si="13"/>
        <v>0</v>
      </c>
      <c r="BB137" s="7" t="s">
        <v>203</v>
      </c>
    </row>
    <row r="138" spans="1:54" x14ac:dyDescent="0.25">
      <c r="A138" s="43">
        <f t="shared" si="14"/>
        <v>0</v>
      </c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X138" s="6">
        <f t="shared" si="10"/>
        <v>0</v>
      </c>
      <c r="AY138" s="6">
        <f t="shared" si="11"/>
        <v>0</v>
      </c>
      <c r="AZ138" s="6">
        <f t="shared" si="12"/>
        <v>0</v>
      </c>
      <c r="BA138" s="6">
        <f t="shared" si="13"/>
        <v>0</v>
      </c>
      <c r="BB138" s="7" t="s">
        <v>203</v>
      </c>
    </row>
    <row r="139" spans="1:54" x14ac:dyDescent="0.25">
      <c r="A139" s="43">
        <f t="shared" si="14"/>
        <v>0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X139" s="6">
        <f t="shared" si="10"/>
        <v>0</v>
      </c>
      <c r="AY139" s="6">
        <f t="shared" si="11"/>
        <v>0</v>
      </c>
      <c r="AZ139" s="6">
        <f t="shared" si="12"/>
        <v>0</v>
      </c>
      <c r="BA139" s="6">
        <f t="shared" si="13"/>
        <v>0</v>
      </c>
      <c r="BB139" s="7" t="s">
        <v>203</v>
      </c>
    </row>
    <row r="140" spans="1:54" x14ac:dyDescent="0.25">
      <c r="A140" s="43">
        <f t="shared" si="14"/>
        <v>0</v>
      </c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X140" s="6">
        <f t="shared" si="10"/>
        <v>0</v>
      </c>
      <c r="AY140" s="6">
        <f t="shared" si="11"/>
        <v>0</v>
      </c>
      <c r="AZ140" s="6">
        <f t="shared" si="12"/>
        <v>0</v>
      </c>
      <c r="BA140" s="6">
        <f t="shared" si="13"/>
        <v>0</v>
      </c>
      <c r="BB140" s="7" t="s">
        <v>203</v>
      </c>
    </row>
    <row r="141" spans="1:54" x14ac:dyDescent="0.25">
      <c r="A141" s="43">
        <f t="shared" si="14"/>
        <v>0</v>
      </c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X141" s="6">
        <f t="shared" si="10"/>
        <v>0</v>
      </c>
      <c r="AY141" s="6">
        <f t="shared" si="11"/>
        <v>0</v>
      </c>
      <c r="AZ141" s="6">
        <f t="shared" si="12"/>
        <v>0</v>
      </c>
      <c r="BA141" s="6">
        <f t="shared" si="13"/>
        <v>0</v>
      </c>
      <c r="BB141" s="7" t="s">
        <v>203</v>
      </c>
    </row>
    <row r="142" spans="1:54" x14ac:dyDescent="0.25">
      <c r="A142" s="43">
        <f t="shared" si="14"/>
        <v>0</v>
      </c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X142" s="6">
        <f t="shared" si="10"/>
        <v>0</v>
      </c>
      <c r="AY142" s="6">
        <f t="shared" si="11"/>
        <v>0</v>
      </c>
      <c r="AZ142" s="6">
        <f t="shared" si="12"/>
        <v>0</v>
      </c>
      <c r="BA142" s="6">
        <f t="shared" si="13"/>
        <v>0</v>
      </c>
      <c r="BB142" s="7" t="s">
        <v>203</v>
      </c>
    </row>
    <row r="143" spans="1:54" x14ac:dyDescent="0.25">
      <c r="A143" s="43">
        <f t="shared" si="14"/>
        <v>0</v>
      </c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X143" s="6">
        <f t="shared" si="10"/>
        <v>0</v>
      </c>
      <c r="AY143" s="6">
        <f t="shared" si="11"/>
        <v>0</v>
      </c>
      <c r="AZ143" s="6">
        <f t="shared" si="12"/>
        <v>0</v>
      </c>
      <c r="BA143" s="6">
        <f t="shared" si="13"/>
        <v>0</v>
      </c>
      <c r="BB143" s="7" t="s">
        <v>203</v>
      </c>
    </row>
    <row r="144" spans="1:54" x14ac:dyDescent="0.25">
      <c r="A144" s="43">
        <f t="shared" si="14"/>
        <v>0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X144" s="6">
        <f t="shared" si="10"/>
        <v>0</v>
      </c>
      <c r="AY144" s="6">
        <f t="shared" si="11"/>
        <v>0</v>
      </c>
      <c r="AZ144" s="6">
        <f t="shared" si="12"/>
        <v>0</v>
      </c>
      <c r="BA144" s="6">
        <f t="shared" si="13"/>
        <v>0</v>
      </c>
      <c r="BB144" s="7" t="s">
        <v>203</v>
      </c>
    </row>
    <row r="145" spans="1:54" x14ac:dyDescent="0.25">
      <c r="A145" s="43">
        <f t="shared" si="14"/>
        <v>0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X145" s="6">
        <f t="shared" si="10"/>
        <v>0</v>
      </c>
      <c r="AY145" s="6">
        <f t="shared" si="11"/>
        <v>0</v>
      </c>
      <c r="AZ145" s="6">
        <f t="shared" si="12"/>
        <v>0</v>
      </c>
      <c r="BA145" s="6">
        <f t="shared" si="13"/>
        <v>0</v>
      </c>
      <c r="BB145" s="7" t="s">
        <v>203</v>
      </c>
    </row>
    <row r="146" spans="1:54" x14ac:dyDescent="0.25">
      <c r="A146" s="43">
        <f t="shared" si="14"/>
        <v>0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X146" s="6">
        <f t="shared" si="10"/>
        <v>0</v>
      </c>
      <c r="AY146" s="6">
        <f t="shared" si="11"/>
        <v>0</v>
      </c>
      <c r="AZ146" s="6">
        <f t="shared" si="12"/>
        <v>0</v>
      </c>
      <c r="BA146" s="6">
        <f t="shared" si="13"/>
        <v>0</v>
      </c>
      <c r="BB146" s="7" t="s">
        <v>203</v>
      </c>
    </row>
    <row r="147" spans="1:54" x14ac:dyDescent="0.25">
      <c r="A147" s="43">
        <f t="shared" si="14"/>
        <v>0</v>
      </c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X147" s="6">
        <f t="shared" si="10"/>
        <v>0</v>
      </c>
      <c r="AY147" s="6">
        <f t="shared" si="11"/>
        <v>0</v>
      </c>
      <c r="AZ147" s="6">
        <f t="shared" si="12"/>
        <v>0</v>
      </c>
      <c r="BA147" s="6">
        <f t="shared" si="13"/>
        <v>0</v>
      </c>
      <c r="BB147" s="7" t="s">
        <v>203</v>
      </c>
    </row>
    <row r="148" spans="1:54" x14ac:dyDescent="0.25">
      <c r="A148" s="43">
        <f t="shared" si="14"/>
        <v>0</v>
      </c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X148" s="6">
        <f t="shared" si="10"/>
        <v>0</v>
      </c>
      <c r="AY148" s="6">
        <f t="shared" si="11"/>
        <v>0</v>
      </c>
      <c r="AZ148" s="6">
        <f t="shared" si="12"/>
        <v>0</v>
      </c>
      <c r="BA148" s="6">
        <f t="shared" si="13"/>
        <v>0</v>
      </c>
      <c r="BB148" s="7" t="s">
        <v>203</v>
      </c>
    </row>
    <row r="149" spans="1:54" x14ac:dyDescent="0.25">
      <c r="A149" s="43">
        <f t="shared" si="14"/>
        <v>0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X149" s="6">
        <f t="shared" si="10"/>
        <v>0</v>
      </c>
      <c r="AY149" s="6">
        <f t="shared" si="11"/>
        <v>0</v>
      </c>
      <c r="AZ149" s="6">
        <f t="shared" si="12"/>
        <v>0</v>
      </c>
      <c r="BA149" s="6">
        <f t="shared" si="13"/>
        <v>0</v>
      </c>
      <c r="BB149" s="7" t="s">
        <v>203</v>
      </c>
    </row>
    <row r="150" spans="1:54" x14ac:dyDescent="0.25">
      <c r="A150" s="43">
        <f t="shared" si="14"/>
        <v>0</v>
      </c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X150" s="6">
        <f t="shared" si="10"/>
        <v>0</v>
      </c>
      <c r="AY150" s="6">
        <f t="shared" si="11"/>
        <v>0</v>
      </c>
      <c r="AZ150" s="6">
        <f t="shared" si="12"/>
        <v>0</v>
      </c>
      <c r="BA150" s="6">
        <f t="shared" si="13"/>
        <v>0</v>
      </c>
      <c r="BB150" s="7" t="s">
        <v>203</v>
      </c>
    </row>
    <row r="151" spans="1:54" x14ac:dyDescent="0.25">
      <c r="A151" s="43">
        <f t="shared" si="14"/>
        <v>0</v>
      </c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X151" s="6">
        <f t="shared" si="10"/>
        <v>0</v>
      </c>
      <c r="AY151" s="6">
        <f t="shared" si="11"/>
        <v>0</v>
      </c>
      <c r="AZ151" s="6">
        <f t="shared" si="12"/>
        <v>0</v>
      </c>
      <c r="BA151" s="6">
        <f t="shared" si="13"/>
        <v>0</v>
      </c>
      <c r="BB151" s="7" t="s">
        <v>203</v>
      </c>
    </row>
    <row r="152" spans="1:54" x14ac:dyDescent="0.25">
      <c r="A152" s="43">
        <f t="shared" si="14"/>
        <v>0</v>
      </c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X152" s="6">
        <f t="shared" si="10"/>
        <v>0</v>
      </c>
      <c r="AY152" s="6">
        <f t="shared" si="11"/>
        <v>0</v>
      </c>
      <c r="AZ152" s="6">
        <f t="shared" si="12"/>
        <v>0</v>
      </c>
      <c r="BA152" s="6">
        <f t="shared" si="13"/>
        <v>0</v>
      </c>
      <c r="BB152" s="7" t="s">
        <v>203</v>
      </c>
    </row>
    <row r="153" spans="1:54" x14ac:dyDescent="0.25">
      <c r="A153" s="43">
        <f t="shared" si="14"/>
        <v>0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X153" s="6">
        <f t="shared" si="10"/>
        <v>0</v>
      </c>
      <c r="AY153" s="6">
        <f t="shared" si="11"/>
        <v>0</v>
      </c>
      <c r="AZ153" s="6">
        <f t="shared" si="12"/>
        <v>0</v>
      </c>
      <c r="BA153" s="6">
        <f t="shared" si="13"/>
        <v>0</v>
      </c>
      <c r="BB153" s="7" t="s">
        <v>203</v>
      </c>
    </row>
    <row r="154" spans="1:54" x14ac:dyDescent="0.25">
      <c r="A154" s="43">
        <f t="shared" si="14"/>
        <v>0</v>
      </c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X154" s="6">
        <f t="shared" si="10"/>
        <v>0</v>
      </c>
      <c r="AY154" s="6">
        <f t="shared" si="11"/>
        <v>0</v>
      </c>
      <c r="AZ154" s="6">
        <f t="shared" si="12"/>
        <v>0</v>
      </c>
      <c r="BA154" s="6">
        <f t="shared" si="13"/>
        <v>0</v>
      </c>
      <c r="BB154" s="7" t="s">
        <v>203</v>
      </c>
    </row>
    <row r="155" spans="1:54" x14ac:dyDescent="0.25">
      <c r="A155" s="43">
        <f t="shared" si="14"/>
        <v>0</v>
      </c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X155" s="6">
        <f t="shared" si="10"/>
        <v>0</v>
      </c>
      <c r="AY155" s="6">
        <f t="shared" si="11"/>
        <v>0</v>
      </c>
      <c r="AZ155" s="6">
        <f t="shared" si="12"/>
        <v>0</v>
      </c>
      <c r="BA155" s="6">
        <f t="shared" si="13"/>
        <v>0</v>
      </c>
      <c r="BB155" s="7" t="s">
        <v>203</v>
      </c>
    </row>
    <row r="156" spans="1:54" x14ac:dyDescent="0.25">
      <c r="A156" s="43">
        <f t="shared" si="14"/>
        <v>0</v>
      </c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X156" s="6">
        <f t="shared" si="10"/>
        <v>0</v>
      </c>
      <c r="AY156" s="6">
        <f t="shared" si="11"/>
        <v>0</v>
      </c>
      <c r="AZ156" s="6">
        <f t="shared" si="12"/>
        <v>0</v>
      </c>
      <c r="BA156" s="6">
        <f t="shared" si="13"/>
        <v>0</v>
      </c>
      <c r="BB156" s="7" t="s">
        <v>203</v>
      </c>
    </row>
    <row r="157" spans="1:54" x14ac:dyDescent="0.25">
      <c r="A157" s="43">
        <f t="shared" si="14"/>
        <v>0</v>
      </c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X157" s="6">
        <f t="shared" si="10"/>
        <v>0</v>
      </c>
      <c r="AY157" s="6">
        <f t="shared" si="11"/>
        <v>0</v>
      </c>
      <c r="AZ157" s="6">
        <f t="shared" si="12"/>
        <v>0</v>
      </c>
      <c r="BA157" s="6">
        <f t="shared" si="13"/>
        <v>0</v>
      </c>
      <c r="BB157" s="7" t="s">
        <v>203</v>
      </c>
    </row>
    <row r="158" spans="1:54" x14ac:dyDescent="0.25">
      <c r="A158" s="43">
        <f t="shared" si="14"/>
        <v>0</v>
      </c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X158" s="6">
        <f t="shared" si="10"/>
        <v>0</v>
      </c>
      <c r="AY158" s="6">
        <f t="shared" si="11"/>
        <v>0</v>
      </c>
      <c r="AZ158" s="6">
        <f t="shared" si="12"/>
        <v>0</v>
      </c>
      <c r="BA158" s="6">
        <f t="shared" si="13"/>
        <v>0</v>
      </c>
      <c r="BB158" s="7" t="s">
        <v>203</v>
      </c>
    </row>
    <row r="159" spans="1:54" x14ac:dyDescent="0.25">
      <c r="A159" s="43">
        <f t="shared" si="14"/>
        <v>0</v>
      </c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X159" s="6">
        <f t="shared" si="10"/>
        <v>0</v>
      </c>
      <c r="AY159" s="6">
        <f t="shared" si="11"/>
        <v>0</v>
      </c>
      <c r="AZ159" s="6">
        <f t="shared" si="12"/>
        <v>0</v>
      </c>
      <c r="BA159" s="6">
        <f t="shared" si="13"/>
        <v>0</v>
      </c>
      <c r="BB159" s="7" t="s">
        <v>203</v>
      </c>
    </row>
    <row r="160" spans="1:54" x14ac:dyDescent="0.25">
      <c r="A160" s="43">
        <f t="shared" si="14"/>
        <v>0</v>
      </c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X160" s="6">
        <f t="shared" si="10"/>
        <v>0</v>
      </c>
      <c r="AY160" s="6">
        <f t="shared" si="11"/>
        <v>0</v>
      </c>
      <c r="AZ160" s="6">
        <f t="shared" si="12"/>
        <v>0</v>
      </c>
      <c r="BA160" s="6">
        <f t="shared" si="13"/>
        <v>0</v>
      </c>
      <c r="BB160" s="7" t="s">
        <v>203</v>
      </c>
    </row>
    <row r="161" spans="1:54" x14ac:dyDescent="0.25">
      <c r="A161" s="43">
        <f t="shared" si="14"/>
        <v>0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X161" s="6">
        <f t="shared" si="10"/>
        <v>0</v>
      </c>
      <c r="AY161" s="6">
        <f t="shared" si="11"/>
        <v>0</v>
      </c>
      <c r="AZ161" s="6">
        <f t="shared" si="12"/>
        <v>0</v>
      </c>
      <c r="BA161" s="6">
        <f t="shared" si="13"/>
        <v>0</v>
      </c>
      <c r="BB161" s="7" t="s">
        <v>203</v>
      </c>
    </row>
    <row r="162" spans="1:54" x14ac:dyDescent="0.25">
      <c r="A162" s="43">
        <f t="shared" si="14"/>
        <v>0</v>
      </c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X162" s="6">
        <f t="shared" si="10"/>
        <v>0</v>
      </c>
      <c r="AY162" s="6">
        <f t="shared" si="11"/>
        <v>0</v>
      </c>
      <c r="AZ162" s="6">
        <f t="shared" si="12"/>
        <v>0</v>
      </c>
      <c r="BA162" s="6">
        <f t="shared" si="13"/>
        <v>0</v>
      </c>
      <c r="BB162" s="7" t="s">
        <v>203</v>
      </c>
    </row>
    <row r="163" spans="1:54" x14ac:dyDescent="0.25">
      <c r="A163" s="43">
        <f t="shared" si="14"/>
        <v>0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X163" s="6">
        <f t="shared" si="10"/>
        <v>0</v>
      </c>
      <c r="AY163" s="6">
        <f t="shared" si="11"/>
        <v>0</v>
      </c>
      <c r="AZ163" s="6">
        <f t="shared" si="12"/>
        <v>0</v>
      </c>
      <c r="BA163" s="6">
        <f t="shared" si="13"/>
        <v>0</v>
      </c>
      <c r="BB163" s="7" t="s">
        <v>203</v>
      </c>
    </row>
    <row r="164" spans="1:54" x14ac:dyDescent="0.25">
      <c r="A164" s="43">
        <f t="shared" si="14"/>
        <v>0</v>
      </c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X164" s="6">
        <f t="shared" si="10"/>
        <v>0</v>
      </c>
      <c r="AY164" s="6">
        <f t="shared" si="11"/>
        <v>0</v>
      </c>
      <c r="AZ164" s="6">
        <f t="shared" si="12"/>
        <v>0</v>
      </c>
      <c r="BA164" s="6">
        <f t="shared" si="13"/>
        <v>0</v>
      </c>
      <c r="BB164" s="7" t="s">
        <v>203</v>
      </c>
    </row>
    <row r="165" spans="1:54" x14ac:dyDescent="0.25">
      <c r="A165" s="43">
        <f t="shared" si="14"/>
        <v>0</v>
      </c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X165" s="6">
        <f t="shared" si="10"/>
        <v>0</v>
      </c>
      <c r="AY165" s="6">
        <f t="shared" si="11"/>
        <v>0</v>
      </c>
      <c r="AZ165" s="6">
        <f t="shared" si="12"/>
        <v>0</v>
      </c>
      <c r="BA165" s="6">
        <f t="shared" si="13"/>
        <v>0</v>
      </c>
      <c r="BB165" s="7" t="s">
        <v>203</v>
      </c>
    </row>
    <row r="166" spans="1:54" x14ac:dyDescent="0.25">
      <c r="A166" s="43">
        <f t="shared" si="14"/>
        <v>0</v>
      </c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X166" s="6">
        <f t="shared" si="10"/>
        <v>0</v>
      </c>
      <c r="AY166" s="6">
        <f t="shared" si="11"/>
        <v>0</v>
      </c>
      <c r="AZ166" s="6">
        <f t="shared" si="12"/>
        <v>0</v>
      </c>
      <c r="BA166" s="6">
        <f t="shared" si="13"/>
        <v>0</v>
      </c>
      <c r="BB166" s="7" t="s">
        <v>203</v>
      </c>
    </row>
    <row r="167" spans="1:54" x14ac:dyDescent="0.25">
      <c r="A167" s="43">
        <f t="shared" si="14"/>
        <v>0</v>
      </c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X167" s="6">
        <f t="shared" si="10"/>
        <v>0</v>
      </c>
      <c r="AY167" s="6">
        <f t="shared" si="11"/>
        <v>0</v>
      </c>
      <c r="AZ167" s="6">
        <f t="shared" si="12"/>
        <v>0</v>
      </c>
      <c r="BA167" s="6">
        <f t="shared" si="13"/>
        <v>0</v>
      </c>
      <c r="BB167" s="7" t="s">
        <v>203</v>
      </c>
    </row>
    <row r="168" spans="1:54" x14ac:dyDescent="0.25">
      <c r="A168" s="43">
        <f t="shared" si="14"/>
        <v>0</v>
      </c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X168" s="6">
        <f t="shared" si="10"/>
        <v>0</v>
      </c>
      <c r="AY168" s="6">
        <f t="shared" si="11"/>
        <v>0</v>
      </c>
      <c r="AZ168" s="6">
        <f t="shared" si="12"/>
        <v>0</v>
      </c>
      <c r="BA168" s="6">
        <f t="shared" si="13"/>
        <v>0</v>
      </c>
      <c r="BB168" s="7" t="s">
        <v>203</v>
      </c>
    </row>
    <row r="169" spans="1:54" x14ac:dyDescent="0.25">
      <c r="A169" s="43">
        <f t="shared" si="14"/>
        <v>0</v>
      </c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X169" s="6">
        <f t="shared" si="10"/>
        <v>0</v>
      </c>
      <c r="AY169" s="6">
        <f t="shared" si="11"/>
        <v>0</v>
      </c>
      <c r="AZ169" s="6">
        <f t="shared" si="12"/>
        <v>0</v>
      </c>
      <c r="BA169" s="6">
        <f t="shared" si="13"/>
        <v>0</v>
      </c>
      <c r="BB169" s="7" t="s">
        <v>203</v>
      </c>
    </row>
    <row r="170" spans="1:54" x14ac:dyDescent="0.25">
      <c r="A170" s="43">
        <f t="shared" si="14"/>
        <v>0</v>
      </c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X170" s="6">
        <f t="shared" si="10"/>
        <v>0</v>
      </c>
      <c r="AY170" s="6">
        <f t="shared" si="11"/>
        <v>0</v>
      </c>
      <c r="AZ170" s="6">
        <f t="shared" si="12"/>
        <v>0</v>
      </c>
      <c r="BA170" s="6">
        <f t="shared" si="13"/>
        <v>0</v>
      </c>
      <c r="BB170" s="7" t="s">
        <v>203</v>
      </c>
    </row>
    <row r="171" spans="1:54" x14ac:dyDescent="0.25">
      <c r="A171" s="43">
        <f t="shared" si="14"/>
        <v>0</v>
      </c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X171" s="6">
        <f t="shared" si="10"/>
        <v>0</v>
      </c>
      <c r="AY171" s="6">
        <f t="shared" si="11"/>
        <v>0</v>
      </c>
      <c r="AZ171" s="6">
        <f t="shared" si="12"/>
        <v>0</v>
      </c>
      <c r="BA171" s="6">
        <f t="shared" si="13"/>
        <v>0</v>
      </c>
      <c r="BB171" s="7" t="s">
        <v>203</v>
      </c>
    </row>
    <row r="172" spans="1:54" x14ac:dyDescent="0.25">
      <c r="A172" s="43">
        <f t="shared" si="14"/>
        <v>0</v>
      </c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X172" s="6">
        <f t="shared" si="10"/>
        <v>0</v>
      </c>
      <c r="AY172" s="6">
        <f t="shared" si="11"/>
        <v>0</v>
      </c>
      <c r="AZ172" s="6">
        <f t="shared" si="12"/>
        <v>0</v>
      </c>
      <c r="BA172" s="6">
        <f t="shared" si="13"/>
        <v>0</v>
      </c>
      <c r="BB172" s="7" t="s">
        <v>203</v>
      </c>
    </row>
    <row r="173" spans="1:54" x14ac:dyDescent="0.25">
      <c r="A173" s="43">
        <f t="shared" si="14"/>
        <v>0</v>
      </c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X173" s="6">
        <f t="shared" si="10"/>
        <v>0</v>
      </c>
      <c r="AY173" s="6">
        <f t="shared" si="11"/>
        <v>0</v>
      </c>
      <c r="AZ173" s="6">
        <f t="shared" si="12"/>
        <v>0</v>
      </c>
      <c r="BA173" s="6">
        <f t="shared" si="13"/>
        <v>0</v>
      </c>
      <c r="BB173" s="7" t="s">
        <v>203</v>
      </c>
    </row>
    <row r="174" spans="1:54" x14ac:dyDescent="0.25">
      <c r="A174" s="43">
        <f t="shared" si="14"/>
        <v>0</v>
      </c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X174" s="6">
        <f t="shared" si="10"/>
        <v>0</v>
      </c>
      <c r="AY174" s="6">
        <f t="shared" si="11"/>
        <v>0</v>
      </c>
      <c r="AZ174" s="6">
        <f t="shared" si="12"/>
        <v>0</v>
      </c>
      <c r="BA174" s="6">
        <f t="shared" si="13"/>
        <v>0</v>
      </c>
      <c r="BB174" s="7" t="s">
        <v>203</v>
      </c>
    </row>
    <row r="175" spans="1:54" x14ac:dyDescent="0.25">
      <c r="A175" s="43">
        <f t="shared" si="14"/>
        <v>0</v>
      </c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X175" s="6">
        <f t="shared" si="10"/>
        <v>0</v>
      </c>
      <c r="AY175" s="6">
        <f t="shared" si="11"/>
        <v>0</v>
      </c>
      <c r="AZ175" s="6">
        <f t="shared" si="12"/>
        <v>0</v>
      </c>
      <c r="BA175" s="6">
        <f t="shared" si="13"/>
        <v>0</v>
      </c>
      <c r="BB175" s="7" t="s">
        <v>203</v>
      </c>
    </row>
    <row r="176" spans="1:54" x14ac:dyDescent="0.25">
      <c r="A176" s="43">
        <f t="shared" si="14"/>
        <v>0</v>
      </c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X176" s="6">
        <f t="shared" si="10"/>
        <v>0</v>
      </c>
      <c r="AY176" s="6">
        <f t="shared" si="11"/>
        <v>0</v>
      </c>
      <c r="AZ176" s="6">
        <f t="shared" si="12"/>
        <v>0</v>
      </c>
      <c r="BA176" s="6">
        <f t="shared" si="13"/>
        <v>0</v>
      </c>
      <c r="BB176" s="7" t="s">
        <v>203</v>
      </c>
    </row>
    <row r="177" spans="1:54" x14ac:dyDescent="0.25">
      <c r="A177" s="43">
        <f t="shared" si="14"/>
        <v>0</v>
      </c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X177" s="6">
        <f t="shared" si="10"/>
        <v>0</v>
      </c>
      <c r="AY177" s="6">
        <f t="shared" si="11"/>
        <v>0</v>
      </c>
      <c r="AZ177" s="6">
        <f t="shared" si="12"/>
        <v>0</v>
      </c>
      <c r="BA177" s="6">
        <f t="shared" si="13"/>
        <v>0</v>
      </c>
      <c r="BB177" s="7" t="s">
        <v>203</v>
      </c>
    </row>
    <row r="178" spans="1:54" x14ac:dyDescent="0.25">
      <c r="A178" s="43">
        <f t="shared" si="14"/>
        <v>0</v>
      </c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X178" s="6">
        <f t="shared" si="10"/>
        <v>0</v>
      </c>
      <c r="AY178" s="6">
        <f t="shared" si="11"/>
        <v>0</v>
      </c>
      <c r="AZ178" s="6">
        <f t="shared" si="12"/>
        <v>0</v>
      </c>
      <c r="BA178" s="6">
        <f t="shared" si="13"/>
        <v>0</v>
      </c>
      <c r="BB178" s="7" t="s">
        <v>203</v>
      </c>
    </row>
    <row r="179" spans="1:54" x14ac:dyDescent="0.25">
      <c r="A179" s="43">
        <f t="shared" si="14"/>
        <v>0</v>
      </c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X179" s="6">
        <f t="shared" si="10"/>
        <v>0</v>
      </c>
      <c r="AY179" s="6">
        <f t="shared" si="11"/>
        <v>0</v>
      </c>
      <c r="AZ179" s="6">
        <f t="shared" si="12"/>
        <v>0</v>
      </c>
      <c r="BA179" s="6">
        <f t="shared" si="13"/>
        <v>0</v>
      </c>
      <c r="BB179" s="7" t="s">
        <v>203</v>
      </c>
    </row>
    <row r="180" spans="1:54" x14ac:dyDescent="0.25">
      <c r="A180" s="43">
        <f t="shared" si="14"/>
        <v>0</v>
      </c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X180" s="6">
        <f t="shared" si="10"/>
        <v>0</v>
      </c>
      <c r="AY180" s="6">
        <f t="shared" si="11"/>
        <v>0</v>
      </c>
      <c r="AZ180" s="6">
        <f t="shared" si="12"/>
        <v>0</v>
      </c>
      <c r="BA180" s="6">
        <f t="shared" si="13"/>
        <v>0</v>
      </c>
      <c r="BB180" s="7" t="s">
        <v>203</v>
      </c>
    </row>
    <row r="181" spans="1:54" x14ac:dyDescent="0.25">
      <c r="A181" s="43">
        <f t="shared" si="14"/>
        <v>0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X181" s="6">
        <f t="shared" si="10"/>
        <v>0</v>
      </c>
      <c r="AY181" s="6">
        <f t="shared" si="11"/>
        <v>0</v>
      </c>
      <c r="AZ181" s="6">
        <f t="shared" si="12"/>
        <v>0</v>
      </c>
      <c r="BA181" s="6">
        <f t="shared" si="13"/>
        <v>0</v>
      </c>
      <c r="BB181" s="7" t="s">
        <v>203</v>
      </c>
    </row>
    <row r="182" spans="1:54" x14ac:dyDescent="0.25">
      <c r="A182" s="43">
        <f t="shared" si="14"/>
        <v>0</v>
      </c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X182" s="6">
        <f t="shared" si="10"/>
        <v>0</v>
      </c>
      <c r="AY182" s="6">
        <f t="shared" si="11"/>
        <v>0</v>
      </c>
      <c r="AZ182" s="6">
        <f t="shared" si="12"/>
        <v>0</v>
      </c>
      <c r="BA182" s="6">
        <f t="shared" si="13"/>
        <v>0</v>
      </c>
      <c r="BB182" s="7" t="s">
        <v>203</v>
      </c>
    </row>
    <row r="183" spans="1:54" x14ac:dyDescent="0.25">
      <c r="A183" s="43">
        <f t="shared" si="14"/>
        <v>0</v>
      </c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X183" s="6">
        <f t="shared" si="10"/>
        <v>0</v>
      </c>
      <c r="AY183" s="6">
        <f t="shared" si="11"/>
        <v>0</v>
      </c>
      <c r="AZ183" s="6">
        <f t="shared" si="12"/>
        <v>0</v>
      </c>
      <c r="BA183" s="6">
        <f t="shared" si="13"/>
        <v>0</v>
      </c>
      <c r="BB183" s="7" t="s">
        <v>203</v>
      </c>
    </row>
    <row r="184" spans="1:54" x14ac:dyDescent="0.25">
      <c r="A184" s="43">
        <f t="shared" si="14"/>
        <v>0</v>
      </c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X184" s="6">
        <f t="shared" si="10"/>
        <v>0</v>
      </c>
      <c r="AY184" s="6">
        <f t="shared" si="11"/>
        <v>0</v>
      </c>
      <c r="AZ184" s="6">
        <f t="shared" si="12"/>
        <v>0</v>
      </c>
      <c r="BA184" s="6">
        <f t="shared" si="13"/>
        <v>0</v>
      </c>
      <c r="BB184" s="7" t="s">
        <v>203</v>
      </c>
    </row>
    <row r="185" spans="1:54" x14ac:dyDescent="0.25">
      <c r="A185" s="43">
        <f t="shared" si="14"/>
        <v>0</v>
      </c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X185" s="6">
        <f t="shared" si="10"/>
        <v>0</v>
      </c>
      <c r="AY185" s="6">
        <f t="shared" si="11"/>
        <v>0</v>
      </c>
      <c r="AZ185" s="6">
        <f t="shared" si="12"/>
        <v>0</v>
      </c>
      <c r="BA185" s="6">
        <f t="shared" si="13"/>
        <v>0</v>
      </c>
      <c r="BB185" s="7" t="s">
        <v>203</v>
      </c>
    </row>
    <row r="186" spans="1:54" x14ac:dyDescent="0.25">
      <c r="A186" s="43">
        <f t="shared" si="14"/>
        <v>0</v>
      </c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X186" s="6">
        <f t="shared" si="10"/>
        <v>0</v>
      </c>
      <c r="AY186" s="6">
        <f t="shared" si="11"/>
        <v>0</v>
      </c>
      <c r="AZ186" s="6">
        <f t="shared" si="12"/>
        <v>0</v>
      </c>
      <c r="BA186" s="6">
        <f t="shared" si="13"/>
        <v>0</v>
      </c>
      <c r="BB186" s="7" t="s">
        <v>203</v>
      </c>
    </row>
    <row r="187" spans="1:54" x14ac:dyDescent="0.25">
      <c r="A187" s="43">
        <f t="shared" si="14"/>
        <v>0</v>
      </c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X187" s="6">
        <f t="shared" si="10"/>
        <v>0</v>
      </c>
      <c r="AY187" s="6">
        <f t="shared" si="11"/>
        <v>0</v>
      </c>
      <c r="AZ187" s="6">
        <f t="shared" si="12"/>
        <v>0</v>
      </c>
      <c r="BA187" s="6">
        <f t="shared" si="13"/>
        <v>0</v>
      </c>
      <c r="BB187" s="7" t="s">
        <v>203</v>
      </c>
    </row>
    <row r="188" spans="1:54" x14ac:dyDescent="0.25">
      <c r="A188" s="43">
        <f t="shared" si="14"/>
        <v>0</v>
      </c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X188" s="6">
        <f t="shared" si="10"/>
        <v>0</v>
      </c>
      <c r="AY188" s="6">
        <f t="shared" si="11"/>
        <v>0</v>
      </c>
      <c r="AZ188" s="6">
        <f t="shared" si="12"/>
        <v>0</v>
      </c>
      <c r="BA188" s="6">
        <f t="shared" si="13"/>
        <v>0</v>
      </c>
      <c r="BB188" s="7" t="s">
        <v>203</v>
      </c>
    </row>
    <row r="189" spans="1:54" x14ac:dyDescent="0.25">
      <c r="A189" s="43">
        <f t="shared" si="14"/>
        <v>0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X189" s="6">
        <f t="shared" si="10"/>
        <v>0</v>
      </c>
      <c r="AY189" s="6">
        <f t="shared" si="11"/>
        <v>0</v>
      </c>
      <c r="AZ189" s="6">
        <f t="shared" si="12"/>
        <v>0</v>
      </c>
      <c r="BA189" s="6">
        <f t="shared" si="13"/>
        <v>0</v>
      </c>
      <c r="BB189" s="7" t="s">
        <v>203</v>
      </c>
    </row>
    <row r="190" spans="1:54" x14ac:dyDescent="0.25">
      <c r="A190" s="43">
        <f t="shared" si="14"/>
        <v>0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X190" s="6">
        <f t="shared" si="10"/>
        <v>0</v>
      </c>
      <c r="AY190" s="6">
        <f t="shared" si="11"/>
        <v>0</v>
      </c>
      <c r="AZ190" s="6">
        <f t="shared" si="12"/>
        <v>0</v>
      </c>
      <c r="BA190" s="6">
        <f t="shared" si="13"/>
        <v>0</v>
      </c>
      <c r="BB190" s="7" t="s">
        <v>203</v>
      </c>
    </row>
    <row r="191" spans="1:54" x14ac:dyDescent="0.25">
      <c r="A191" s="43">
        <f t="shared" si="14"/>
        <v>0</v>
      </c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X191" s="6">
        <f t="shared" si="10"/>
        <v>0</v>
      </c>
      <c r="AY191" s="6">
        <f t="shared" si="11"/>
        <v>0</v>
      </c>
      <c r="AZ191" s="6">
        <f t="shared" si="12"/>
        <v>0</v>
      </c>
      <c r="BA191" s="6">
        <f t="shared" si="13"/>
        <v>0</v>
      </c>
      <c r="BB191" s="7" t="s">
        <v>203</v>
      </c>
    </row>
    <row r="192" spans="1:54" x14ac:dyDescent="0.25">
      <c r="A192" s="43">
        <f t="shared" si="14"/>
        <v>0</v>
      </c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X192" s="6">
        <f t="shared" si="10"/>
        <v>0</v>
      </c>
      <c r="AY192" s="6">
        <f t="shared" si="11"/>
        <v>0</v>
      </c>
      <c r="AZ192" s="6">
        <f t="shared" si="12"/>
        <v>0</v>
      </c>
      <c r="BA192" s="6">
        <f t="shared" si="13"/>
        <v>0</v>
      </c>
      <c r="BB192" s="7" t="s">
        <v>203</v>
      </c>
    </row>
    <row r="193" spans="1:54" x14ac:dyDescent="0.25">
      <c r="A193" s="43">
        <f t="shared" si="14"/>
        <v>0</v>
      </c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X193" s="6">
        <f t="shared" si="10"/>
        <v>0</v>
      </c>
      <c r="AY193" s="6">
        <f t="shared" si="11"/>
        <v>0</v>
      </c>
      <c r="AZ193" s="6">
        <f t="shared" si="12"/>
        <v>0</v>
      </c>
      <c r="BA193" s="6">
        <f t="shared" si="13"/>
        <v>0</v>
      </c>
      <c r="BB193" s="7" t="s">
        <v>203</v>
      </c>
    </row>
    <row r="194" spans="1:54" x14ac:dyDescent="0.25">
      <c r="A194" s="43">
        <f t="shared" si="14"/>
        <v>0</v>
      </c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X194" s="6">
        <f t="shared" si="10"/>
        <v>0</v>
      </c>
      <c r="AY194" s="6">
        <f t="shared" si="11"/>
        <v>0</v>
      </c>
      <c r="AZ194" s="6">
        <f t="shared" si="12"/>
        <v>0</v>
      </c>
      <c r="BA194" s="6">
        <f t="shared" si="13"/>
        <v>0</v>
      </c>
      <c r="BB194" s="7" t="s">
        <v>203</v>
      </c>
    </row>
    <row r="195" spans="1:54" x14ac:dyDescent="0.25">
      <c r="A195" s="43">
        <f t="shared" si="14"/>
        <v>0</v>
      </c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X195" s="6">
        <f t="shared" ref="AX195:AX258" si="15">COUNTIF(J195:AW195,"&gt;1")</f>
        <v>0</v>
      </c>
      <c r="AY195" s="6">
        <f t="shared" ref="AY195:AY258" si="16">COUNTIF(J195:AW195,0)</f>
        <v>0</v>
      </c>
      <c r="AZ195" s="6">
        <f t="shared" ref="AZ195:AZ258" si="17">COUNTIF(J195:AW195,"-")</f>
        <v>0</v>
      </c>
      <c r="BA195" s="6">
        <f t="shared" ref="BA195:BA258" si="18">SUM(AX195:AZ195)</f>
        <v>0</v>
      </c>
      <c r="BB195" s="7" t="s">
        <v>203</v>
      </c>
    </row>
    <row r="196" spans="1:54" x14ac:dyDescent="0.25">
      <c r="A196" s="43">
        <f t="shared" ref="A196:A259" si="19">_xlfn.NUMBERVALUE(LEFT(D196,9))</f>
        <v>0</v>
      </c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X196" s="6">
        <f t="shared" si="15"/>
        <v>0</v>
      </c>
      <c r="AY196" s="6">
        <f t="shared" si="16"/>
        <v>0</v>
      </c>
      <c r="AZ196" s="6">
        <f t="shared" si="17"/>
        <v>0</v>
      </c>
      <c r="BA196" s="6">
        <f t="shared" si="18"/>
        <v>0</v>
      </c>
      <c r="BB196" s="7" t="s">
        <v>203</v>
      </c>
    </row>
    <row r="197" spans="1:54" x14ac:dyDescent="0.25">
      <c r="A197" s="43">
        <f t="shared" si="19"/>
        <v>0</v>
      </c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X197" s="6">
        <f t="shared" si="15"/>
        <v>0</v>
      </c>
      <c r="AY197" s="6">
        <f t="shared" si="16"/>
        <v>0</v>
      </c>
      <c r="AZ197" s="6">
        <f t="shared" si="17"/>
        <v>0</v>
      </c>
      <c r="BA197" s="6">
        <f t="shared" si="18"/>
        <v>0</v>
      </c>
      <c r="BB197" s="7" t="s">
        <v>203</v>
      </c>
    </row>
    <row r="198" spans="1:54" x14ac:dyDescent="0.25">
      <c r="A198" s="43">
        <f t="shared" si="19"/>
        <v>0</v>
      </c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X198" s="6">
        <f t="shared" si="15"/>
        <v>0</v>
      </c>
      <c r="AY198" s="6">
        <f t="shared" si="16"/>
        <v>0</v>
      </c>
      <c r="AZ198" s="6">
        <f t="shared" si="17"/>
        <v>0</v>
      </c>
      <c r="BA198" s="6">
        <f t="shared" si="18"/>
        <v>0</v>
      </c>
      <c r="BB198" s="7" t="s">
        <v>203</v>
      </c>
    </row>
    <row r="199" spans="1:54" x14ac:dyDescent="0.25">
      <c r="A199" s="43">
        <f t="shared" si="19"/>
        <v>0</v>
      </c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X199" s="6">
        <f t="shared" si="15"/>
        <v>0</v>
      </c>
      <c r="AY199" s="6">
        <f t="shared" si="16"/>
        <v>0</v>
      </c>
      <c r="AZ199" s="6">
        <f t="shared" si="17"/>
        <v>0</v>
      </c>
      <c r="BA199" s="6">
        <f t="shared" si="18"/>
        <v>0</v>
      </c>
      <c r="BB199" s="7" t="s">
        <v>203</v>
      </c>
    </row>
    <row r="200" spans="1:54" x14ac:dyDescent="0.25">
      <c r="A200" s="43">
        <f t="shared" si="19"/>
        <v>0</v>
      </c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X200" s="6">
        <f t="shared" si="15"/>
        <v>0</v>
      </c>
      <c r="AY200" s="6">
        <f t="shared" si="16"/>
        <v>0</v>
      </c>
      <c r="AZ200" s="6">
        <f t="shared" si="17"/>
        <v>0</v>
      </c>
      <c r="BA200" s="6">
        <f t="shared" si="18"/>
        <v>0</v>
      </c>
      <c r="BB200" s="7" t="s">
        <v>203</v>
      </c>
    </row>
    <row r="201" spans="1:54" x14ac:dyDescent="0.25">
      <c r="A201" s="43">
        <f t="shared" si="19"/>
        <v>0</v>
      </c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X201" s="6">
        <f t="shared" si="15"/>
        <v>0</v>
      </c>
      <c r="AY201" s="6">
        <f t="shared" si="16"/>
        <v>0</v>
      </c>
      <c r="AZ201" s="6">
        <f t="shared" si="17"/>
        <v>0</v>
      </c>
      <c r="BA201" s="6">
        <f t="shared" si="18"/>
        <v>0</v>
      </c>
      <c r="BB201" s="7" t="s">
        <v>203</v>
      </c>
    </row>
    <row r="202" spans="1:54" x14ac:dyDescent="0.25">
      <c r="A202" s="43">
        <f t="shared" si="19"/>
        <v>0</v>
      </c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X202" s="6">
        <f t="shared" si="15"/>
        <v>0</v>
      </c>
      <c r="AY202" s="6">
        <f t="shared" si="16"/>
        <v>0</v>
      </c>
      <c r="AZ202" s="6">
        <f t="shared" si="17"/>
        <v>0</v>
      </c>
      <c r="BA202" s="6">
        <f t="shared" si="18"/>
        <v>0</v>
      </c>
      <c r="BB202" s="7" t="s">
        <v>203</v>
      </c>
    </row>
    <row r="203" spans="1:54" x14ac:dyDescent="0.25">
      <c r="A203" s="43">
        <f t="shared" si="19"/>
        <v>0</v>
      </c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X203" s="6">
        <f t="shared" si="15"/>
        <v>0</v>
      </c>
      <c r="AY203" s="6">
        <f t="shared" si="16"/>
        <v>0</v>
      </c>
      <c r="AZ203" s="6">
        <f t="shared" si="17"/>
        <v>0</v>
      </c>
      <c r="BA203" s="6">
        <f t="shared" si="18"/>
        <v>0</v>
      </c>
      <c r="BB203" s="7" t="s">
        <v>203</v>
      </c>
    </row>
    <row r="204" spans="1:54" x14ac:dyDescent="0.25">
      <c r="A204" s="43">
        <f t="shared" si="19"/>
        <v>0</v>
      </c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X204" s="6">
        <f t="shared" si="15"/>
        <v>0</v>
      </c>
      <c r="AY204" s="6">
        <f t="shared" si="16"/>
        <v>0</v>
      </c>
      <c r="AZ204" s="6">
        <f t="shared" si="17"/>
        <v>0</v>
      </c>
      <c r="BA204" s="6">
        <f t="shared" si="18"/>
        <v>0</v>
      </c>
      <c r="BB204" s="7" t="s">
        <v>203</v>
      </c>
    </row>
    <row r="205" spans="1:54" x14ac:dyDescent="0.25">
      <c r="A205" s="43">
        <f t="shared" si="19"/>
        <v>0</v>
      </c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X205" s="6">
        <f t="shared" si="15"/>
        <v>0</v>
      </c>
      <c r="AY205" s="6">
        <f t="shared" si="16"/>
        <v>0</v>
      </c>
      <c r="AZ205" s="6">
        <f t="shared" si="17"/>
        <v>0</v>
      </c>
      <c r="BA205" s="6">
        <f t="shared" si="18"/>
        <v>0</v>
      </c>
      <c r="BB205" s="7" t="s">
        <v>203</v>
      </c>
    </row>
    <row r="206" spans="1:54" x14ac:dyDescent="0.25">
      <c r="A206" s="43">
        <f t="shared" si="19"/>
        <v>0</v>
      </c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X206" s="6">
        <f t="shared" si="15"/>
        <v>0</v>
      </c>
      <c r="AY206" s="6">
        <f t="shared" si="16"/>
        <v>0</v>
      </c>
      <c r="AZ206" s="6">
        <f t="shared" si="17"/>
        <v>0</v>
      </c>
      <c r="BA206" s="6">
        <f t="shared" si="18"/>
        <v>0</v>
      </c>
      <c r="BB206" s="7" t="s">
        <v>203</v>
      </c>
    </row>
    <row r="207" spans="1:54" x14ac:dyDescent="0.25">
      <c r="A207" s="43">
        <f t="shared" si="19"/>
        <v>0</v>
      </c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X207" s="6">
        <f t="shared" si="15"/>
        <v>0</v>
      </c>
      <c r="AY207" s="6">
        <f t="shared" si="16"/>
        <v>0</v>
      </c>
      <c r="AZ207" s="6">
        <f t="shared" si="17"/>
        <v>0</v>
      </c>
      <c r="BA207" s="6">
        <f t="shared" si="18"/>
        <v>0</v>
      </c>
      <c r="BB207" s="7" t="s">
        <v>203</v>
      </c>
    </row>
    <row r="208" spans="1:54" x14ac:dyDescent="0.25">
      <c r="A208" s="43">
        <f t="shared" si="19"/>
        <v>0</v>
      </c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X208" s="6">
        <f t="shared" si="15"/>
        <v>0</v>
      </c>
      <c r="AY208" s="6">
        <f t="shared" si="16"/>
        <v>0</v>
      </c>
      <c r="AZ208" s="6">
        <f t="shared" si="17"/>
        <v>0</v>
      </c>
      <c r="BA208" s="6">
        <f t="shared" si="18"/>
        <v>0</v>
      </c>
      <c r="BB208" s="7" t="s">
        <v>203</v>
      </c>
    </row>
    <row r="209" spans="1:54" x14ac:dyDescent="0.25">
      <c r="A209" s="43">
        <f t="shared" si="19"/>
        <v>0</v>
      </c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X209" s="6">
        <f t="shared" si="15"/>
        <v>0</v>
      </c>
      <c r="AY209" s="6">
        <f t="shared" si="16"/>
        <v>0</v>
      </c>
      <c r="AZ209" s="6">
        <f t="shared" si="17"/>
        <v>0</v>
      </c>
      <c r="BA209" s="6">
        <f t="shared" si="18"/>
        <v>0</v>
      </c>
      <c r="BB209" s="7" t="s">
        <v>203</v>
      </c>
    </row>
    <row r="210" spans="1:54" x14ac:dyDescent="0.25">
      <c r="A210" s="43">
        <f t="shared" si="19"/>
        <v>0</v>
      </c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X210" s="6">
        <f t="shared" si="15"/>
        <v>0</v>
      </c>
      <c r="AY210" s="6">
        <f t="shared" si="16"/>
        <v>0</v>
      </c>
      <c r="AZ210" s="6">
        <f t="shared" si="17"/>
        <v>0</v>
      </c>
      <c r="BA210" s="6">
        <f t="shared" si="18"/>
        <v>0</v>
      </c>
      <c r="BB210" s="7" t="s">
        <v>203</v>
      </c>
    </row>
    <row r="211" spans="1:54" x14ac:dyDescent="0.25">
      <c r="A211" s="43">
        <f t="shared" si="19"/>
        <v>0</v>
      </c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X211" s="6">
        <f t="shared" si="15"/>
        <v>0</v>
      </c>
      <c r="AY211" s="6">
        <f t="shared" si="16"/>
        <v>0</v>
      </c>
      <c r="AZ211" s="6">
        <f t="shared" si="17"/>
        <v>0</v>
      </c>
      <c r="BA211" s="6">
        <f t="shared" si="18"/>
        <v>0</v>
      </c>
      <c r="BB211" s="7" t="s">
        <v>203</v>
      </c>
    </row>
    <row r="212" spans="1:54" x14ac:dyDescent="0.25">
      <c r="A212" s="43">
        <f t="shared" si="19"/>
        <v>0</v>
      </c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X212" s="6">
        <f t="shared" si="15"/>
        <v>0</v>
      </c>
      <c r="AY212" s="6">
        <f t="shared" si="16"/>
        <v>0</v>
      </c>
      <c r="AZ212" s="6">
        <f t="shared" si="17"/>
        <v>0</v>
      </c>
      <c r="BA212" s="6">
        <f t="shared" si="18"/>
        <v>0</v>
      </c>
      <c r="BB212" s="7" t="s">
        <v>203</v>
      </c>
    </row>
    <row r="213" spans="1:54" x14ac:dyDescent="0.25">
      <c r="A213" s="43">
        <f t="shared" si="19"/>
        <v>0</v>
      </c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X213" s="6">
        <f t="shared" si="15"/>
        <v>0</v>
      </c>
      <c r="AY213" s="6">
        <f t="shared" si="16"/>
        <v>0</v>
      </c>
      <c r="AZ213" s="6">
        <f t="shared" si="17"/>
        <v>0</v>
      </c>
      <c r="BA213" s="6">
        <f t="shared" si="18"/>
        <v>0</v>
      </c>
      <c r="BB213" s="7" t="s">
        <v>203</v>
      </c>
    </row>
    <row r="214" spans="1:54" x14ac:dyDescent="0.25">
      <c r="A214" s="43">
        <f t="shared" si="19"/>
        <v>0</v>
      </c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X214" s="6">
        <f t="shared" si="15"/>
        <v>0</v>
      </c>
      <c r="AY214" s="6">
        <f t="shared" si="16"/>
        <v>0</v>
      </c>
      <c r="AZ214" s="6">
        <f t="shared" si="17"/>
        <v>0</v>
      </c>
      <c r="BA214" s="6">
        <f t="shared" si="18"/>
        <v>0</v>
      </c>
      <c r="BB214" s="7" t="s">
        <v>203</v>
      </c>
    </row>
    <row r="215" spans="1:54" x14ac:dyDescent="0.25">
      <c r="A215" s="43">
        <f t="shared" si="19"/>
        <v>0</v>
      </c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X215" s="6">
        <f t="shared" si="15"/>
        <v>0</v>
      </c>
      <c r="AY215" s="6">
        <f t="shared" si="16"/>
        <v>0</v>
      </c>
      <c r="AZ215" s="6">
        <f t="shared" si="17"/>
        <v>0</v>
      </c>
      <c r="BA215" s="6">
        <f t="shared" si="18"/>
        <v>0</v>
      </c>
      <c r="BB215" s="7" t="s">
        <v>203</v>
      </c>
    </row>
    <row r="216" spans="1:54" x14ac:dyDescent="0.25">
      <c r="A216" s="43">
        <f t="shared" si="19"/>
        <v>0</v>
      </c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X216" s="6">
        <f t="shared" si="15"/>
        <v>0</v>
      </c>
      <c r="AY216" s="6">
        <f t="shared" si="16"/>
        <v>0</v>
      </c>
      <c r="AZ216" s="6">
        <f t="shared" si="17"/>
        <v>0</v>
      </c>
      <c r="BA216" s="6">
        <f t="shared" si="18"/>
        <v>0</v>
      </c>
      <c r="BB216" s="7" t="s">
        <v>203</v>
      </c>
    </row>
    <row r="217" spans="1:54" x14ac:dyDescent="0.25">
      <c r="A217" s="43">
        <f t="shared" si="19"/>
        <v>0</v>
      </c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X217" s="6">
        <f t="shared" si="15"/>
        <v>0</v>
      </c>
      <c r="AY217" s="6">
        <f t="shared" si="16"/>
        <v>0</v>
      </c>
      <c r="AZ217" s="6">
        <f t="shared" si="17"/>
        <v>0</v>
      </c>
      <c r="BA217" s="6">
        <f t="shared" si="18"/>
        <v>0</v>
      </c>
      <c r="BB217" s="7" t="s">
        <v>203</v>
      </c>
    </row>
    <row r="218" spans="1:54" x14ac:dyDescent="0.25">
      <c r="A218" s="43">
        <f t="shared" si="19"/>
        <v>0</v>
      </c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X218" s="6">
        <f t="shared" si="15"/>
        <v>0</v>
      </c>
      <c r="AY218" s="6">
        <f t="shared" si="16"/>
        <v>0</v>
      </c>
      <c r="AZ218" s="6">
        <f t="shared" si="17"/>
        <v>0</v>
      </c>
      <c r="BA218" s="6">
        <f t="shared" si="18"/>
        <v>0</v>
      </c>
      <c r="BB218" s="7" t="s">
        <v>203</v>
      </c>
    </row>
    <row r="219" spans="1:54" x14ac:dyDescent="0.25">
      <c r="A219" s="43">
        <f t="shared" si="19"/>
        <v>0</v>
      </c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X219" s="6">
        <f t="shared" si="15"/>
        <v>0</v>
      </c>
      <c r="AY219" s="6">
        <f t="shared" si="16"/>
        <v>0</v>
      </c>
      <c r="AZ219" s="6">
        <f t="shared" si="17"/>
        <v>0</v>
      </c>
      <c r="BA219" s="6">
        <f t="shared" si="18"/>
        <v>0</v>
      </c>
      <c r="BB219" s="7" t="s">
        <v>203</v>
      </c>
    </row>
    <row r="220" spans="1:54" x14ac:dyDescent="0.25">
      <c r="A220" s="43">
        <f t="shared" si="19"/>
        <v>0</v>
      </c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X220" s="6">
        <f t="shared" si="15"/>
        <v>0</v>
      </c>
      <c r="AY220" s="6">
        <f t="shared" si="16"/>
        <v>0</v>
      </c>
      <c r="AZ220" s="6">
        <f t="shared" si="17"/>
        <v>0</v>
      </c>
      <c r="BA220" s="6">
        <f t="shared" si="18"/>
        <v>0</v>
      </c>
      <c r="BB220" s="7" t="s">
        <v>203</v>
      </c>
    </row>
    <row r="221" spans="1:54" x14ac:dyDescent="0.25">
      <c r="A221" s="43">
        <f t="shared" si="19"/>
        <v>0</v>
      </c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X221" s="6">
        <f t="shared" si="15"/>
        <v>0</v>
      </c>
      <c r="AY221" s="6">
        <f t="shared" si="16"/>
        <v>0</v>
      </c>
      <c r="AZ221" s="6">
        <f t="shared" si="17"/>
        <v>0</v>
      </c>
      <c r="BA221" s="6">
        <f t="shared" si="18"/>
        <v>0</v>
      </c>
      <c r="BB221" s="7" t="s">
        <v>203</v>
      </c>
    </row>
    <row r="222" spans="1:54" x14ac:dyDescent="0.25">
      <c r="A222" s="43">
        <f t="shared" si="19"/>
        <v>0</v>
      </c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X222" s="6">
        <f t="shared" si="15"/>
        <v>0</v>
      </c>
      <c r="AY222" s="6">
        <f t="shared" si="16"/>
        <v>0</v>
      </c>
      <c r="AZ222" s="6">
        <f t="shared" si="17"/>
        <v>0</v>
      </c>
      <c r="BA222" s="6">
        <f t="shared" si="18"/>
        <v>0</v>
      </c>
      <c r="BB222" s="7" t="s">
        <v>203</v>
      </c>
    </row>
    <row r="223" spans="1:54" x14ac:dyDescent="0.25">
      <c r="A223" s="43">
        <f t="shared" si="19"/>
        <v>0</v>
      </c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X223" s="6">
        <f t="shared" si="15"/>
        <v>0</v>
      </c>
      <c r="AY223" s="6">
        <f t="shared" si="16"/>
        <v>0</v>
      </c>
      <c r="AZ223" s="6">
        <f t="shared" si="17"/>
        <v>0</v>
      </c>
      <c r="BA223" s="6">
        <f t="shared" si="18"/>
        <v>0</v>
      </c>
      <c r="BB223" s="7" t="s">
        <v>203</v>
      </c>
    </row>
    <row r="224" spans="1:54" x14ac:dyDescent="0.25">
      <c r="A224" s="43">
        <f t="shared" si="19"/>
        <v>0</v>
      </c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X224" s="6">
        <f t="shared" si="15"/>
        <v>0</v>
      </c>
      <c r="AY224" s="6">
        <f t="shared" si="16"/>
        <v>0</v>
      </c>
      <c r="AZ224" s="6">
        <f t="shared" si="17"/>
        <v>0</v>
      </c>
      <c r="BA224" s="6">
        <f t="shared" si="18"/>
        <v>0</v>
      </c>
      <c r="BB224" s="7" t="s">
        <v>203</v>
      </c>
    </row>
    <row r="225" spans="1:54" x14ac:dyDescent="0.25">
      <c r="A225" s="43">
        <f t="shared" si="19"/>
        <v>0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X225" s="6">
        <f t="shared" si="15"/>
        <v>0</v>
      </c>
      <c r="AY225" s="6">
        <f t="shared" si="16"/>
        <v>0</v>
      </c>
      <c r="AZ225" s="6">
        <f t="shared" si="17"/>
        <v>0</v>
      </c>
      <c r="BA225" s="6">
        <f t="shared" si="18"/>
        <v>0</v>
      </c>
      <c r="BB225" s="7" t="s">
        <v>203</v>
      </c>
    </row>
    <row r="226" spans="1:54" x14ac:dyDescent="0.25">
      <c r="A226" s="43">
        <f t="shared" si="19"/>
        <v>0</v>
      </c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X226" s="6">
        <f t="shared" si="15"/>
        <v>0</v>
      </c>
      <c r="AY226" s="6">
        <f t="shared" si="16"/>
        <v>0</v>
      </c>
      <c r="AZ226" s="6">
        <f t="shared" si="17"/>
        <v>0</v>
      </c>
      <c r="BA226" s="6">
        <f t="shared" si="18"/>
        <v>0</v>
      </c>
      <c r="BB226" s="7" t="s">
        <v>203</v>
      </c>
    </row>
    <row r="227" spans="1:54" x14ac:dyDescent="0.25">
      <c r="A227" s="43">
        <f t="shared" si="19"/>
        <v>0</v>
      </c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X227" s="6">
        <f t="shared" si="15"/>
        <v>0</v>
      </c>
      <c r="AY227" s="6">
        <f t="shared" si="16"/>
        <v>0</v>
      </c>
      <c r="AZ227" s="6">
        <f t="shared" si="17"/>
        <v>0</v>
      </c>
      <c r="BA227" s="6">
        <f t="shared" si="18"/>
        <v>0</v>
      </c>
      <c r="BB227" s="7" t="s">
        <v>203</v>
      </c>
    </row>
    <row r="228" spans="1:54" x14ac:dyDescent="0.25">
      <c r="A228" s="43">
        <f t="shared" si="19"/>
        <v>0</v>
      </c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X228" s="6">
        <f t="shared" si="15"/>
        <v>0</v>
      </c>
      <c r="AY228" s="6">
        <f t="shared" si="16"/>
        <v>0</v>
      </c>
      <c r="AZ228" s="6">
        <f t="shared" si="17"/>
        <v>0</v>
      </c>
      <c r="BA228" s="6">
        <f t="shared" si="18"/>
        <v>0</v>
      </c>
      <c r="BB228" s="7" t="s">
        <v>203</v>
      </c>
    </row>
    <row r="229" spans="1:54" x14ac:dyDescent="0.25">
      <c r="A229" s="43">
        <f t="shared" si="19"/>
        <v>0</v>
      </c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X229" s="6">
        <f t="shared" si="15"/>
        <v>0</v>
      </c>
      <c r="AY229" s="6">
        <f t="shared" si="16"/>
        <v>0</v>
      </c>
      <c r="AZ229" s="6">
        <f t="shared" si="17"/>
        <v>0</v>
      </c>
      <c r="BA229" s="6">
        <f t="shared" si="18"/>
        <v>0</v>
      </c>
      <c r="BB229" s="7" t="s">
        <v>203</v>
      </c>
    </row>
    <row r="230" spans="1:54" x14ac:dyDescent="0.25">
      <c r="A230" s="43">
        <f t="shared" si="19"/>
        <v>0</v>
      </c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X230" s="6">
        <f t="shared" si="15"/>
        <v>0</v>
      </c>
      <c r="AY230" s="6">
        <f t="shared" si="16"/>
        <v>0</v>
      </c>
      <c r="AZ230" s="6">
        <f t="shared" si="17"/>
        <v>0</v>
      </c>
      <c r="BA230" s="6">
        <f t="shared" si="18"/>
        <v>0</v>
      </c>
      <c r="BB230" s="7" t="s">
        <v>203</v>
      </c>
    </row>
    <row r="231" spans="1:54" x14ac:dyDescent="0.25">
      <c r="A231" s="43">
        <f t="shared" si="19"/>
        <v>0</v>
      </c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X231" s="6">
        <f t="shared" si="15"/>
        <v>0</v>
      </c>
      <c r="AY231" s="6">
        <f t="shared" si="16"/>
        <v>0</v>
      </c>
      <c r="AZ231" s="6">
        <f t="shared" si="17"/>
        <v>0</v>
      </c>
      <c r="BA231" s="6">
        <f t="shared" si="18"/>
        <v>0</v>
      </c>
      <c r="BB231" s="7" t="s">
        <v>203</v>
      </c>
    </row>
    <row r="232" spans="1:54" x14ac:dyDescent="0.25">
      <c r="A232" s="43">
        <f t="shared" si="19"/>
        <v>0</v>
      </c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X232" s="6">
        <f t="shared" si="15"/>
        <v>0</v>
      </c>
      <c r="AY232" s="6">
        <f t="shared" si="16"/>
        <v>0</v>
      </c>
      <c r="AZ232" s="6">
        <f t="shared" si="17"/>
        <v>0</v>
      </c>
      <c r="BA232" s="6">
        <f t="shared" si="18"/>
        <v>0</v>
      </c>
      <c r="BB232" s="7" t="s">
        <v>203</v>
      </c>
    </row>
    <row r="233" spans="1:54" x14ac:dyDescent="0.25">
      <c r="A233" s="43">
        <f t="shared" si="19"/>
        <v>0</v>
      </c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X233" s="6">
        <f t="shared" si="15"/>
        <v>0</v>
      </c>
      <c r="AY233" s="6">
        <f t="shared" si="16"/>
        <v>0</v>
      </c>
      <c r="AZ233" s="6">
        <f t="shared" si="17"/>
        <v>0</v>
      </c>
      <c r="BA233" s="6">
        <f t="shared" si="18"/>
        <v>0</v>
      </c>
      <c r="BB233" s="7" t="s">
        <v>203</v>
      </c>
    </row>
    <row r="234" spans="1:54" x14ac:dyDescent="0.25">
      <c r="A234" s="43">
        <f t="shared" si="19"/>
        <v>0</v>
      </c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X234" s="6">
        <f t="shared" si="15"/>
        <v>0</v>
      </c>
      <c r="AY234" s="6">
        <f t="shared" si="16"/>
        <v>0</v>
      </c>
      <c r="AZ234" s="6">
        <f t="shared" si="17"/>
        <v>0</v>
      </c>
      <c r="BA234" s="6">
        <f t="shared" si="18"/>
        <v>0</v>
      </c>
      <c r="BB234" s="7" t="s">
        <v>203</v>
      </c>
    </row>
    <row r="235" spans="1:54" x14ac:dyDescent="0.25">
      <c r="A235" s="43">
        <f t="shared" si="19"/>
        <v>0</v>
      </c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X235" s="6">
        <f t="shared" si="15"/>
        <v>0</v>
      </c>
      <c r="AY235" s="6">
        <f t="shared" si="16"/>
        <v>0</v>
      </c>
      <c r="AZ235" s="6">
        <f t="shared" si="17"/>
        <v>0</v>
      </c>
      <c r="BA235" s="6">
        <f t="shared" si="18"/>
        <v>0</v>
      </c>
      <c r="BB235" s="7" t="s">
        <v>203</v>
      </c>
    </row>
    <row r="236" spans="1:54" x14ac:dyDescent="0.25">
      <c r="A236" s="43">
        <f t="shared" si="19"/>
        <v>0</v>
      </c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X236" s="6">
        <f t="shared" si="15"/>
        <v>0</v>
      </c>
      <c r="AY236" s="6">
        <f t="shared" si="16"/>
        <v>0</v>
      </c>
      <c r="AZ236" s="6">
        <f t="shared" si="17"/>
        <v>0</v>
      </c>
      <c r="BA236" s="6">
        <f t="shared" si="18"/>
        <v>0</v>
      </c>
      <c r="BB236" s="7" t="s">
        <v>203</v>
      </c>
    </row>
    <row r="237" spans="1:54" x14ac:dyDescent="0.25">
      <c r="A237" s="43">
        <f t="shared" si="19"/>
        <v>0</v>
      </c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X237" s="6">
        <f t="shared" si="15"/>
        <v>0</v>
      </c>
      <c r="AY237" s="6">
        <f t="shared" si="16"/>
        <v>0</v>
      </c>
      <c r="AZ237" s="6">
        <f t="shared" si="17"/>
        <v>0</v>
      </c>
      <c r="BA237" s="6">
        <f t="shared" si="18"/>
        <v>0</v>
      </c>
      <c r="BB237" s="7" t="s">
        <v>203</v>
      </c>
    </row>
    <row r="238" spans="1:54" x14ac:dyDescent="0.25">
      <c r="A238" s="43">
        <f t="shared" si="19"/>
        <v>0</v>
      </c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X238" s="6">
        <f t="shared" si="15"/>
        <v>0</v>
      </c>
      <c r="AY238" s="6">
        <f t="shared" si="16"/>
        <v>0</v>
      </c>
      <c r="AZ238" s="6">
        <f t="shared" si="17"/>
        <v>0</v>
      </c>
      <c r="BA238" s="6">
        <f t="shared" si="18"/>
        <v>0</v>
      </c>
      <c r="BB238" s="7" t="s">
        <v>203</v>
      </c>
    </row>
    <row r="239" spans="1:54" x14ac:dyDescent="0.25">
      <c r="A239" s="43">
        <f t="shared" si="19"/>
        <v>0</v>
      </c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X239" s="6">
        <f t="shared" si="15"/>
        <v>0</v>
      </c>
      <c r="AY239" s="6">
        <f t="shared" si="16"/>
        <v>0</v>
      </c>
      <c r="AZ239" s="6">
        <f t="shared" si="17"/>
        <v>0</v>
      </c>
      <c r="BA239" s="6">
        <f t="shared" si="18"/>
        <v>0</v>
      </c>
      <c r="BB239" s="7" t="s">
        <v>203</v>
      </c>
    </row>
    <row r="240" spans="1:54" x14ac:dyDescent="0.25">
      <c r="A240" s="43">
        <f t="shared" si="19"/>
        <v>0</v>
      </c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X240" s="6">
        <f t="shared" si="15"/>
        <v>0</v>
      </c>
      <c r="AY240" s="6">
        <f t="shared" si="16"/>
        <v>0</v>
      </c>
      <c r="AZ240" s="6">
        <f t="shared" si="17"/>
        <v>0</v>
      </c>
      <c r="BA240" s="6">
        <f t="shared" si="18"/>
        <v>0</v>
      </c>
      <c r="BB240" s="7" t="s">
        <v>203</v>
      </c>
    </row>
    <row r="241" spans="1:54" x14ac:dyDescent="0.25">
      <c r="A241" s="43">
        <f t="shared" si="19"/>
        <v>0</v>
      </c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X241" s="6">
        <f t="shared" si="15"/>
        <v>0</v>
      </c>
      <c r="AY241" s="6">
        <f t="shared" si="16"/>
        <v>0</v>
      </c>
      <c r="AZ241" s="6">
        <f t="shared" si="17"/>
        <v>0</v>
      </c>
      <c r="BA241" s="6">
        <f t="shared" si="18"/>
        <v>0</v>
      </c>
      <c r="BB241" s="7" t="s">
        <v>203</v>
      </c>
    </row>
    <row r="242" spans="1:54" x14ac:dyDescent="0.25">
      <c r="A242" s="43">
        <f t="shared" si="19"/>
        <v>0</v>
      </c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X242" s="6">
        <f t="shared" si="15"/>
        <v>0</v>
      </c>
      <c r="AY242" s="6">
        <f t="shared" si="16"/>
        <v>0</v>
      </c>
      <c r="AZ242" s="6">
        <f t="shared" si="17"/>
        <v>0</v>
      </c>
      <c r="BA242" s="6">
        <f t="shared" si="18"/>
        <v>0</v>
      </c>
      <c r="BB242" s="7" t="s">
        <v>203</v>
      </c>
    </row>
    <row r="243" spans="1:54" x14ac:dyDescent="0.25">
      <c r="A243" s="43">
        <f t="shared" si="19"/>
        <v>0</v>
      </c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X243" s="6">
        <f t="shared" si="15"/>
        <v>0</v>
      </c>
      <c r="AY243" s="6">
        <f t="shared" si="16"/>
        <v>0</v>
      </c>
      <c r="AZ243" s="6">
        <f t="shared" si="17"/>
        <v>0</v>
      </c>
      <c r="BA243" s="6">
        <f t="shared" si="18"/>
        <v>0</v>
      </c>
      <c r="BB243" s="7" t="s">
        <v>203</v>
      </c>
    </row>
    <row r="244" spans="1:54" x14ac:dyDescent="0.25">
      <c r="A244" s="43">
        <f t="shared" si="19"/>
        <v>0</v>
      </c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X244" s="6">
        <f t="shared" si="15"/>
        <v>0</v>
      </c>
      <c r="AY244" s="6">
        <f t="shared" si="16"/>
        <v>0</v>
      </c>
      <c r="AZ244" s="6">
        <f t="shared" si="17"/>
        <v>0</v>
      </c>
      <c r="BA244" s="6">
        <f t="shared" si="18"/>
        <v>0</v>
      </c>
      <c r="BB244" s="7" t="s">
        <v>203</v>
      </c>
    </row>
    <row r="245" spans="1:54" x14ac:dyDescent="0.25">
      <c r="A245" s="43">
        <f t="shared" si="19"/>
        <v>0</v>
      </c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X245" s="6">
        <f t="shared" si="15"/>
        <v>0</v>
      </c>
      <c r="AY245" s="6">
        <f t="shared" si="16"/>
        <v>0</v>
      </c>
      <c r="AZ245" s="6">
        <f t="shared" si="17"/>
        <v>0</v>
      </c>
      <c r="BA245" s="6">
        <f t="shared" si="18"/>
        <v>0</v>
      </c>
      <c r="BB245" s="7" t="s">
        <v>203</v>
      </c>
    </row>
    <row r="246" spans="1:54" x14ac:dyDescent="0.25">
      <c r="A246" s="43">
        <f t="shared" si="19"/>
        <v>0</v>
      </c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X246" s="6">
        <f t="shared" si="15"/>
        <v>0</v>
      </c>
      <c r="AY246" s="6">
        <f t="shared" si="16"/>
        <v>0</v>
      </c>
      <c r="AZ246" s="6">
        <f t="shared" si="17"/>
        <v>0</v>
      </c>
      <c r="BA246" s="6">
        <f t="shared" si="18"/>
        <v>0</v>
      </c>
      <c r="BB246" s="7" t="s">
        <v>203</v>
      </c>
    </row>
    <row r="247" spans="1:54" x14ac:dyDescent="0.25">
      <c r="A247" s="43">
        <f t="shared" si="19"/>
        <v>0</v>
      </c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X247" s="6">
        <f t="shared" si="15"/>
        <v>0</v>
      </c>
      <c r="AY247" s="6">
        <f t="shared" si="16"/>
        <v>0</v>
      </c>
      <c r="AZ247" s="6">
        <f t="shared" si="17"/>
        <v>0</v>
      </c>
      <c r="BA247" s="6">
        <f t="shared" si="18"/>
        <v>0</v>
      </c>
      <c r="BB247" s="7" t="s">
        <v>203</v>
      </c>
    </row>
    <row r="248" spans="1:54" x14ac:dyDescent="0.25">
      <c r="A248" s="43">
        <f t="shared" si="19"/>
        <v>0</v>
      </c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X248" s="6">
        <f t="shared" si="15"/>
        <v>0</v>
      </c>
      <c r="AY248" s="6">
        <f t="shared" si="16"/>
        <v>0</v>
      </c>
      <c r="AZ248" s="6">
        <f t="shared" si="17"/>
        <v>0</v>
      </c>
      <c r="BA248" s="6">
        <f t="shared" si="18"/>
        <v>0</v>
      </c>
      <c r="BB248" s="7" t="s">
        <v>203</v>
      </c>
    </row>
    <row r="249" spans="1:54" x14ac:dyDescent="0.25">
      <c r="A249" s="43">
        <f t="shared" si="19"/>
        <v>0</v>
      </c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X249" s="6">
        <f t="shared" si="15"/>
        <v>0</v>
      </c>
      <c r="AY249" s="6">
        <f t="shared" si="16"/>
        <v>0</v>
      </c>
      <c r="AZ249" s="6">
        <f t="shared" si="17"/>
        <v>0</v>
      </c>
      <c r="BA249" s="6">
        <f t="shared" si="18"/>
        <v>0</v>
      </c>
      <c r="BB249" s="7" t="s">
        <v>203</v>
      </c>
    </row>
    <row r="250" spans="1:54" x14ac:dyDescent="0.25">
      <c r="A250" s="43">
        <f t="shared" si="19"/>
        <v>0</v>
      </c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X250" s="6">
        <f t="shared" si="15"/>
        <v>0</v>
      </c>
      <c r="AY250" s="6">
        <f t="shared" si="16"/>
        <v>0</v>
      </c>
      <c r="AZ250" s="6">
        <f t="shared" si="17"/>
        <v>0</v>
      </c>
      <c r="BA250" s="6">
        <f t="shared" si="18"/>
        <v>0</v>
      </c>
      <c r="BB250" s="7" t="s">
        <v>203</v>
      </c>
    </row>
    <row r="251" spans="1:54" x14ac:dyDescent="0.25">
      <c r="A251" s="43">
        <f t="shared" si="19"/>
        <v>0</v>
      </c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X251" s="6">
        <f t="shared" si="15"/>
        <v>0</v>
      </c>
      <c r="AY251" s="6">
        <f t="shared" si="16"/>
        <v>0</v>
      </c>
      <c r="AZ251" s="6">
        <f t="shared" si="17"/>
        <v>0</v>
      </c>
      <c r="BA251" s="6">
        <f t="shared" si="18"/>
        <v>0</v>
      </c>
      <c r="BB251" s="7" t="s">
        <v>203</v>
      </c>
    </row>
    <row r="252" spans="1:54" x14ac:dyDescent="0.25">
      <c r="A252" s="43">
        <f t="shared" si="19"/>
        <v>0</v>
      </c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X252" s="6">
        <f t="shared" si="15"/>
        <v>0</v>
      </c>
      <c r="AY252" s="6">
        <f t="shared" si="16"/>
        <v>0</v>
      </c>
      <c r="AZ252" s="6">
        <f t="shared" si="17"/>
        <v>0</v>
      </c>
      <c r="BA252" s="6">
        <f t="shared" si="18"/>
        <v>0</v>
      </c>
      <c r="BB252" s="7" t="s">
        <v>203</v>
      </c>
    </row>
    <row r="253" spans="1:54" x14ac:dyDescent="0.25">
      <c r="A253" s="43">
        <f t="shared" si="19"/>
        <v>0</v>
      </c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X253" s="6">
        <f t="shared" si="15"/>
        <v>0</v>
      </c>
      <c r="AY253" s="6">
        <f t="shared" si="16"/>
        <v>0</v>
      </c>
      <c r="AZ253" s="6">
        <f t="shared" si="17"/>
        <v>0</v>
      </c>
      <c r="BA253" s="6">
        <f t="shared" si="18"/>
        <v>0</v>
      </c>
      <c r="BB253" s="7" t="s">
        <v>203</v>
      </c>
    </row>
    <row r="254" spans="1:54" x14ac:dyDescent="0.25">
      <c r="A254" s="43">
        <f t="shared" si="19"/>
        <v>0</v>
      </c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X254" s="6">
        <f t="shared" si="15"/>
        <v>0</v>
      </c>
      <c r="AY254" s="6">
        <f t="shared" si="16"/>
        <v>0</v>
      </c>
      <c r="AZ254" s="6">
        <f t="shared" si="17"/>
        <v>0</v>
      </c>
      <c r="BA254" s="6">
        <f t="shared" si="18"/>
        <v>0</v>
      </c>
      <c r="BB254" s="7" t="s">
        <v>203</v>
      </c>
    </row>
    <row r="255" spans="1:54" x14ac:dyDescent="0.25">
      <c r="A255" s="43">
        <f t="shared" si="19"/>
        <v>0</v>
      </c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X255" s="6">
        <f t="shared" si="15"/>
        <v>0</v>
      </c>
      <c r="AY255" s="6">
        <f t="shared" si="16"/>
        <v>0</v>
      </c>
      <c r="AZ255" s="6">
        <f t="shared" si="17"/>
        <v>0</v>
      </c>
      <c r="BA255" s="6">
        <f t="shared" si="18"/>
        <v>0</v>
      </c>
      <c r="BB255" s="7" t="s">
        <v>203</v>
      </c>
    </row>
    <row r="256" spans="1:54" x14ac:dyDescent="0.25">
      <c r="A256" s="43">
        <f t="shared" si="19"/>
        <v>0</v>
      </c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X256" s="6">
        <f t="shared" si="15"/>
        <v>0</v>
      </c>
      <c r="AY256" s="6">
        <f t="shared" si="16"/>
        <v>0</v>
      </c>
      <c r="AZ256" s="6">
        <f t="shared" si="17"/>
        <v>0</v>
      </c>
      <c r="BA256" s="6">
        <f t="shared" si="18"/>
        <v>0</v>
      </c>
      <c r="BB256" s="7" t="s">
        <v>203</v>
      </c>
    </row>
    <row r="257" spans="1:54" x14ac:dyDescent="0.25">
      <c r="A257" s="43">
        <f t="shared" si="19"/>
        <v>0</v>
      </c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X257" s="6">
        <f t="shared" si="15"/>
        <v>0</v>
      </c>
      <c r="AY257" s="6">
        <f t="shared" si="16"/>
        <v>0</v>
      </c>
      <c r="AZ257" s="6">
        <f t="shared" si="17"/>
        <v>0</v>
      </c>
      <c r="BA257" s="6">
        <f t="shared" si="18"/>
        <v>0</v>
      </c>
      <c r="BB257" s="7" t="s">
        <v>203</v>
      </c>
    </row>
    <row r="258" spans="1:54" x14ac:dyDescent="0.25">
      <c r="A258" s="43">
        <f t="shared" si="19"/>
        <v>0</v>
      </c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X258" s="6">
        <f t="shared" si="15"/>
        <v>0</v>
      </c>
      <c r="AY258" s="6">
        <f t="shared" si="16"/>
        <v>0</v>
      </c>
      <c r="AZ258" s="6">
        <f t="shared" si="17"/>
        <v>0</v>
      </c>
      <c r="BA258" s="6">
        <f t="shared" si="18"/>
        <v>0</v>
      </c>
      <c r="BB258" s="7" t="s">
        <v>203</v>
      </c>
    </row>
    <row r="259" spans="1:54" x14ac:dyDescent="0.25">
      <c r="A259" s="43">
        <f t="shared" si="19"/>
        <v>0</v>
      </c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X259" s="6">
        <f t="shared" ref="AX259:AX322" si="20">COUNTIF(J259:AW259,"&gt;1")</f>
        <v>0</v>
      </c>
      <c r="AY259" s="6">
        <f t="shared" ref="AY259:AY322" si="21">COUNTIF(J259:AW259,0)</f>
        <v>0</v>
      </c>
      <c r="AZ259" s="6">
        <f t="shared" ref="AZ259:AZ322" si="22">COUNTIF(J259:AW259,"-")</f>
        <v>0</v>
      </c>
      <c r="BA259" s="6">
        <f t="shared" ref="BA259:BA322" si="23">SUM(AX259:AZ259)</f>
        <v>0</v>
      </c>
      <c r="BB259" s="7" t="s">
        <v>203</v>
      </c>
    </row>
    <row r="260" spans="1:54" x14ac:dyDescent="0.25">
      <c r="A260" s="43">
        <f t="shared" ref="A260:A323" si="24">_xlfn.NUMBERVALUE(LEFT(D260,9))</f>
        <v>0</v>
      </c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X260" s="6">
        <f t="shared" si="20"/>
        <v>0</v>
      </c>
      <c r="AY260" s="6">
        <f t="shared" si="21"/>
        <v>0</v>
      </c>
      <c r="AZ260" s="6">
        <f t="shared" si="22"/>
        <v>0</v>
      </c>
      <c r="BA260" s="6">
        <f t="shared" si="23"/>
        <v>0</v>
      </c>
      <c r="BB260" s="7" t="s">
        <v>203</v>
      </c>
    </row>
    <row r="261" spans="1:54" x14ac:dyDescent="0.25">
      <c r="A261" s="43">
        <f t="shared" si="24"/>
        <v>0</v>
      </c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X261" s="6">
        <f t="shared" si="20"/>
        <v>0</v>
      </c>
      <c r="AY261" s="6">
        <f t="shared" si="21"/>
        <v>0</v>
      </c>
      <c r="AZ261" s="6">
        <f t="shared" si="22"/>
        <v>0</v>
      </c>
      <c r="BA261" s="6">
        <f t="shared" si="23"/>
        <v>0</v>
      </c>
      <c r="BB261" s="7" t="s">
        <v>203</v>
      </c>
    </row>
    <row r="262" spans="1:54" x14ac:dyDescent="0.25">
      <c r="A262" s="43">
        <f t="shared" si="24"/>
        <v>0</v>
      </c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X262" s="6">
        <f t="shared" si="20"/>
        <v>0</v>
      </c>
      <c r="AY262" s="6">
        <f t="shared" si="21"/>
        <v>0</v>
      </c>
      <c r="AZ262" s="6">
        <f t="shared" si="22"/>
        <v>0</v>
      </c>
      <c r="BA262" s="6">
        <f t="shared" si="23"/>
        <v>0</v>
      </c>
      <c r="BB262" s="7" t="s">
        <v>203</v>
      </c>
    </row>
    <row r="263" spans="1:54" x14ac:dyDescent="0.25">
      <c r="A263" s="43">
        <f t="shared" si="24"/>
        <v>0</v>
      </c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X263" s="6">
        <f t="shared" si="20"/>
        <v>0</v>
      </c>
      <c r="AY263" s="6">
        <f t="shared" si="21"/>
        <v>0</v>
      </c>
      <c r="AZ263" s="6">
        <f t="shared" si="22"/>
        <v>0</v>
      </c>
      <c r="BA263" s="6">
        <f t="shared" si="23"/>
        <v>0</v>
      </c>
      <c r="BB263" s="7" t="s">
        <v>203</v>
      </c>
    </row>
    <row r="264" spans="1:54" x14ac:dyDescent="0.25">
      <c r="A264" s="43">
        <f t="shared" si="24"/>
        <v>0</v>
      </c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X264" s="6">
        <f t="shared" si="20"/>
        <v>0</v>
      </c>
      <c r="AY264" s="6">
        <f t="shared" si="21"/>
        <v>0</v>
      </c>
      <c r="AZ264" s="6">
        <f t="shared" si="22"/>
        <v>0</v>
      </c>
      <c r="BA264" s="6">
        <f t="shared" si="23"/>
        <v>0</v>
      </c>
      <c r="BB264" s="7" t="s">
        <v>203</v>
      </c>
    </row>
    <row r="265" spans="1:54" x14ac:dyDescent="0.25">
      <c r="A265" s="43">
        <f t="shared" si="24"/>
        <v>0</v>
      </c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X265" s="6">
        <f t="shared" si="20"/>
        <v>0</v>
      </c>
      <c r="AY265" s="6">
        <f t="shared" si="21"/>
        <v>0</v>
      </c>
      <c r="AZ265" s="6">
        <f t="shared" si="22"/>
        <v>0</v>
      </c>
      <c r="BA265" s="6">
        <f t="shared" si="23"/>
        <v>0</v>
      </c>
      <c r="BB265" s="7" t="s">
        <v>203</v>
      </c>
    </row>
    <row r="266" spans="1:54" x14ac:dyDescent="0.25">
      <c r="A266" s="43">
        <f t="shared" si="24"/>
        <v>0</v>
      </c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X266" s="6">
        <f t="shared" si="20"/>
        <v>0</v>
      </c>
      <c r="AY266" s="6">
        <f t="shared" si="21"/>
        <v>0</v>
      </c>
      <c r="AZ266" s="6">
        <f t="shared" si="22"/>
        <v>0</v>
      </c>
      <c r="BA266" s="6">
        <f t="shared" si="23"/>
        <v>0</v>
      </c>
      <c r="BB266" s="7" t="s">
        <v>203</v>
      </c>
    </row>
    <row r="267" spans="1:54" x14ac:dyDescent="0.25">
      <c r="A267" s="43">
        <f t="shared" si="24"/>
        <v>0</v>
      </c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X267" s="6">
        <f t="shared" si="20"/>
        <v>0</v>
      </c>
      <c r="AY267" s="6">
        <f t="shared" si="21"/>
        <v>0</v>
      </c>
      <c r="AZ267" s="6">
        <f t="shared" si="22"/>
        <v>0</v>
      </c>
      <c r="BA267" s="6">
        <f t="shared" si="23"/>
        <v>0</v>
      </c>
      <c r="BB267" s="7" t="s">
        <v>203</v>
      </c>
    </row>
    <row r="268" spans="1:54" x14ac:dyDescent="0.25">
      <c r="A268" s="43">
        <f t="shared" si="24"/>
        <v>0</v>
      </c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X268" s="6">
        <f t="shared" si="20"/>
        <v>0</v>
      </c>
      <c r="AY268" s="6">
        <f t="shared" si="21"/>
        <v>0</v>
      </c>
      <c r="AZ268" s="6">
        <f t="shared" si="22"/>
        <v>0</v>
      </c>
      <c r="BA268" s="6">
        <f t="shared" si="23"/>
        <v>0</v>
      </c>
      <c r="BB268" s="7" t="s">
        <v>203</v>
      </c>
    </row>
    <row r="269" spans="1:54" x14ac:dyDescent="0.25">
      <c r="A269" s="43">
        <f t="shared" si="24"/>
        <v>0</v>
      </c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X269" s="6">
        <f t="shared" si="20"/>
        <v>0</v>
      </c>
      <c r="AY269" s="6">
        <f t="shared" si="21"/>
        <v>0</v>
      </c>
      <c r="AZ269" s="6">
        <f t="shared" si="22"/>
        <v>0</v>
      </c>
      <c r="BA269" s="6">
        <f t="shared" si="23"/>
        <v>0</v>
      </c>
      <c r="BB269" s="7" t="s">
        <v>203</v>
      </c>
    </row>
    <row r="270" spans="1:54" x14ac:dyDescent="0.25">
      <c r="A270" s="43">
        <f t="shared" si="24"/>
        <v>0</v>
      </c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X270" s="6">
        <f t="shared" si="20"/>
        <v>0</v>
      </c>
      <c r="AY270" s="6">
        <f t="shared" si="21"/>
        <v>0</v>
      </c>
      <c r="AZ270" s="6">
        <f t="shared" si="22"/>
        <v>0</v>
      </c>
      <c r="BA270" s="6">
        <f t="shared" si="23"/>
        <v>0</v>
      </c>
      <c r="BB270" s="7" t="s">
        <v>203</v>
      </c>
    </row>
    <row r="271" spans="1:54" x14ac:dyDescent="0.25">
      <c r="A271" s="43">
        <f t="shared" si="24"/>
        <v>0</v>
      </c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X271" s="6">
        <f t="shared" si="20"/>
        <v>0</v>
      </c>
      <c r="AY271" s="6">
        <f t="shared" si="21"/>
        <v>0</v>
      </c>
      <c r="AZ271" s="6">
        <f t="shared" si="22"/>
        <v>0</v>
      </c>
      <c r="BA271" s="6">
        <f t="shared" si="23"/>
        <v>0</v>
      </c>
      <c r="BB271" s="7" t="s">
        <v>203</v>
      </c>
    </row>
    <row r="272" spans="1:54" x14ac:dyDescent="0.25">
      <c r="A272" s="43">
        <f t="shared" si="24"/>
        <v>0</v>
      </c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X272" s="6">
        <f t="shared" si="20"/>
        <v>0</v>
      </c>
      <c r="AY272" s="6">
        <f t="shared" si="21"/>
        <v>0</v>
      </c>
      <c r="AZ272" s="6">
        <f t="shared" si="22"/>
        <v>0</v>
      </c>
      <c r="BA272" s="6">
        <f t="shared" si="23"/>
        <v>0</v>
      </c>
      <c r="BB272" s="7" t="s">
        <v>203</v>
      </c>
    </row>
    <row r="273" spans="1:54" x14ac:dyDescent="0.25">
      <c r="A273" s="43">
        <f t="shared" si="24"/>
        <v>0</v>
      </c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X273" s="6">
        <f t="shared" si="20"/>
        <v>0</v>
      </c>
      <c r="AY273" s="6">
        <f t="shared" si="21"/>
        <v>0</v>
      </c>
      <c r="AZ273" s="6">
        <f t="shared" si="22"/>
        <v>0</v>
      </c>
      <c r="BA273" s="6">
        <f t="shared" si="23"/>
        <v>0</v>
      </c>
      <c r="BB273" s="7" t="s">
        <v>203</v>
      </c>
    </row>
    <row r="274" spans="1:54" x14ac:dyDescent="0.25">
      <c r="A274" s="43">
        <f t="shared" si="24"/>
        <v>0</v>
      </c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X274" s="6">
        <f t="shared" si="20"/>
        <v>0</v>
      </c>
      <c r="AY274" s="6">
        <f t="shared" si="21"/>
        <v>0</v>
      </c>
      <c r="AZ274" s="6">
        <f t="shared" si="22"/>
        <v>0</v>
      </c>
      <c r="BA274" s="6">
        <f t="shared" si="23"/>
        <v>0</v>
      </c>
      <c r="BB274" s="7" t="s">
        <v>203</v>
      </c>
    </row>
    <row r="275" spans="1:54" x14ac:dyDescent="0.25">
      <c r="A275" s="43">
        <f t="shared" si="24"/>
        <v>0</v>
      </c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X275" s="6">
        <f t="shared" si="20"/>
        <v>0</v>
      </c>
      <c r="AY275" s="6">
        <f t="shared" si="21"/>
        <v>0</v>
      </c>
      <c r="AZ275" s="6">
        <f t="shared" si="22"/>
        <v>0</v>
      </c>
      <c r="BA275" s="6">
        <f t="shared" si="23"/>
        <v>0</v>
      </c>
      <c r="BB275" s="7" t="s">
        <v>203</v>
      </c>
    </row>
    <row r="276" spans="1:54" x14ac:dyDescent="0.25">
      <c r="A276" s="43">
        <f t="shared" si="24"/>
        <v>0</v>
      </c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X276" s="6">
        <f t="shared" si="20"/>
        <v>0</v>
      </c>
      <c r="AY276" s="6">
        <f t="shared" si="21"/>
        <v>0</v>
      </c>
      <c r="AZ276" s="6">
        <f t="shared" si="22"/>
        <v>0</v>
      </c>
      <c r="BA276" s="6">
        <f t="shared" si="23"/>
        <v>0</v>
      </c>
      <c r="BB276" s="7" t="s">
        <v>203</v>
      </c>
    </row>
    <row r="277" spans="1:54" x14ac:dyDescent="0.25">
      <c r="A277" s="43">
        <f t="shared" si="24"/>
        <v>0</v>
      </c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X277" s="6">
        <f t="shared" si="20"/>
        <v>0</v>
      </c>
      <c r="AY277" s="6">
        <f t="shared" si="21"/>
        <v>0</v>
      </c>
      <c r="AZ277" s="6">
        <f t="shared" si="22"/>
        <v>0</v>
      </c>
      <c r="BA277" s="6">
        <f t="shared" si="23"/>
        <v>0</v>
      </c>
      <c r="BB277" s="7" t="s">
        <v>203</v>
      </c>
    </row>
    <row r="278" spans="1:54" x14ac:dyDescent="0.25">
      <c r="A278" s="43">
        <f t="shared" si="24"/>
        <v>0</v>
      </c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X278" s="6">
        <f t="shared" si="20"/>
        <v>0</v>
      </c>
      <c r="AY278" s="6">
        <f t="shared" si="21"/>
        <v>0</v>
      </c>
      <c r="AZ278" s="6">
        <f t="shared" si="22"/>
        <v>0</v>
      </c>
      <c r="BA278" s="6">
        <f t="shared" si="23"/>
        <v>0</v>
      </c>
      <c r="BB278" s="7" t="s">
        <v>203</v>
      </c>
    </row>
    <row r="279" spans="1:54" x14ac:dyDescent="0.25">
      <c r="A279" s="43">
        <f t="shared" si="24"/>
        <v>0</v>
      </c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X279" s="6">
        <f t="shared" si="20"/>
        <v>0</v>
      </c>
      <c r="AY279" s="6">
        <f t="shared" si="21"/>
        <v>0</v>
      </c>
      <c r="AZ279" s="6">
        <f t="shared" si="22"/>
        <v>0</v>
      </c>
      <c r="BA279" s="6">
        <f t="shared" si="23"/>
        <v>0</v>
      </c>
      <c r="BB279" s="7" t="s">
        <v>203</v>
      </c>
    </row>
    <row r="280" spans="1:54" x14ac:dyDescent="0.25">
      <c r="A280" s="43">
        <f t="shared" si="24"/>
        <v>0</v>
      </c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X280" s="6">
        <f t="shared" si="20"/>
        <v>0</v>
      </c>
      <c r="AY280" s="6">
        <f t="shared" si="21"/>
        <v>0</v>
      </c>
      <c r="AZ280" s="6">
        <f t="shared" si="22"/>
        <v>0</v>
      </c>
      <c r="BA280" s="6">
        <f t="shared" si="23"/>
        <v>0</v>
      </c>
      <c r="BB280" s="7" t="s">
        <v>203</v>
      </c>
    </row>
    <row r="281" spans="1:54" x14ac:dyDescent="0.25">
      <c r="A281" s="43">
        <f t="shared" si="24"/>
        <v>0</v>
      </c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X281" s="6">
        <f t="shared" si="20"/>
        <v>0</v>
      </c>
      <c r="AY281" s="6">
        <f t="shared" si="21"/>
        <v>0</v>
      </c>
      <c r="AZ281" s="6">
        <f t="shared" si="22"/>
        <v>0</v>
      </c>
      <c r="BA281" s="6">
        <f t="shared" si="23"/>
        <v>0</v>
      </c>
      <c r="BB281" s="7" t="s">
        <v>203</v>
      </c>
    </row>
    <row r="282" spans="1:54" x14ac:dyDescent="0.25">
      <c r="A282" s="43">
        <f t="shared" si="24"/>
        <v>0</v>
      </c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X282" s="6">
        <f t="shared" si="20"/>
        <v>0</v>
      </c>
      <c r="AY282" s="6">
        <f t="shared" si="21"/>
        <v>0</v>
      </c>
      <c r="AZ282" s="6">
        <f t="shared" si="22"/>
        <v>0</v>
      </c>
      <c r="BA282" s="6">
        <f t="shared" si="23"/>
        <v>0</v>
      </c>
      <c r="BB282" s="7" t="s">
        <v>203</v>
      </c>
    </row>
    <row r="283" spans="1:54" x14ac:dyDescent="0.25">
      <c r="A283" s="43">
        <f t="shared" si="24"/>
        <v>0</v>
      </c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X283" s="6">
        <f t="shared" si="20"/>
        <v>0</v>
      </c>
      <c r="AY283" s="6">
        <f t="shared" si="21"/>
        <v>0</v>
      </c>
      <c r="AZ283" s="6">
        <f t="shared" si="22"/>
        <v>0</v>
      </c>
      <c r="BA283" s="6">
        <f t="shared" si="23"/>
        <v>0</v>
      </c>
      <c r="BB283" s="7" t="s">
        <v>203</v>
      </c>
    </row>
    <row r="284" spans="1:54" x14ac:dyDescent="0.25">
      <c r="A284" s="43">
        <f t="shared" si="24"/>
        <v>0</v>
      </c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X284" s="6">
        <f t="shared" si="20"/>
        <v>0</v>
      </c>
      <c r="AY284" s="6">
        <f t="shared" si="21"/>
        <v>0</v>
      </c>
      <c r="AZ284" s="6">
        <f t="shared" si="22"/>
        <v>0</v>
      </c>
      <c r="BA284" s="6">
        <f t="shared" si="23"/>
        <v>0</v>
      </c>
      <c r="BB284" s="7" t="s">
        <v>203</v>
      </c>
    </row>
    <row r="285" spans="1:54" x14ac:dyDescent="0.25">
      <c r="A285" s="43">
        <f t="shared" si="24"/>
        <v>0</v>
      </c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X285" s="6">
        <f t="shared" si="20"/>
        <v>0</v>
      </c>
      <c r="AY285" s="6">
        <f t="shared" si="21"/>
        <v>0</v>
      </c>
      <c r="AZ285" s="6">
        <f t="shared" si="22"/>
        <v>0</v>
      </c>
      <c r="BA285" s="6">
        <f t="shared" si="23"/>
        <v>0</v>
      </c>
      <c r="BB285" s="7" t="s">
        <v>203</v>
      </c>
    </row>
    <row r="286" spans="1:54" x14ac:dyDescent="0.25">
      <c r="A286" s="43">
        <f t="shared" si="24"/>
        <v>0</v>
      </c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X286" s="6">
        <f t="shared" si="20"/>
        <v>0</v>
      </c>
      <c r="AY286" s="6">
        <f t="shared" si="21"/>
        <v>0</v>
      </c>
      <c r="AZ286" s="6">
        <f t="shared" si="22"/>
        <v>0</v>
      </c>
      <c r="BA286" s="6">
        <f t="shared" si="23"/>
        <v>0</v>
      </c>
      <c r="BB286" s="7" t="s">
        <v>203</v>
      </c>
    </row>
    <row r="287" spans="1:54" x14ac:dyDescent="0.25">
      <c r="A287" s="43">
        <f t="shared" si="24"/>
        <v>0</v>
      </c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X287" s="6">
        <f t="shared" si="20"/>
        <v>0</v>
      </c>
      <c r="AY287" s="6">
        <f t="shared" si="21"/>
        <v>0</v>
      </c>
      <c r="AZ287" s="6">
        <f t="shared" si="22"/>
        <v>0</v>
      </c>
      <c r="BA287" s="6">
        <f t="shared" si="23"/>
        <v>0</v>
      </c>
      <c r="BB287" s="7" t="s">
        <v>203</v>
      </c>
    </row>
    <row r="288" spans="1:54" x14ac:dyDescent="0.25">
      <c r="A288" s="43">
        <f t="shared" si="24"/>
        <v>0</v>
      </c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X288" s="6">
        <f t="shared" si="20"/>
        <v>0</v>
      </c>
      <c r="AY288" s="6">
        <f t="shared" si="21"/>
        <v>0</v>
      </c>
      <c r="AZ288" s="6">
        <f t="shared" si="22"/>
        <v>0</v>
      </c>
      <c r="BA288" s="6">
        <f t="shared" si="23"/>
        <v>0</v>
      </c>
      <c r="BB288" s="7" t="s">
        <v>203</v>
      </c>
    </row>
    <row r="289" spans="1:54" x14ac:dyDescent="0.25">
      <c r="A289" s="43">
        <f t="shared" si="24"/>
        <v>0</v>
      </c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X289" s="6">
        <f t="shared" si="20"/>
        <v>0</v>
      </c>
      <c r="AY289" s="6">
        <f t="shared" si="21"/>
        <v>0</v>
      </c>
      <c r="AZ289" s="6">
        <f t="shared" si="22"/>
        <v>0</v>
      </c>
      <c r="BA289" s="6">
        <f t="shared" si="23"/>
        <v>0</v>
      </c>
      <c r="BB289" s="7" t="s">
        <v>203</v>
      </c>
    </row>
    <row r="290" spans="1:54" x14ac:dyDescent="0.25">
      <c r="A290" s="43">
        <f t="shared" si="24"/>
        <v>0</v>
      </c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X290" s="6">
        <f t="shared" si="20"/>
        <v>0</v>
      </c>
      <c r="AY290" s="6">
        <f t="shared" si="21"/>
        <v>0</v>
      </c>
      <c r="AZ290" s="6">
        <f t="shared" si="22"/>
        <v>0</v>
      </c>
      <c r="BA290" s="6">
        <f t="shared" si="23"/>
        <v>0</v>
      </c>
      <c r="BB290" s="7" t="s">
        <v>203</v>
      </c>
    </row>
    <row r="291" spans="1:54" x14ac:dyDescent="0.25">
      <c r="A291" s="43">
        <f t="shared" si="24"/>
        <v>0</v>
      </c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X291" s="6">
        <f t="shared" si="20"/>
        <v>0</v>
      </c>
      <c r="AY291" s="6">
        <f t="shared" si="21"/>
        <v>0</v>
      </c>
      <c r="AZ291" s="6">
        <f t="shared" si="22"/>
        <v>0</v>
      </c>
      <c r="BA291" s="6">
        <f t="shared" si="23"/>
        <v>0</v>
      </c>
      <c r="BB291" s="7" t="s">
        <v>203</v>
      </c>
    </row>
    <row r="292" spans="1:54" x14ac:dyDescent="0.25">
      <c r="A292" s="43">
        <f t="shared" si="24"/>
        <v>0</v>
      </c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X292" s="6">
        <f t="shared" si="20"/>
        <v>0</v>
      </c>
      <c r="AY292" s="6">
        <f t="shared" si="21"/>
        <v>0</v>
      </c>
      <c r="AZ292" s="6">
        <f t="shared" si="22"/>
        <v>0</v>
      </c>
      <c r="BA292" s="6">
        <f t="shared" si="23"/>
        <v>0</v>
      </c>
      <c r="BB292" s="7" t="s">
        <v>203</v>
      </c>
    </row>
    <row r="293" spans="1:54" x14ac:dyDescent="0.25">
      <c r="A293" s="43">
        <f t="shared" si="24"/>
        <v>0</v>
      </c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X293" s="6">
        <f t="shared" si="20"/>
        <v>0</v>
      </c>
      <c r="AY293" s="6">
        <f t="shared" si="21"/>
        <v>0</v>
      </c>
      <c r="AZ293" s="6">
        <f t="shared" si="22"/>
        <v>0</v>
      </c>
      <c r="BA293" s="6">
        <f t="shared" si="23"/>
        <v>0</v>
      </c>
      <c r="BB293" s="7" t="s">
        <v>203</v>
      </c>
    </row>
    <row r="294" spans="1:54" x14ac:dyDescent="0.25">
      <c r="A294" s="43">
        <f t="shared" si="24"/>
        <v>0</v>
      </c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X294" s="6">
        <f t="shared" si="20"/>
        <v>0</v>
      </c>
      <c r="AY294" s="6">
        <f t="shared" si="21"/>
        <v>0</v>
      </c>
      <c r="AZ294" s="6">
        <f t="shared" si="22"/>
        <v>0</v>
      </c>
      <c r="BA294" s="6">
        <f t="shared" si="23"/>
        <v>0</v>
      </c>
      <c r="BB294" s="7" t="s">
        <v>203</v>
      </c>
    </row>
    <row r="295" spans="1:54" x14ac:dyDescent="0.25">
      <c r="A295" s="43">
        <f t="shared" si="24"/>
        <v>0</v>
      </c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X295" s="6">
        <f t="shared" si="20"/>
        <v>0</v>
      </c>
      <c r="AY295" s="6">
        <f t="shared" si="21"/>
        <v>0</v>
      </c>
      <c r="AZ295" s="6">
        <f t="shared" si="22"/>
        <v>0</v>
      </c>
      <c r="BA295" s="6">
        <f t="shared" si="23"/>
        <v>0</v>
      </c>
      <c r="BB295" s="7" t="s">
        <v>203</v>
      </c>
    </row>
    <row r="296" spans="1:54" x14ac:dyDescent="0.25">
      <c r="A296" s="43">
        <f t="shared" si="24"/>
        <v>0</v>
      </c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X296" s="6">
        <f t="shared" si="20"/>
        <v>0</v>
      </c>
      <c r="AY296" s="6">
        <f t="shared" si="21"/>
        <v>0</v>
      </c>
      <c r="AZ296" s="6">
        <f t="shared" si="22"/>
        <v>0</v>
      </c>
      <c r="BA296" s="6">
        <f t="shared" si="23"/>
        <v>0</v>
      </c>
      <c r="BB296" s="7" t="s">
        <v>203</v>
      </c>
    </row>
    <row r="297" spans="1:54" x14ac:dyDescent="0.25">
      <c r="A297" s="43">
        <f t="shared" si="24"/>
        <v>0</v>
      </c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X297" s="6">
        <f t="shared" si="20"/>
        <v>0</v>
      </c>
      <c r="AY297" s="6">
        <f t="shared" si="21"/>
        <v>0</v>
      </c>
      <c r="AZ297" s="6">
        <f t="shared" si="22"/>
        <v>0</v>
      </c>
      <c r="BA297" s="6">
        <f t="shared" si="23"/>
        <v>0</v>
      </c>
      <c r="BB297" s="7" t="s">
        <v>203</v>
      </c>
    </row>
    <row r="298" spans="1:54" x14ac:dyDescent="0.25">
      <c r="A298" s="43">
        <f t="shared" si="24"/>
        <v>0</v>
      </c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X298" s="6">
        <f t="shared" si="20"/>
        <v>0</v>
      </c>
      <c r="AY298" s="6">
        <f t="shared" si="21"/>
        <v>0</v>
      </c>
      <c r="AZ298" s="6">
        <f t="shared" si="22"/>
        <v>0</v>
      </c>
      <c r="BA298" s="6">
        <f t="shared" si="23"/>
        <v>0</v>
      </c>
      <c r="BB298" s="7" t="s">
        <v>203</v>
      </c>
    </row>
    <row r="299" spans="1:54" x14ac:dyDescent="0.25">
      <c r="A299" s="43">
        <f t="shared" si="24"/>
        <v>0</v>
      </c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X299" s="6">
        <f t="shared" si="20"/>
        <v>0</v>
      </c>
      <c r="AY299" s="6">
        <f t="shared" si="21"/>
        <v>0</v>
      </c>
      <c r="AZ299" s="6">
        <f t="shared" si="22"/>
        <v>0</v>
      </c>
      <c r="BA299" s="6">
        <f t="shared" si="23"/>
        <v>0</v>
      </c>
      <c r="BB299" s="7" t="s">
        <v>203</v>
      </c>
    </row>
    <row r="300" spans="1:54" x14ac:dyDescent="0.25">
      <c r="A300" s="43">
        <f t="shared" si="24"/>
        <v>0</v>
      </c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X300" s="6">
        <f t="shared" si="20"/>
        <v>0</v>
      </c>
      <c r="AY300" s="6">
        <f t="shared" si="21"/>
        <v>0</v>
      </c>
      <c r="AZ300" s="6">
        <f t="shared" si="22"/>
        <v>0</v>
      </c>
      <c r="BA300" s="6">
        <f t="shared" si="23"/>
        <v>0</v>
      </c>
      <c r="BB300" s="7" t="s">
        <v>203</v>
      </c>
    </row>
    <row r="301" spans="1:54" x14ac:dyDescent="0.25">
      <c r="A301" s="43">
        <f t="shared" si="24"/>
        <v>0</v>
      </c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X301" s="6">
        <f t="shared" si="20"/>
        <v>0</v>
      </c>
      <c r="AY301" s="6">
        <f t="shared" si="21"/>
        <v>0</v>
      </c>
      <c r="AZ301" s="6">
        <f t="shared" si="22"/>
        <v>0</v>
      </c>
      <c r="BA301" s="6">
        <f t="shared" si="23"/>
        <v>0</v>
      </c>
      <c r="BB301" s="7" t="s">
        <v>203</v>
      </c>
    </row>
    <row r="302" spans="1:54" x14ac:dyDescent="0.25">
      <c r="A302" s="43">
        <f t="shared" si="24"/>
        <v>0</v>
      </c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X302" s="6">
        <f t="shared" si="20"/>
        <v>0</v>
      </c>
      <c r="AY302" s="6">
        <f t="shared" si="21"/>
        <v>0</v>
      </c>
      <c r="AZ302" s="6">
        <f t="shared" si="22"/>
        <v>0</v>
      </c>
      <c r="BA302" s="6">
        <f t="shared" si="23"/>
        <v>0</v>
      </c>
      <c r="BB302" s="7" t="s">
        <v>203</v>
      </c>
    </row>
    <row r="303" spans="1:54" x14ac:dyDescent="0.25">
      <c r="A303" s="43">
        <f t="shared" si="24"/>
        <v>0</v>
      </c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X303" s="6">
        <f t="shared" si="20"/>
        <v>0</v>
      </c>
      <c r="AY303" s="6">
        <f t="shared" si="21"/>
        <v>0</v>
      </c>
      <c r="AZ303" s="6">
        <f t="shared" si="22"/>
        <v>0</v>
      </c>
      <c r="BA303" s="6">
        <f t="shared" si="23"/>
        <v>0</v>
      </c>
      <c r="BB303" s="7" t="s">
        <v>203</v>
      </c>
    </row>
    <row r="304" spans="1:54" x14ac:dyDescent="0.25">
      <c r="A304" s="43">
        <f t="shared" si="24"/>
        <v>0</v>
      </c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X304" s="6">
        <f t="shared" si="20"/>
        <v>0</v>
      </c>
      <c r="AY304" s="6">
        <f t="shared" si="21"/>
        <v>0</v>
      </c>
      <c r="AZ304" s="6">
        <f t="shared" si="22"/>
        <v>0</v>
      </c>
      <c r="BA304" s="6">
        <f t="shared" si="23"/>
        <v>0</v>
      </c>
      <c r="BB304" s="7" t="s">
        <v>203</v>
      </c>
    </row>
    <row r="305" spans="1:54" x14ac:dyDescent="0.25">
      <c r="A305" s="43">
        <f t="shared" si="24"/>
        <v>0</v>
      </c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X305" s="6">
        <f t="shared" si="20"/>
        <v>0</v>
      </c>
      <c r="AY305" s="6">
        <f t="shared" si="21"/>
        <v>0</v>
      </c>
      <c r="AZ305" s="6">
        <f t="shared" si="22"/>
        <v>0</v>
      </c>
      <c r="BA305" s="6">
        <f t="shared" si="23"/>
        <v>0</v>
      </c>
      <c r="BB305" s="7" t="s">
        <v>203</v>
      </c>
    </row>
    <row r="306" spans="1:54" x14ac:dyDescent="0.25">
      <c r="A306" s="43">
        <f t="shared" si="24"/>
        <v>0</v>
      </c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X306" s="6">
        <f t="shared" si="20"/>
        <v>0</v>
      </c>
      <c r="AY306" s="6">
        <f t="shared" si="21"/>
        <v>0</v>
      </c>
      <c r="AZ306" s="6">
        <f t="shared" si="22"/>
        <v>0</v>
      </c>
      <c r="BA306" s="6">
        <f t="shared" si="23"/>
        <v>0</v>
      </c>
      <c r="BB306" s="7" t="s">
        <v>203</v>
      </c>
    </row>
    <row r="307" spans="1:54" x14ac:dyDescent="0.25">
      <c r="A307" s="43">
        <f t="shared" si="24"/>
        <v>0</v>
      </c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X307" s="6">
        <f t="shared" si="20"/>
        <v>0</v>
      </c>
      <c r="AY307" s="6">
        <f t="shared" si="21"/>
        <v>0</v>
      </c>
      <c r="AZ307" s="6">
        <f t="shared" si="22"/>
        <v>0</v>
      </c>
      <c r="BA307" s="6">
        <f t="shared" si="23"/>
        <v>0</v>
      </c>
      <c r="BB307" s="7" t="s">
        <v>203</v>
      </c>
    </row>
    <row r="308" spans="1:54" x14ac:dyDescent="0.25">
      <c r="A308" s="43">
        <f t="shared" si="24"/>
        <v>0</v>
      </c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X308" s="6">
        <f t="shared" si="20"/>
        <v>0</v>
      </c>
      <c r="AY308" s="6">
        <f t="shared" si="21"/>
        <v>0</v>
      </c>
      <c r="AZ308" s="6">
        <f t="shared" si="22"/>
        <v>0</v>
      </c>
      <c r="BA308" s="6">
        <f t="shared" si="23"/>
        <v>0</v>
      </c>
      <c r="BB308" s="7" t="s">
        <v>203</v>
      </c>
    </row>
    <row r="309" spans="1:54" x14ac:dyDescent="0.25">
      <c r="A309" s="43">
        <f t="shared" si="24"/>
        <v>0</v>
      </c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X309" s="6">
        <f t="shared" si="20"/>
        <v>0</v>
      </c>
      <c r="AY309" s="6">
        <f t="shared" si="21"/>
        <v>0</v>
      </c>
      <c r="AZ309" s="6">
        <f t="shared" si="22"/>
        <v>0</v>
      </c>
      <c r="BA309" s="6">
        <f t="shared" si="23"/>
        <v>0</v>
      </c>
      <c r="BB309" s="7" t="s">
        <v>203</v>
      </c>
    </row>
    <row r="310" spans="1:54" x14ac:dyDescent="0.25">
      <c r="A310" s="43">
        <f t="shared" si="24"/>
        <v>0</v>
      </c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X310" s="6">
        <f t="shared" si="20"/>
        <v>0</v>
      </c>
      <c r="AY310" s="6">
        <f t="shared" si="21"/>
        <v>0</v>
      </c>
      <c r="AZ310" s="6">
        <f t="shared" si="22"/>
        <v>0</v>
      </c>
      <c r="BA310" s="6">
        <f t="shared" si="23"/>
        <v>0</v>
      </c>
      <c r="BB310" s="7" t="s">
        <v>203</v>
      </c>
    </row>
    <row r="311" spans="1:54" x14ac:dyDescent="0.25">
      <c r="A311" s="43">
        <f t="shared" si="24"/>
        <v>0</v>
      </c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X311" s="6">
        <f t="shared" si="20"/>
        <v>0</v>
      </c>
      <c r="AY311" s="6">
        <f t="shared" si="21"/>
        <v>0</v>
      </c>
      <c r="AZ311" s="6">
        <f t="shared" si="22"/>
        <v>0</v>
      </c>
      <c r="BA311" s="6">
        <f t="shared" si="23"/>
        <v>0</v>
      </c>
      <c r="BB311" s="7" t="s">
        <v>203</v>
      </c>
    </row>
    <row r="312" spans="1:54" x14ac:dyDescent="0.25">
      <c r="A312" s="43">
        <f t="shared" si="24"/>
        <v>0</v>
      </c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X312" s="6">
        <f t="shared" si="20"/>
        <v>0</v>
      </c>
      <c r="AY312" s="6">
        <f t="shared" si="21"/>
        <v>0</v>
      </c>
      <c r="AZ312" s="6">
        <f t="shared" si="22"/>
        <v>0</v>
      </c>
      <c r="BA312" s="6">
        <f t="shared" si="23"/>
        <v>0</v>
      </c>
      <c r="BB312" s="7" t="s">
        <v>203</v>
      </c>
    </row>
    <row r="313" spans="1:54" x14ac:dyDescent="0.25">
      <c r="A313" s="43">
        <f t="shared" si="24"/>
        <v>0</v>
      </c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X313" s="6">
        <f t="shared" si="20"/>
        <v>0</v>
      </c>
      <c r="AY313" s="6">
        <f t="shared" si="21"/>
        <v>0</v>
      </c>
      <c r="AZ313" s="6">
        <f t="shared" si="22"/>
        <v>0</v>
      </c>
      <c r="BA313" s="6">
        <f t="shared" si="23"/>
        <v>0</v>
      </c>
      <c r="BB313" s="7" t="s">
        <v>203</v>
      </c>
    </row>
    <row r="314" spans="1:54" x14ac:dyDescent="0.25">
      <c r="A314" s="43">
        <f t="shared" si="24"/>
        <v>0</v>
      </c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X314" s="6">
        <f t="shared" si="20"/>
        <v>0</v>
      </c>
      <c r="AY314" s="6">
        <f t="shared" si="21"/>
        <v>0</v>
      </c>
      <c r="AZ314" s="6">
        <f t="shared" si="22"/>
        <v>0</v>
      </c>
      <c r="BA314" s="6">
        <f t="shared" si="23"/>
        <v>0</v>
      </c>
      <c r="BB314" s="7" t="s">
        <v>203</v>
      </c>
    </row>
    <row r="315" spans="1:54" x14ac:dyDescent="0.25">
      <c r="A315" s="43">
        <f t="shared" si="24"/>
        <v>0</v>
      </c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X315" s="6">
        <f t="shared" si="20"/>
        <v>0</v>
      </c>
      <c r="AY315" s="6">
        <f t="shared" si="21"/>
        <v>0</v>
      </c>
      <c r="AZ315" s="6">
        <f t="shared" si="22"/>
        <v>0</v>
      </c>
      <c r="BA315" s="6">
        <f t="shared" si="23"/>
        <v>0</v>
      </c>
      <c r="BB315" s="7" t="s">
        <v>203</v>
      </c>
    </row>
    <row r="316" spans="1:54" x14ac:dyDescent="0.25">
      <c r="A316" s="43">
        <f t="shared" si="24"/>
        <v>0</v>
      </c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X316" s="6">
        <f t="shared" si="20"/>
        <v>0</v>
      </c>
      <c r="AY316" s="6">
        <f t="shared" si="21"/>
        <v>0</v>
      </c>
      <c r="AZ316" s="6">
        <f t="shared" si="22"/>
        <v>0</v>
      </c>
      <c r="BA316" s="6">
        <f t="shared" si="23"/>
        <v>0</v>
      </c>
      <c r="BB316" s="7" t="s">
        <v>203</v>
      </c>
    </row>
    <row r="317" spans="1:54" x14ac:dyDescent="0.25">
      <c r="A317" s="43">
        <f t="shared" si="24"/>
        <v>0</v>
      </c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X317" s="6">
        <f t="shared" si="20"/>
        <v>0</v>
      </c>
      <c r="AY317" s="6">
        <f t="shared" si="21"/>
        <v>0</v>
      </c>
      <c r="AZ317" s="6">
        <f t="shared" si="22"/>
        <v>0</v>
      </c>
      <c r="BA317" s="6">
        <f t="shared" si="23"/>
        <v>0</v>
      </c>
      <c r="BB317" s="7" t="s">
        <v>203</v>
      </c>
    </row>
    <row r="318" spans="1:54" x14ac:dyDescent="0.25">
      <c r="A318" s="43">
        <f t="shared" si="24"/>
        <v>0</v>
      </c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X318" s="6">
        <f t="shared" si="20"/>
        <v>0</v>
      </c>
      <c r="AY318" s="6">
        <f t="shared" si="21"/>
        <v>0</v>
      </c>
      <c r="AZ318" s="6">
        <f t="shared" si="22"/>
        <v>0</v>
      </c>
      <c r="BA318" s="6">
        <f t="shared" si="23"/>
        <v>0</v>
      </c>
      <c r="BB318" s="7" t="s">
        <v>203</v>
      </c>
    </row>
    <row r="319" spans="1:54" x14ac:dyDescent="0.25">
      <c r="A319" s="43">
        <f t="shared" si="24"/>
        <v>0</v>
      </c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X319" s="6">
        <f t="shared" si="20"/>
        <v>0</v>
      </c>
      <c r="AY319" s="6">
        <f t="shared" si="21"/>
        <v>0</v>
      </c>
      <c r="AZ319" s="6">
        <f t="shared" si="22"/>
        <v>0</v>
      </c>
      <c r="BA319" s="6">
        <f t="shared" si="23"/>
        <v>0</v>
      </c>
      <c r="BB319" s="7" t="s">
        <v>203</v>
      </c>
    </row>
    <row r="320" spans="1:54" x14ac:dyDescent="0.25">
      <c r="A320" s="43">
        <f t="shared" si="24"/>
        <v>0</v>
      </c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X320" s="6">
        <f t="shared" si="20"/>
        <v>0</v>
      </c>
      <c r="AY320" s="6">
        <f t="shared" si="21"/>
        <v>0</v>
      </c>
      <c r="AZ320" s="6">
        <f t="shared" si="22"/>
        <v>0</v>
      </c>
      <c r="BA320" s="6">
        <f t="shared" si="23"/>
        <v>0</v>
      </c>
      <c r="BB320" s="7" t="s">
        <v>203</v>
      </c>
    </row>
    <row r="321" spans="1:54" x14ac:dyDescent="0.25">
      <c r="A321" s="43">
        <f t="shared" si="24"/>
        <v>0</v>
      </c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X321" s="6">
        <f t="shared" si="20"/>
        <v>0</v>
      </c>
      <c r="AY321" s="6">
        <f t="shared" si="21"/>
        <v>0</v>
      </c>
      <c r="AZ321" s="6">
        <f t="shared" si="22"/>
        <v>0</v>
      </c>
      <c r="BA321" s="6">
        <f t="shared" si="23"/>
        <v>0</v>
      </c>
      <c r="BB321" s="7" t="s">
        <v>203</v>
      </c>
    </row>
    <row r="322" spans="1:54" x14ac:dyDescent="0.25">
      <c r="A322" s="43">
        <f t="shared" si="24"/>
        <v>0</v>
      </c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X322" s="6">
        <f t="shared" si="20"/>
        <v>0</v>
      </c>
      <c r="AY322" s="6">
        <f t="shared" si="21"/>
        <v>0</v>
      </c>
      <c r="AZ322" s="6">
        <f t="shared" si="22"/>
        <v>0</v>
      </c>
      <c r="BA322" s="6">
        <f t="shared" si="23"/>
        <v>0</v>
      </c>
      <c r="BB322" s="7" t="s">
        <v>203</v>
      </c>
    </row>
    <row r="323" spans="1:54" x14ac:dyDescent="0.25">
      <c r="A323" s="43">
        <f t="shared" si="24"/>
        <v>0</v>
      </c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X323" s="6">
        <f t="shared" ref="AX323:AX342" si="25">COUNTIF(J323:AW323,"&gt;1")</f>
        <v>0</v>
      </c>
      <c r="AY323" s="6">
        <f t="shared" ref="AY323:AY342" si="26">COUNTIF(J323:AW323,0)</f>
        <v>0</v>
      </c>
      <c r="AZ323" s="6">
        <f t="shared" ref="AZ323:AZ342" si="27">COUNTIF(J323:AW323,"-")</f>
        <v>0</v>
      </c>
      <c r="BA323" s="6">
        <f t="shared" ref="BA323:BA342" si="28">SUM(AX323:AZ323)</f>
        <v>0</v>
      </c>
      <c r="BB323" s="7" t="s">
        <v>203</v>
      </c>
    </row>
    <row r="324" spans="1:54" x14ac:dyDescent="0.25">
      <c r="A324" s="43">
        <f t="shared" ref="A324:A387" si="29">_xlfn.NUMBERVALUE(LEFT(D324,9))</f>
        <v>0</v>
      </c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X324" s="6">
        <f t="shared" si="25"/>
        <v>0</v>
      </c>
      <c r="AY324" s="6">
        <f t="shared" si="26"/>
        <v>0</v>
      </c>
      <c r="AZ324" s="6">
        <f t="shared" si="27"/>
        <v>0</v>
      </c>
      <c r="BA324" s="6">
        <f t="shared" si="28"/>
        <v>0</v>
      </c>
      <c r="BB324" s="7" t="s">
        <v>203</v>
      </c>
    </row>
    <row r="325" spans="1:54" x14ac:dyDescent="0.25">
      <c r="A325" s="43">
        <f t="shared" si="29"/>
        <v>0</v>
      </c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X325" s="6">
        <f t="shared" si="25"/>
        <v>0</v>
      </c>
      <c r="AY325" s="6">
        <f t="shared" si="26"/>
        <v>0</v>
      </c>
      <c r="AZ325" s="6">
        <f t="shared" si="27"/>
        <v>0</v>
      </c>
      <c r="BA325" s="6">
        <f t="shared" si="28"/>
        <v>0</v>
      </c>
      <c r="BB325" s="7" t="s">
        <v>203</v>
      </c>
    </row>
    <row r="326" spans="1:54" x14ac:dyDescent="0.25">
      <c r="A326" s="43">
        <f t="shared" si="29"/>
        <v>0</v>
      </c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X326" s="6">
        <f t="shared" si="25"/>
        <v>0</v>
      </c>
      <c r="AY326" s="6">
        <f t="shared" si="26"/>
        <v>0</v>
      </c>
      <c r="AZ326" s="6">
        <f t="shared" si="27"/>
        <v>0</v>
      </c>
      <c r="BA326" s="6">
        <f t="shared" si="28"/>
        <v>0</v>
      </c>
      <c r="BB326" s="7" t="s">
        <v>203</v>
      </c>
    </row>
    <row r="327" spans="1:54" x14ac:dyDescent="0.25">
      <c r="A327" s="43">
        <f t="shared" si="29"/>
        <v>0</v>
      </c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X327" s="6">
        <f t="shared" si="25"/>
        <v>0</v>
      </c>
      <c r="AY327" s="6">
        <f t="shared" si="26"/>
        <v>0</v>
      </c>
      <c r="AZ327" s="6">
        <f t="shared" si="27"/>
        <v>0</v>
      </c>
      <c r="BA327" s="6">
        <f t="shared" si="28"/>
        <v>0</v>
      </c>
      <c r="BB327" s="7" t="s">
        <v>203</v>
      </c>
    </row>
    <row r="328" spans="1:54" x14ac:dyDescent="0.25">
      <c r="A328" s="43">
        <f t="shared" si="29"/>
        <v>0</v>
      </c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X328" s="6">
        <f t="shared" si="25"/>
        <v>0</v>
      </c>
      <c r="AY328" s="6">
        <f t="shared" si="26"/>
        <v>0</v>
      </c>
      <c r="AZ328" s="6">
        <f t="shared" si="27"/>
        <v>0</v>
      </c>
      <c r="BA328" s="6">
        <f t="shared" si="28"/>
        <v>0</v>
      </c>
      <c r="BB328" s="7" t="s">
        <v>203</v>
      </c>
    </row>
    <row r="329" spans="1:54" x14ac:dyDescent="0.25">
      <c r="A329" s="43">
        <f t="shared" si="29"/>
        <v>0</v>
      </c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X329" s="6">
        <f t="shared" si="25"/>
        <v>0</v>
      </c>
      <c r="AY329" s="6">
        <f t="shared" si="26"/>
        <v>0</v>
      </c>
      <c r="AZ329" s="6">
        <f t="shared" si="27"/>
        <v>0</v>
      </c>
      <c r="BA329" s="6">
        <f t="shared" si="28"/>
        <v>0</v>
      </c>
      <c r="BB329" s="7" t="s">
        <v>203</v>
      </c>
    </row>
    <row r="330" spans="1:54" x14ac:dyDescent="0.25">
      <c r="A330" s="43">
        <f t="shared" si="29"/>
        <v>0</v>
      </c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X330" s="6">
        <f t="shared" si="25"/>
        <v>0</v>
      </c>
      <c r="AY330" s="6">
        <f t="shared" si="26"/>
        <v>0</v>
      </c>
      <c r="AZ330" s="6">
        <f t="shared" si="27"/>
        <v>0</v>
      </c>
      <c r="BA330" s="6">
        <f t="shared" si="28"/>
        <v>0</v>
      </c>
      <c r="BB330" s="7" t="s">
        <v>203</v>
      </c>
    </row>
    <row r="331" spans="1:54" x14ac:dyDescent="0.25">
      <c r="A331" s="43">
        <f t="shared" si="29"/>
        <v>0</v>
      </c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X331" s="6">
        <f t="shared" si="25"/>
        <v>0</v>
      </c>
      <c r="AY331" s="6">
        <f t="shared" si="26"/>
        <v>0</v>
      </c>
      <c r="AZ331" s="6">
        <f t="shared" si="27"/>
        <v>0</v>
      </c>
      <c r="BA331" s="6">
        <f t="shared" si="28"/>
        <v>0</v>
      </c>
      <c r="BB331" s="7" t="s">
        <v>203</v>
      </c>
    </row>
    <row r="332" spans="1:54" x14ac:dyDescent="0.25">
      <c r="A332" s="43">
        <f t="shared" si="29"/>
        <v>0</v>
      </c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X332" s="6">
        <f t="shared" si="25"/>
        <v>0</v>
      </c>
      <c r="AY332" s="6">
        <f t="shared" si="26"/>
        <v>0</v>
      </c>
      <c r="AZ332" s="6">
        <f t="shared" si="27"/>
        <v>0</v>
      </c>
      <c r="BA332" s="6">
        <f t="shared" si="28"/>
        <v>0</v>
      </c>
      <c r="BB332" s="7" t="s">
        <v>203</v>
      </c>
    </row>
    <row r="333" spans="1:54" x14ac:dyDescent="0.25">
      <c r="A333" s="43">
        <f t="shared" si="29"/>
        <v>0</v>
      </c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X333" s="6">
        <f t="shared" si="25"/>
        <v>0</v>
      </c>
      <c r="AY333" s="6">
        <f t="shared" si="26"/>
        <v>0</v>
      </c>
      <c r="AZ333" s="6">
        <f t="shared" si="27"/>
        <v>0</v>
      </c>
      <c r="BA333" s="6">
        <f t="shared" si="28"/>
        <v>0</v>
      </c>
      <c r="BB333" s="7" t="s">
        <v>203</v>
      </c>
    </row>
    <row r="334" spans="1:54" x14ac:dyDescent="0.25">
      <c r="A334" s="43">
        <f t="shared" si="29"/>
        <v>0</v>
      </c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X334" s="6">
        <f t="shared" si="25"/>
        <v>0</v>
      </c>
      <c r="AY334" s="6">
        <f t="shared" si="26"/>
        <v>0</v>
      </c>
      <c r="AZ334" s="6">
        <f t="shared" si="27"/>
        <v>0</v>
      </c>
      <c r="BA334" s="6">
        <f t="shared" si="28"/>
        <v>0</v>
      </c>
      <c r="BB334" s="7" t="s">
        <v>203</v>
      </c>
    </row>
    <row r="335" spans="1:54" x14ac:dyDescent="0.25">
      <c r="A335" s="43">
        <f t="shared" si="29"/>
        <v>0</v>
      </c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X335" s="6">
        <f t="shared" si="25"/>
        <v>0</v>
      </c>
      <c r="AY335" s="6">
        <f t="shared" si="26"/>
        <v>0</v>
      </c>
      <c r="AZ335" s="6">
        <f t="shared" si="27"/>
        <v>0</v>
      </c>
      <c r="BA335" s="6">
        <f t="shared" si="28"/>
        <v>0</v>
      </c>
      <c r="BB335" s="7" t="s">
        <v>203</v>
      </c>
    </row>
    <row r="336" spans="1:54" x14ac:dyDescent="0.25">
      <c r="A336" s="43">
        <f t="shared" si="29"/>
        <v>0</v>
      </c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X336" s="6">
        <f t="shared" si="25"/>
        <v>0</v>
      </c>
      <c r="AY336" s="6">
        <f t="shared" si="26"/>
        <v>0</v>
      </c>
      <c r="AZ336" s="6">
        <f t="shared" si="27"/>
        <v>0</v>
      </c>
      <c r="BA336" s="6">
        <f t="shared" si="28"/>
        <v>0</v>
      </c>
      <c r="BB336" s="7" t="s">
        <v>203</v>
      </c>
    </row>
    <row r="337" spans="1:54" x14ac:dyDescent="0.25">
      <c r="A337" s="43">
        <f t="shared" si="29"/>
        <v>0</v>
      </c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X337" s="6">
        <f t="shared" si="25"/>
        <v>0</v>
      </c>
      <c r="AY337" s="6">
        <f t="shared" si="26"/>
        <v>0</v>
      </c>
      <c r="AZ337" s="6">
        <f t="shared" si="27"/>
        <v>0</v>
      </c>
      <c r="BA337" s="6">
        <f t="shared" si="28"/>
        <v>0</v>
      </c>
      <c r="BB337" s="7" t="s">
        <v>203</v>
      </c>
    </row>
    <row r="338" spans="1:54" x14ac:dyDescent="0.25">
      <c r="A338" s="43">
        <f t="shared" si="29"/>
        <v>0</v>
      </c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X338" s="6">
        <f t="shared" si="25"/>
        <v>0</v>
      </c>
      <c r="AY338" s="6">
        <f t="shared" si="26"/>
        <v>0</v>
      </c>
      <c r="AZ338" s="6">
        <f t="shared" si="27"/>
        <v>0</v>
      </c>
      <c r="BA338" s="6">
        <f t="shared" si="28"/>
        <v>0</v>
      </c>
      <c r="BB338" s="7" t="s">
        <v>203</v>
      </c>
    </row>
    <row r="339" spans="1:54" x14ac:dyDescent="0.25">
      <c r="A339" s="43">
        <f t="shared" si="29"/>
        <v>0</v>
      </c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X339" s="6">
        <f t="shared" si="25"/>
        <v>0</v>
      </c>
      <c r="AY339" s="6">
        <f t="shared" si="26"/>
        <v>0</v>
      </c>
      <c r="AZ339" s="6">
        <f t="shared" si="27"/>
        <v>0</v>
      </c>
      <c r="BA339" s="6">
        <f t="shared" si="28"/>
        <v>0</v>
      </c>
      <c r="BB339" s="7" t="s">
        <v>203</v>
      </c>
    </row>
    <row r="340" spans="1:54" x14ac:dyDescent="0.25">
      <c r="A340" s="43">
        <f t="shared" si="29"/>
        <v>0</v>
      </c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X340" s="6">
        <f t="shared" si="25"/>
        <v>0</v>
      </c>
      <c r="AY340" s="6">
        <f t="shared" si="26"/>
        <v>0</v>
      </c>
      <c r="AZ340" s="6">
        <f t="shared" si="27"/>
        <v>0</v>
      </c>
      <c r="BA340" s="6">
        <f t="shared" si="28"/>
        <v>0</v>
      </c>
      <c r="BB340" s="7" t="s">
        <v>203</v>
      </c>
    </row>
    <row r="341" spans="1:54" x14ac:dyDescent="0.25">
      <c r="A341" s="43">
        <f t="shared" si="29"/>
        <v>0</v>
      </c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X341" s="6">
        <f t="shared" si="25"/>
        <v>0</v>
      </c>
      <c r="AY341" s="6">
        <f t="shared" si="26"/>
        <v>0</v>
      </c>
      <c r="AZ341" s="6">
        <f t="shared" si="27"/>
        <v>0</v>
      </c>
      <c r="BA341" s="6">
        <f t="shared" si="28"/>
        <v>0</v>
      </c>
      <c r="BB341" s="7" t="s">
        <v>203</v>
      </c>
    </row>
    <row r="342" spans="1:54" x14ac:dyDescent="0.25">
      <c r="A342" s="43">
        <f t="shared" si="29"/>
        <v>0</v>
      </c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X342" s="6">
        <f t="shared" si="25"/>
        <v>0</v>
      </c>
      <c r="AY342" s="6">
        <f t="shared" si="26"/>
        <v>0</v>
      </c>
      <c r="AZ342" s="6">
        <f t="shared" si="27"/>
        <v>0</v>
      </c>
      <c r="BA342" s="6">
        <f t="shared" si="28"/>
        <v>0</v>
      </c>
      <c r="BB342" s="7" t="s">
        <v>203</v>
      </c>
    </row>
    <row r="343" spans="1:54" x14ac:dyDescent="0.25">
      <c r="A343" s="43">
        <f t="shared" si="29"/>
        <v>0</v>
      </c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X343" s="6">
        <f t="shared" ref="AX343:AX387" si="30">COUNTIF(J343:AW343,"&gt;1")</f>
        <v>0</v>
      </c>
      <c r="AY343" s="6">
        <f t="shared" ref="AY343:AY387" si="31">COUNTIF(J343:AW343,0)</f>
        <v>0</v>
      </c>
      <c r="AZ343" s="6">
        <f t="shared" ref="AZ343:AZ387" si="32">COUNTIF(J343:AW343,"-")</f>
        <v>0</v>
      </c>
      <c r="BA343" s="6">
        <f t="shared" ref="BA343:BA346" si="33">SUM(AX343:AZ343)</f>
        <v>0</v>
      </c>
      <c r="BB343" s="7" t="s">
        <v>203</v>
      </c>
    </row>
    <row r="344" spans="1:54" x14ac:dyDescent="0.25">
      <c r="A344" s="43">
        <f t="shared" si="29"/>
        <v>0</v>
      </c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X344" s="6">
        <f t="shared" si="30"/>
        <v>0</v>
      </c>
      <c r="AY344" s="6">
        <f t="shared" si="31"/>
        <v>0</v>
      </c>
      <c r="AZ344" s="6">
        <f t="shared" si="32"/>
        <v>0</v>
      </c>
      <c r="BA344" s="6">
        <f t="shared" si="33"/>
        <v>0</v>
      </c>
      <c r="BB344" s="7" t="s">
        <v>203</v>
      </c>
    </row>
    <row r="345" spans="1:54" x14ac:dyDescent="0.25">
      <c r="A345" s="43">
        <f t="shared" si="29"/>
        <v>0</v>
      </c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X345" s="6">
        <f t="shared" si="30"/>
        <v>0</v>
      </c>
      <c r="AY345" s="6">
        <f t="shared" si="31"/>
        <v>0</v>
      </c>
      <c r="AZ345" s="6">
        <f t="shared" si="32"/>
        <v>0</v>
      </c>
      <c r="BA345" s="6">
        <f t="shared" si="33"/>
        <v>0</v>
      </c>
      <c r="BB345" s="7" t="s">
        <v>203</v>
      </c>
    </row>
    <row r="346" spans="1:54" x14ac:dyDescent="0.25">
      <c r="A346" s="43">
        <f t="shared" si="29"/>
        <v>0</v>
      </c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X346" s="6">
        <f t="shared" si="30"/>
        <v>0</v>
      </c>
      <c r="AY346" s="6">
        <f t="shared" si="31"/>
        <v>0</v>
      </c>
      <c r="AZ346" s="6">
        <f t="shared" si="32"/>
        <v>0</v>
      </c>
      <c r="BA346" s="6">
        <f t="shared" si="33"/>
        <v>0</v>
      </c>
      <c r="BB346" s="7" t="s">
        <v>203</v>
      </c>
    </row>
    <row r="347" spans="1:54" x14ac:dyDescent="0.25">
      <c r="A347" s="43">
        <f t="shared" si="29"/>
        <v>0</v>
      </c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X347" s="6">
        <f t="shared" si="30"/>
        <v>0</v>
      </c>
      <c r="AY347" s="6">
        <f t="shared" si="31"/>
        <v>0</v>
      </c>
      <c r="AZ347" s="6">
        <f t="shared" si="32"/>
        <v>0</v>
      </c>
      <c r="BA347" s="6">
        <f t="shared" ref="BA347:BA389" si="34">SUM(AX347:AZ347)</f>
        <v>0</v>
      </c>
      <c r="BB347" s="7" t="s">
        <v>203</v>
      </c>
    </row>
    <row r="348" spans="1:54" x14ac:dyDescent="0.25">
      <c r="A348" s="43">
        <f t="shared" si="29"/>
        <v>0</v>
      </c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X348" s="6">
        <f t="shared" si="30"/>
        <v>0</v>
      </c>
      <c r="AY348" s="6">
        <f t="shared" si="31"/>
        <v>0</v>
      </c>
      <c r="AZ348" s="6">
        <f t="shared" si="32"/>
        <v>0</v>
      </c>
      <c r="BA348" s="6">
        <f t="shared" si="34"/>
        <v>0</v>
      </c>
      <c r="BB348" s="7" t="s">
        <v>203</v>
      </c>
    </row>
    <row r="349" spans="1:54" x14ac:dyDescent="0.25">
      <c r="A349" s="43">
        <f t="shared" si="29"/>
        <v>0</v>
      </c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X349" s="6">
        <f t="shared" si="30"/>
        <v>0</v>
      </c>
      <c r="AY349" s="6">
        <f t="shared" si="31"/>
        <v>0</v>
      </c>
      <c r="AZ349" s="6">
        <f t="shared" si="32"/>
        <v>0</v>
      </c>
      <c r="BA349" s="6">
        <f t="shared" si="34"/>
        <v>0</v>
      </c>
      <c r="BB349" s="7" t="s">
        <v>203</v>
      </c>
    </row>
    <row r="350" spans="1:54" x14ac:dyDescent="0.25">
      <c r="A350" s="43">
        <f t="shared" si="29"/>
        <v>0</v>
      </c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X350" s="6">
        <f t="shared" si="30"/>
        <v>0</v>
      </c>
      <c r="AY350" s="6">
        <f t="shared" si="31"/>
        <v>0</v>
      </c>
      <c r="AZ350" s="6">
        <f t="shared" si="32"/>
        <v>0</v>
      </c>
      <c r="BA350" s="6">
        <f t="shared" si="34"/>
        <v>0</v>
      </c>
      <c r="BB350" s="7" t="s">
        <v>203</v>
      </c>
    </row>
    <row r="351" spans="1:54" x14ac:dyDescent="0.25">
      <c r="A351" s="43">
        <f t="shared" si="29"/>
        <v>0</v>
      </c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X351" s="6">
        <f t="shared" si="30"/>
        <v>0</v>
      </c>
      <c r="AY351" s="6">
        <f t="shared" si="31"/>
        <v>0</v>
      </c>
      <c r="AZ351" s="6">
        <f t="shared" si="32"/>
        <v>0</v>
      </c>
      <c r="BA351" s="6">
        <f t="shared" si="34"/>
        <v>0</v>
      </c>
      <c r="BB351" s="7" t="s">
        <v>203</v>
      </c>
    </row>
    <row r="352" spans="1:54" x14ac:dyDescent="0.25">
      <c r="A352" s="43">
        <f t="shared" si="29"/>
        <v>0</v>
      </c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X352" s="6">
        <f t="shared" si="30"/>
        <v>0</v>
      </c>
      <c r="AY352" s="6">
        <f t="shared" si="31"/>
        <v>0</v>
      </c>
      <c r="AZ352" s="6">
        <f t="shared" si="32"/>
        <v>0</v>
      </c>
      <c r="BA352" s="6">
        <f t="shared" si="34"/>
        <v>0</v>
      </c>
      <c r="BB352" s="7" t="s">
        <v>203</v>
      </c>
    </row>
    <row r="353" spans="1:54" x14ac:dyDescent="0.25">
      <c r="A353" s="43">
        <f t="shared" si="29"/>
        <v>0</v>
      </c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X353" s="6">
        <f t="shared" si="30"/>
        <v>0</v>
      </c>
      <c r="AY353" s="6">
        <f t="shared" si="31"/>
        <v>0</v>
      </c>
      <c r="AZ353" s="6">
        <f t="shared" si="32"/>
        <v>0</v>
      </c>
      <c r="BA353" s="6">
        <f t="shared" si="34"/>
        <v>0</v>
      </c>
      <c r="BB353" s="7" t="s">
        <v>203</v>
      </c>
    </row>
    <row r="354" spans="1:54" x14ac:dyDescent="0.25">
      <c r="A354" s="43">
        <f t="shared" si="29"/>
        <v>0</v>
      </c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X354" s="6">
        <f t="shared" si="30"/>
        <v>0</v>
      </c>
      <c r="AY354" s="6">
        <f t="shared" si="31"/>
        <v>0</v>
      </c>
      <c r="AZ354" s="6">
        <f t="shared" si="32"/>
        <v>0</v>
      </c>
      <c r="BA354" s="6">
        <f t="shared" si="34"/>
        <v>0</v>
      </c>
      <c r="BB354" s="7" t="s">
        <v>203</v>
      </c>
    </row>
    <row r="355" spans="1:54" x14ac:dyDescent="0.25">
      <c r="A355" s="43">
        <f t="shared" si="29"/>
        <v>0</v>
      </c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X355" s="6">
        <f t="shared" si="30"/>
        <v>0</v>
      </c>
      <c r="AY355" s="6">
        <f t="shared" si="31"/>
        <v>0</v>
      </c>
      <c r="AZ355" s="6">
        <f t="shared" si="32"/>
        <v>0</v>
      </c>
      <c r="BA355" s="6">
        <f t="shared" si="34"/>
        <v>0</v>
      </c>
      <c r="BB355" s="7" t="s">
        <v>203</v>
      </c>
    </row>
    <row r="356" spans="1:54" x14ac:dyDescent="0.25">
      <c r="A356" s="43">
        <f t="shared" si="29"/>
        <v>0</v>
      </c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X356" s="6">
        <f t="shared" si="30"/>
        <v>0</v>
      </c>
      <c r="AY356" s="6">
        <f t="shared" si="31"/>
        <v>0</v>
      </c>
      <c r="AZ356" s="6">
        <f t="shared" si="32"/>
        <v>0</v>
      </c>
      <c r="BA356" s="6">
        <f t="shared" si="34"/>
        <v>0</v>
      </c>
      <c r="BB356" s="7" t="s">
        <v>203</v>
      </c>
    </row>
    <row r="357" spans="1:54" x14ac:dyDescent="0.25">
      <c r="A357" s="43">
        <f t="shared" si="29"/>
        <v>0</v>
      </c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X357" s="6">
        <f t="shared" si="30"/>
        <v>0</v>
      </c>
      <c r="AY357" s="6">
        <f t="shared" si="31"/>
        <v>0</v>
      </c>
      <c r="AZ357" s="6">
        <f t="shared" si="32"/>
        <v>0</v>
      </c>
      <c r="BA357" s="6">
        <f t="shared" si="34"/>
        <v>0</v>
      </c>
      <c r="BB357" s="7" t="s">
        <v>203</v>
      </c>
    </row>
    <row r="358" spans="1:54" x14ac:dyDescent="0.25">
      <c r="A358" s="43">
        <f t="shared" si="29"/>
        <v>0</v>
      </c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X358" s="6">
        <f t="shared" si="30"/>
        <v>0</v>
      </c>
      <c r="AY358" s="6">
        <f t="shared" si="31"/>
        <v>0</v>
      </c>
      <c r="AZ358" s="6">
        <f t="shared" si="32"/>
        <v>0</v>
      </c>
      <c r="BA358" s="6">
        <f t="shared" si="34"/>
        <v>0</v>
      </c>
      <c r="BB358" s="7" t="s">
        <v>203</v>
      </c>
    </row>
    <row r="359" spans="1:54" x14ac:dyDescent="0.25">
      <c r="A359" s="43">
        <f t="shared" si="29"/>
        <v>0</v>
      </c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X359" s="6">
        <f t="shared" si="30"/>
        <v>0</v>
      </c>
      <c r="AY359" s="6">
        <f t="shared" si="31"/>
        <v>0</v>
      </c>
      <c r="AZ359" s="6">
        <f t="shared" si="32"/>
        <v>0</v>
      </c>
      <c r="BA359" s="6">
        <f t="shared" si="34"/>
        <v>0</v>
      </c>
      <c r="BB359" s="7" t="s">
        <v>203</v>
      </c>
    </row>
    <row r="360" spans="1:54" x14ac:dyDescent="0.25">
      <c r="A360" s="43">
        <f t="shared" si="29"/>
        <v>0</v>
      </c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X360" s="6">
        <f t="shared" si="30"/>
        <v>0</v>
      </c>
      <c r="AY360" s="6">
        <f t="shared" si="31"/>
        <v>0</v>
      </c>
      <c r="AZ360" s="6">
        <f t="shared" si="32"/>
        <v>0</v>
      </c>
      <c r="BA360" s="6">
        <f t="shared" si="34"/>
        <v>0</v>
      </c>
      <c r="BB360" s="7" t="s">
        <v>203</v>
      </c>
    </row>
    <row r="361" spans="1:54" x14ac:dyDescent="0.25">
      <c r="A361" s="43">
        <f t="shared" si="29"/>
        <v>0</v>
      </c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X361" s="6">
        <f t="shared" si="30"/>
        <v>0</v>
      </c>
      <c r="AY361" s="6">
        <f t="shared" si="31"/>
        <v>0</v>
      </c>
      <c r="AZ361" s="6">
        <f t="shared" si="32"/>
        <v>0</v>
      </c>
      <c r="BA361" s="6">
        <f t="shared" si="34"/>
        <v>0</v>
      </c>
      <c r="BB361" s="7" t="s">
        <v>203</v>
      </c>
    </row>
    <row r="362" spans="1:54" x14ac:dyDescent="0.25">
      <c r="A362" s="43">
        <f t="shared" si="29"/>
        <v>0</v>
      </c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X362" s="6">
        <f t="shared" si="30"/>
        <v>0</v>
      </c>
      <c r="AY362" s="6">
        <f t="shared" si="31"/>
        <v>0</v>
      </c>
      <c r="AZ362" s="6">
        <f t="shared" si="32"/>
        <v>0</v>
      </c>
      <c r="BA362" s="6">
        <f t="shared" si="34"/>
        <v>0</v>
      </c>
      <c r="BB362" s="7" t="s">
        <v>203</v>
      </c>
    </row>
    <row r="363" spans="1:54" x14ac:dyDescent="0.25">
      <c r="A363" s="43">
        <f t="shared" si="29"/>
        <v>0</v>
      </c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X363" s="6">
        <f t="shared" si="30"/>
        <v>0</v>
      </c>
      <c r="AY363" s="6">
        <f t="shared" si="31"/>
        <v>0</v>
      </c>
      <c r="AZ363" s="6">
        <f t="shared" si="32"/>
        <v>0</v>
      </c>
      <c r="BA363" s="6">
        <f t="shared" si="34"/>
        <v>0</v>
      </c>
      <c r="BB363" s="7" t="s">
        <v>203</v>
      </c>
    </row>
    <row r="364" spans="1:54" x14ac:dyDescent="0.25">
      <c r="A364" s="43">
        <f t="shared" si="29"/>
        <v>0</v>
      </c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X364" s="6">
        <f t="shared" si="30"/>
        <v>0</v>
      </c>
      <c r="AY364" s="6">
        <f t="shared" si="31"/>
        <v>0</v>
      </c>
      <c r="AZ364" s="6">
        <f t="shared" si="32"/>
        <v>0</v>
      </c>
      <c r="BA364" s="6">
        <f t="shared" si="34"/>
        <v>0</v>
      </c>
      <c r="BB364" s="7" t="s">
        <v>203</v>
      </c>
    </row>
    <row r="365" spans="1:54" x14ac:dyDescent="0.25">
      <c r="A365" s="43">
        <f t="shared" si="29"/>
        <v>0</v>
      </c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X365" s="6">
        <f t="shared" si="30"/>
        <v>0</v>
      </c>
      <c r="AY365" s="6">
        <f t="shared" si="31"/>
        <v>0</v>
      </c>
      <c r="AZ365" s="6">
        <f t="shared" si="32"/>
        <v>0</v>
      </c>
      <c r="BA365" s="6">
        <f t="shared" si="34"/>
        <v>0</v>
      </c>
      <c r="BB365" s="7" t="s">
        <v>203</v>
      </c>
    </row>
    <row r="366" spans="1:54" x14ac:dyDescent="0.25">
      <c r="A366" s="43">
        <f t="shared" si="29"/>
        <v>0</v>
      </c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X366" s="6">
        <f t="shared" si="30"/>
        <v>0</v>
      </c>
      <c r="AY366" s="6">
        <f t="shared" si="31"/>
        <v>0</v>
      </c>
      <c r="AZ366" s="6">
        <f t="shared" si="32"/>
        <v>0</v>
      </c>
      <c r="BA366" s="6">
        <f t="shared" si="34"/>
        <v>0</v>
      </c>
      <c r="BB366" s="7" t="s">
        <v>203</v>
      </c>
    </row>
    <row r="367" spans="1:54" x14ac:dyDescent="0.25">
      <c r="A367" s="43">
        <f t="shared" si="29"/>
        <v>0</v>
      </c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X367" s="6">
        <f t="shared" si="30"/>
        <v>0</v>
      </c>
      <c r="AY367" s="6">
        <f t="shared" si="31"/>
        <v>0</v>
      </c>
      <c r="AZ367" s="6">
        <f t="shared" si="32"/>
        <v>0</v>
      </c>
      <c r="BA367" s="6">
        <f t="shared" si="34"/>
        <v>0</v>
      </c>
      <c r="BB367" s="7" t="s">
        <v>203</v>
      </c>
    </row>
    <row r="368" spans="1:54" x14ac:dyDescent="0.25">
      <c r="A368" s="43">
        <f t="shared" si="29"/>
        <v>0</v>
      </c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X368" s="6">
        <f t="shared" si="30"/>
        <v>0</v>
      </c>
      <c r="AY368" s="6">
        <f t="shared" si="31"/>
        <v>0</v>
      </c>
      <c r="AZ368" s="6">
        <f t="shared" si="32"/>
        <v>0</v>
      </c>
      <c r="BA368" s="6">
        <f t="shared" si="34"/>
        <v>0</v>
      </c>
      <c r="BB368" s="7" t="s">
        <v>203</v>
      </c>
    </row>
    <row r="369" spans="1:54" x14ac:dyDescent="0.25">
      <c r="A369" s="43">
        <f t="shared" si="29"/>
        <v>0</v>
      </c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X369" s="6">
        <f t="shared" si="30"/>
        <v>0</v>
      </c>
      <c r="AY369" s="6">
        <f t="shared" si="31"/>
        <v>0</v>
      </c>
      <c r="AZ369" s="6">
        <f t="shared" si="32"/>
        <v>0</v>
      </c>
      <c r="BA369" s="6">
        <f t="shared" si="34"/>
        <v>0</v>
      </c>
      <c r="BB369" s="7" t="s">
        <v>203</v>
      </c>
    </row>
    <row r="370" spans="1:54" x14ac:dyDescent="0.25">
      <c r="A370" s="43">
        <f t="shared" si="29"/>
        <v>0</v>
      </c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X370" s="6">
        <f t="shared" si="30"/>
        <v>0</v>
      </c>
      <c r="AY370" s="6">
        <f t="shared" si="31"/>
        <v>0</v>
      </c>
      <c r="AZ370" s="6">
        <f t="shared" si="32"/>
        <v>0</v>
      </c>
      <c r="BA370" s="6">
        <f t="shared" si="34"/>
        <v>0</v>
      </c>
      <c r="BB370" s="7" t="s">
        <v>203</v>
      </c>
    </row>
    <row r="371" spans="1:54" x14ac:dyDescent="0.25">
      <c r="A371" s="43">
        <f t="shared" si="29"/>
        <v>0</v>
      </c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X371" s="6">
        <f t="shared" si="30"/>
        <v>0</v>
      </c>
      <c r="AY371" s="6">
        <f t="shared" si="31"/>
        <v>0</v>
      </c>
      <c r="AZ371" s="6">
        <f t="shared" si="32"/>
        <v>0</v>
      </c>
      <c r="BA371" s="6">
        <f t="shared" si="34"/>
        <v>0</v>
      </c>
      <c r="BB371" s="7" t="s">
        <v>203</v>
      </c>
    </row>
    <row r="372" spans="1:54" x14ac:dyDescent="0.25">
      <c r="A372" s="43">
        <f t="shared" si="29"/>
        <v>0</v>
      </c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X372" s="6">
        <f t="shared" si="30"/>
        <v>0</v>
      </c>
      <c r="AY372" s="6">
        <f t="shared" si="31"/>
        <v>0</v>
      </c>
      <c r="AZ372" s="6">
        <f t="shared" si="32"/>
        <v>0</v>
      </c>
      <c r="BA372" s="6">
        <f t="shared" si="34"/>
        <v>0</v>
      </c>
      <c r="BB372" s="7" t="s">
        <v>203</v>
      </c>
    </row>
    <row r="373" spans="1:54" x14ac:dyDescent="0.25">
      <c r="A373" s="43">
        <f t="shared" si="29"/>
        <v>0</v>
      </c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X373" s="6">
        <f t="shared" si="30"/>
        <v>0</v>
      </c>
      <c r="AY373" s="6">
        <f t="shared" si="31"/>
        <v>0</v>
      </c>
      <c r="AZ373" s="6">
        <f t="shared" si="32"/>
        <v>0</v>
      </c>
      <c r="BA373" s="6">
        <f t="shared" si="34"/>
        <v>0</v>
      </c>
      <c r="BB373" s="7" t="s">
        <v>203</v>
      </c>
    </row>
    <row r="374" spans="1:54" x14ac:dyDescent="0.25">
      <c r="A374" s="43">
        <f t="shared" si="29"/>
        <v>0</v>
      </c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X374" s="6">
        <f t="shared" si="30"/>
        <v>0</v>
      </c>
      <c r="AY374" s="6">
        <f t="shared" si="31"/>
        <v>0</v>
      </c>
      <c r="AZ374" s="6">
        <f t="shared" si="32"/>
        <v>0</v>
      </c>
      <c r="BA374" s="6">
        <f t="shared" si="34"/>
        <v>0</v>
      </c>
      <c r="BB374" s="7" t="s">
        <v>203</v>
      </c>
    </row>
    <row r="375" spans="1:54" x14ac:dyDescent="0.25">
      <c r="A375" s="43">
        <f t="shared" si="29"/>
        <v>0</v>
      </c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X375" s="6">
        <f t="shared" si="30"/>
        <v>0</v>
      </c>
      <c r="AY375" s="6">
        <f t="shared" si="31"/>
        <v>0</v>
      </c>
      <c r="AZ375" s="6">
        <f t="shared" si="32"/>
        <v>0</v>
      </c>
      <c r="BA375" s="6">
        <f t="shared" si="34"/>
        <v>0</v>
      </c>
      <c r="BB375" s="7" t="s">
        <v>203</v>
      </c>
    </row>
    <row r="376" spans="1:54" x14ac:dyDescent="0.25">
      <c r="A376" s="43">
        <f t="shared" si="29"/>
        <v>0</v>
      </c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X376" s="6">
        <f t="shared" si="30"/>
        <v>0</v>
      </c>
      <c r="AY376" s="6">
        <f t="shared" si="31"/>
        <v>0</v>
      </c>
      <c r="AZ376" s="6">
        <f t="shared" si="32"/>
        <v>0</v>
      </c>
      <c r="BA376" s="6">
        <f t="shared" si="34"/>
        <v>0</v>
      </c>
      <c r="BB376" s="7" t="s">
        <v>203</v>
      </c>
    </row>
    <row r="377" spans="1:54" x14ac:dyDescent="0.25">
      <c r="A377" s="43">
        <f t="shared" si="29"/>
        <v>0</v>
      </c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X377" s="6">
        <f t="shared" si="30"/>
        <v>0</v>
      </c>
      <c r="AY377" s="6">
        <f t="shared" si="31"/>
        <v>0</v>
      </c>
      <c r="AZ377" s="6">
        <f t="shared" si="32"/>
        <v>0</v>
      </c>
      <c r="BA377" s="6">
        <f t="shared" si="34"/>
        <v>0</v>
      </c>
      <c r="BB377" s="7" t="s">
        <v>203</v>
      </c>
    </row>
    <row r="378" spans="1:54" x14ac:dyDescent="0.25">
      <c r="A378" s="43">
        <f t="shared" si="29"/>
        <v>0</v>
      </c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X378" s="6">
        <f t="shared" si="30"/>
        <v>0</v>
      </c>
      <c r="AY378" s="6">
        <f t="shared" si="31"/>
        <v>0</v>
      </c>
      <c r="AZ378" s="6">
        <f t="shared" si="32"/>
        <v>0</v>
      </c>
      <c r="BA378" s="6">
        <f t="shared" si="34"/>
        <v>0</v>
      </c>
      <c r="BB378" s="7" t="s">
        <v>203</v>
      </c>
    </row>
    <row r="379" spans="1:54" x14ac:dyDescent="0.25">
      <c r="A379" s="43">
        <f t="shared" si="29"/>
        <v>0</v>
      </c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X379" s="6">
        <f t="shared" si="30"/>
        <v>0</v>
      </c>
      <c r="AY379" s="6">
        <f t="shared" si="31"/>
        <v>0</v>
      </c>
      <c r="AZ379" s="6">
        <f t="shared" si="32"/>
        <v>0</v>
      </c>
      <c r="BA379" s="6">
        <f t="shared" si="34"/>
        <v>0</v>
      </c>
      <c r="BB379" s="7" t="s">
        <v>203</v>
      </c>
    </row>
    <row r="380" spans="1:54" x14ac:dyDescent="0.25">
      <c r="A380" s="43">
        <f t="shared" si="29"/>
        <v>0</v>
      </c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X380" s="6">
        <f t="shared" si="30"/>
        <v>0</v>
      </c>
      <c r="AY380" s="6">
        <f t="shared" si="31"/>
        <v>0</v>
      </c>
      <c r="AZ380" s="6">
        <f t="shared" si="32"/>
        <v>0</v>
      </c>
      <c r="BA380" s="6">
        <f t="shared" si="34"/>
        <v>0</v>
      </c>
      <c r="BB380" s="7" t="s">
        <v>203</v>
      </c>
    </row>
    <row r="381" spans="1:54" x14ac:dyDescent="0.25">
      <c r="A381" s="43">
        <f t="shared" si="29"/>
        <v>0</v>
      </c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X381" s="6">
        <f t="shared" si="30"/>
        <v>0</v>
      </c>
      <c r="AY381" s="6">
        <f t="shared" si="31"/>
        <v>0</v>
      </c>
      <c r="AZ381" s="6">
        <f t="shared" si="32"/>
        <v>0</v>
      </c>
      <c r="BA381" s="6">
        <f t="shared" si="34"/>
        <v>0</v>
      </c>
      <c r="BB381" s="7" t="s">
        <v>203</v>
      </c>
    </row>
    <row r="382" spans="1:54" x14ac:dyDescent="0.25">
      <c r="A382" s="43">
        <f t="shared" si="29"/>
        <v>0</v>
      </c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X382" s="6">
        <f t="shared" si="30"/>
        <v>0</v>
      </c>
      <c r="AY382" s="6">
        <f t="shared" si="31"/>
        <v>0</v>
      </c>
      <c r="AZ382" s="6">
        <f t="shared" si="32"/>
        <v>0</v>
      </c>
      <c r="BA382" s="6">
        <f t="shared" si="34"/>
        <v>0</v>
      </c>
      <c r="BB382" s="7" t="s">
        <v>203</v>
      </c>
    </row>
    <row r="383" spans="1:54" x14ac:dyDescent="0.25">
      <c r="A383" s="43">
        <f t="shared" si="29"/>
        <v>0</v>
      </c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X383" s="6">
        <f t="shared" si="30"/>
        <v>0</v>
      </c>
      <c r="AY383" s="6">
        <f t="shared" si="31"/>
        <v>0</v>
      </c>
      <c r="AZ383" s="6">
        <f t="shared" si="32"/>
        <v>0</v>
      </c>
      <c r="BA383" s="6">
        <f t="shared" si="34"/>
        <v>0</v>
      </c>
      <c r="BB383" s="7" t="s">
        <v>203</v>
      </c>
    </row>
    <row r="384" spans="1:54" x14ac:dyDescent="0.25">
      <c r="A384" s="43">
        <f t="shared" si="29"/>
        <v>0</v>
      </c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X384" s="6">
        <f t="shared" si="30"/>
        <v>0</v>
      </c>
      <c r="AY384" s="6">
        <f t="shared" si="31"/>
        <v>0</v>
      </c>
      <c r="AZ384" s="6">
        <f t="shared" si="32"/>
        <v>0</v>
      </c>
      <c r="BA384" s="6">
        <f t="shared" si="34"/>
        <v>0</v>
      </c>
      <c r="BB384" s="7" t="s">
        <v>203</v>
      </c>
    </row>
    <row r="385" spans="1:54" x14ac:dyDescent="0.25">
      <c r="A385" s="43">
        <f t="shared" si="29"/>
        <v>0</v>
      </c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X385" s="6">
        <f t="shared" si="30"/>
        <v>0</v>
      </c>
      <c r="AY385" s="6">
        <f t="shared" si="31"/>
        <v>0</v>
      </c>
      <c r="AZ385" s="6">
        <f t="shared" si="32"/>
        <v>0</v>
      </c>
      <c r="BA385" s="6">
        <f t="shared" si="34"/>
        <v>0</v>
      </c>
      <c r="BB385" s="7" t="s">
        <v>203</v>
      </c>
    </row>
    <row r="386" spans="1:54" x14ac:dyDescent="0.25">
      <c r="A386" s="43">
        <f t="shared" si="29"/>
        <v>0</v>
      </c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X386" s="6">
        <f t="shared" si="30"/>
        <v>0</v>
      </c>
      <c r="AY386" s="6">
        <f t="shared" si="31"/>
        <v>0</v>
      </c>
      <c r="AZ386" s="6">
        <f t="shared" si="32"/>
        <v>0</v>
      </c>
      <c r="BA386" s="6">
        <f t="shared" si="34"/>
        <v>0</v>
      </c>
      <c r="BB386" s="7" t="s">
        <v>203</v>
      </c>
    </row>
    <row r="387" spans="1:54" x14ac:dyDescent="0.25">
      <c r="A387" s="43">
        <f t="shared" si="29"/>
        <v>0</v>
      </c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X387" s="6">
        <f t="shared" si="30"/>
        <v>0</v>
      </c>
      <c r="AY387" s="6">
        <f t="shared" si="31"/>
        <v>0</v>
      </c>
      <c r="AZ387" s="6">
        <f t="shared" si="32"/>
        <v>0</v>
      </c>
      <c r="BA387" s="6">
        <f t="shared" si="34"/>
        <v>0</v>
      </c>
      <c r="BB387" s="7" t="s">
        <v>203</v>
      </c>
    </row>
    <row r="388" spans="1:54" x14ac:dyDescent="0.25">
      <c r="A388" s="43">
        <f t="shared" ref="A388:A430" si="35">_xlfn.NUMBERVALUE(LEFT(D388,9))</f>
        <v>0</v>
      </c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X388" s="6">
        <f t="shared" ref="AX388:AX389" si="36">COUNTIF(J388:AW388,"&gt;1")</f>
        <v>0</v>
      </c>
      <c r="AY388" s="6">
        <f t="shared" ref="AY388:AY389" si="37">COUNTIF(J388:AW388,0)</f>
        <v>0</v>
      </c>
      <c r="AZ388" s="6">
        <f t="shared" ref="AZ388:AZ389" si="38">COUNTIF(J388:AW388,"-")</f>
        <v>0</v>
      </c>
      <c r="BA388" s="6">
        <f t="shared" si="34"/>
        <v>0</v>
      </c>
      <c r="BB388" s="7" t="s">
        <v>203</v>
      </c>
    </row>
    <row r="389" spans="1:54" x14ac:dyDescent="0.25">
      <c r="A389" s="43">
        <f t="shared" si="35"/>
        <v>0</v>
      </c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X389" s="6">
        <f t="shared" si="36"/>
        <v>0</v>
      </c>
      <c r="AY389" s="6">
        <f t="shared" si="37"/>
        <v>0</v>
      </c>
      <c r="AZ389" s="6">
        <f t="shared" si="38"/>
        <v>0</v>
      </c>
      <c r="BA389" s="6">
        <f t="shared" si="34"/>
        <v>0</v>
      </c>
      <c r="BB389" s="7" t="s">
        <v>203</v>
      </c>
    </row>
    <row r="390" spans="1:54" x14ac:dyDescent="0.25">
      <c r="A390" s="43">
        <f t="shared" si="35"/>
        <v>0</v>
      </c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X390" s="6">
        <f t="shared" ref="AX390:AX411" si="39">COUNTIF(J390:AW390,"&gt;1")</f>
        <v>0</v>
      </c>
      <c r="AY390" s="6">
        <f t="shared" ref="AY390:AY411" si="40">COUNTIF(J390:AW390,0)</f>
        <v>0</v>
      </c>
      <c r="AZ390" s="6">
        <f t="shared" ref="AZ390:AZ411" si="41">COUNTIF(J390:AW390,"-")</f>
        <v>0</v>
      </c>
      <c r="BA390" s="6">
        <f t="shared" ref="BA390:BA411" si="42">SUM(AX390:AZ390)</f>
        <v>0</v>
      </c>
      <c r="BB390" s="7" t="s">
        <v>203</v>
      </c>
    </row>
    <row r="391" spans="1:54" x14ac:dyDescent="0.25">
      <c r="A391" s="43">
        <f t="shared" si="35"/>
        <v>0</v>
      </c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X391" s="6">
        <f t="shared" si="39"/>
        <v>0</v>
      </c>
      <c r="AY391" s="6">
        <f t="shared" si="40"/>
        <v>0</v>
      </c>
      <c r="AZ391" s="6">
        <f t="shared" si="41"/>
        <v>0</v>
      </c>
      <c r="BA391" s="6">
        <f t="shared" si="42"/>
        <v>0</v>
      </c>
      <c r="BB391" s="7" t="s">
        <v>203</v>
      </c>
    </row>
    <row r="392" spans="1:54" x14ac:dyDescent="0.25">
      <c r="A392" s="43">
        <f t="shared" si="35"/>
        <v>0</v>
      </c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X392" s="6">
        <f t="shared" si="39"/>
        <v>0</v>
      </c>
      <c r="AY392" s="6">
        <f t="shared" si="40"/>
        <v>0</v>
      </c>
      <c r="AZ392" s="6">
        <f t="shared" si="41"/>
        <v>0</v>
      </c>
      <c r="BA392" s="6">
        <f t="shared" si="42"/>
        <v>0</v>
      </c>
      <c r="BB392" s="7" t="s">
        <v>203</v>
      </c>
    </row>
    <row r="393" spans="1:54" x14ac:dyDescent="0.25">
      <c r="A393" s="43">
        <f t="shared" si="35"/>
        <v>0</v>
      </c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X393" s="6">
        <f t="shared" si="39"/>
        <v>0</v>
      </c>
      <c r="AY393" s="6">
        <f t="shared" si="40"/>
        <v>0</v>
      </c>
      <c r="AZ393" s="6">
        <f t="shared" si="41"/>
        <v>0</v>
      </c>
      <c r="BA393" s="6">
        <f t="shared" si="42"/>
        <v>0</v>
      </c>
      <c r="BB393" s="7" t="s">
        <v>203</v>
      </c>
    </row>
    <row r="394" spans="1:54" x14ac:dyDescent="0.25">
      <c r="A394" s="43">
        <f t="shared" si="35"/>
        <v>0</v>
      </c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X394" s="6">
        <f t="shared" si="39"/>
        <v>0</v>
      </c>
      <c r="AY394" s="6">
        <f t="shared" si="40"/>
        <v>0</v>
      </c>
      <c r="AZ394" s="6">
        <f t="shared" si="41"/>
        <v>0</v>
      </c>
      <c r="BA394" s="6">
        <f t="shared" si="42"/>
        <v>0</v>
      </c>
      <c r="BB394" s="7" t="s">
        <v>203</v>
      </c>
    </row>
    <row r="395" spans="1:54" x14ac:dyDescent="0.25">
      <c r="A395" s="43">
        <f t="shared" si="35"/>
        <v>0</v>
      </c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X395" s="6">
        <f t="shared" si="39"/>
        <v>0</v>
      </c>
      <c r="AY395" s="6">
        <f t="shared" si="40"/>
        <v>0</v>
      </c>
      <c r="AZ395" s="6">
        <f t="shared" si="41"/>
        <v>0</v>
      </c>
      <c r="BA395" s="6">
        <f t="shared" si="42"/>
        <v>0</v>
      </c>
      <c r="BB395" s="7" t="s">
        <v>203</v>
      </c>
    </row>
    <row r="396" spans="1:54" x14ac:dyDescent="0.25">
      <c r="A396" s="43">
        <f t="shared" si="35"/>
        <v>0</v>
      </c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X396" s="6">
        <f t="shared" si="39"/>
        <v>0</v>
      </c>
      <c r="AY396" s="6">
        <f t="shared" si="40"/>
        <v>0</v>
      </c>
      <c r="AZ396" s="6">
        <f t="shared" si="41"/>
        <v>0</v>
      </c>
      <c r="BA396" s="6">
        <f t="shared" si="42"/>
        <v>0</v>
      </c>
      <c r="BB396" s="7" t="s">
        <v>203</v>
      </c>
    </row>
    <row r="397" spans="1:54" x14ac:dyDescent="0.25">
      <c r="A397" s="43">
        <f t="shared" si="35"/>
        <v>0</v>
      </c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X397" s="6">
        <f t="shared" si="39"/>
        <v>0</v>
      </c>
      <c r="AY397" s="6">
        <f t="shared" si="40"/>
        <v>0</v>
      </c>
      <c r="AZ397" s="6">
        <f t="shared" si="41"/>
        <v>0</v>
      </c>
      <c r="BA397" s="6">
        <f t="shared" si="42"/>
        <v>0</v>
      </c>
      <c r="BB397" s="7" t="s">
        <v>203</v>
      </c>
    </row>
    <row r="398" spans="1:54" x14ac:dyDescent="0.25">
      <c r="A398" s="43">
        <f t="shared" si="35"/>
        <v>0</v>
      </c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X398" s="6">
        <f t="shared" si="39"/>
        <v>0</v>
      </c>
      <c r="AY398" s="6">
        <f t="shared" si="40"/>
        <v>0</v>
      </c>
      <c r="AZ398" s="6">
        <f t="shared" si="41"/>
        <v>0</v>
      </c>
      <c r="BA398" s="6">
        <f t="shared" si="42"/>
        <v>0</v>
      </c>
      <c r="BB398" s="7" t="s">
        <v>203</v>
      </c>
    </row>
    <row r="399" spans="1:54" x14ac:dyDescent="0.25">
      <c r="A399" s="43">
        <f t="shared" si="35"/>
        <v>0</v>
      </c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X399" s="6">
        <f t="shared" si="39"/>
        <v>0</v>
      </c>
      <c r="AY399" s="6">
        <f t="shared" si="40"/>
        <v>0</v>
      </c>
      <c r="AZ399" s="6">
        <f t="shared" si="41"/>
        <v>0</v>
      </c>
      <c r="BA399" s="6">
        <f t="shared" si="42"/>
        <v>0</v>
      </c>
      <c r="BB399" s="7" t="s">
        <v>203</v>
      </c>
    </row>
    <row r="400" spans="1:54" x14ac:dyDescent="0.25">
      <c r="A400" s="43">
        <f t="shared" si="35"/>
        <v>0</v>
      </c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X400" s="6">
        <f t="shared" si="39"/>
        <v>0</v>
      </c>
      <c r="AY400" s="6">
        <f t="shared" si="40"/>
        <v>0</v>
      </c>
      <c r="AZ400" s="6">
        <f t="shared" si="41"/>
        <v>0</v>
      </c>
      <c r="BA400" s="6">
        <f t="shared" si="42"/>
        <v>0</v>
      </c>
      <c r="BB400" s="7" t="s">
        <v>203</v>
      </c>
    </row>
    <row r="401" spans="1:54" x14ac:dyDescent="0.25">
      <c r="A401" s="43">
        <f t="shared" si="35"/>
        <v>0</v>
      </c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X401" s="6">
        <f t="shared" si="39"/>
        <v>0</v>
      </c>
      <c r="AY401" s="6">
        <f t="shared" si="40"/>
        <v>0</v>
      </c>
      <c r="AZ401" s="6">
        <f t="shared" si="41"/>
        <v>0</v>
      </c>
      <c r="BA401" s="6">
        <f t="shared" si="42"/>
        <v>0</v>
      </c>
      <c r="BB401" s="7" t="s">
        <v>203</v>
      </c>
    </row>
    <row r="402" spans="1:54" x14ac:dyDescent="0.25">
      <c r="A402" s="43">
        <f t="shared" si="35"/>
        <v>0</v>
      </c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X402" s="6">
        <f t="shared" si="39"/>
        <v>0</v>
      </c>
      <c r="AY402" s="6">
        <f t="shared" si="40"/>
        <v>0</v>
      </c>
      <c r="AZ402" s="6">
        <f t="shared" si="41"/>
        <v>0</v>
      </c>
      <c r="BA402" s="6">
        <f t="shared" si="42"/>
        <v>0</v>
      </c>
      <c r="BB402" s="7" t="s">
        <v>203</v>
      </c>
    </row>
    <row r="403" spans="1:54" x14ac:dyDescent="0.25">
      <c r="A403" s="43">
        <f t="shared" si="35"/>
        <v>0</v>
      </c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X403" s="6">
        <f t="shared" si="39"/>
        <v>0</v>
      </c>
      <c r="AY403" s="6">
        <f t="shared" si="40"/>
        <v>0</v>
      </c>
      <c r="AZ403" s="6">
        <f t="shared" si="41"/>
        <v>0</v>
      </c>
      <c r="BA403" s="6">
        <f t="shared" si="42"/>
        <v>0</v>
      </c>
      <c r="BB403" s="7" t="s">
        <v>203</v>
      </c>
    </row>
    <row r="404" spans="1:54" x14ac:dyDescent="0.25">
      <c r="A404" s="43">
        <f t="shared" si="35"/>
        <v>0</v>
      </c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X404" s="6">
        <f t="shared" si="39"/>
        <v>0</v>
      </c>
      <c r="AY404" s="6">
        <f t="shared" si="40"/>
        <v>0</v>
      </c>
      <c r="AZ404" s="6">
        <f t="shared" si="41"/>
        <v>0</v>
      </c>
      <c r="BA404" s="6">
        <f t="shared" si="42"/>
        <v>0</v>
      </c>
      <c r="BB404" s="7" t="s">
        <v>203</v>
      </c>
    </row>
    <row r="405" spans="1:54" x14ac:dyDescent="0.25">
      <c r="A405" s="43">
        <f t="shared" si="35"/>
        <v>0</v>
      </c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X405" s="6">
        <f t="shared" si="39"/>
        <v>0</v>
      </c>
      <c r="AY405" s="6">
        <f t="shared" si="40"/>
        <v>0</v>
      </c>
      <c r="AZ405" s="6">
        <f t="shared" si="41"/>
        <v>0</v>
      </c>
      <c r="BA405" s="6">
        <f t="shared" si="42"/>
        <v>0</v>
      </c>
      <c r="BB405" s="7" t="s">
        <v>203</v>
      </c>
    </row>
    <row r="406" spans="1:54" x14ac:dyDescent="0.25">
      <c r="A406" s="43">
        <f t="shared" si="35"/>
        <v>0</v>
      </c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X406" s="6">
        <f t="shared" si="39"/>
        <v>0</v>
      </c>
      <c r="AY406" s="6">
        <f t="shared" si="40"/>
        <v>0</v>
      </c>
      <c r="AZ406" s="6">
        <f t="shared" si="41"/>
        <v>0</v>
      </c>
      <c r="BA406" s="6">
        <f t="shared" si="42"/>
        <v>0</v>
      </c>
      <c r="BB406" s="7" t="s">
        <v>203</v>
      </c>
    </row>
    <row r="407" spans="1:54" x14ac:dyDescent="0.25">
      <c r="A407" s="43">
        <f t="shared" si="35"/>
        <v>0</v>
      </c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X407" s="6">
        <f t="shared" si="39"/>
        <v>0</v>
      </c>
      <c r="AY407" s="6">
        <f t="shared" si="40"/>
        <v>0</v>
      </c>
      <c r="AZ407" s="6">
        <f t="shared" si="41"/>
        <v>0</v>
      </c>
      <c r="BA407" s="6">
        <f t="shared" si="42"/>
        <v>0</v>
      </c>
      <c r="BB407" s="7" t="s">
        <v>203</v>
      </c>
    </row>
    <row r="408" spans="1:54" x14ac:dyDescent="0.25">
      <c r="A408" s="43">
        <f t="shared" si="35"/>
        <v>0</v>
      </c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X408" s="6">
        <f t="shared" si="39"/>
        <v>0</v>
      </c>
      <c r="AY408" s="6">
        <f t="shared" si="40"/>
        <v>0</v>
      </c>
      <c r="AZ408" s="6">
        <f t="shared" si="41"/>
        <v>0</v>
      </c>
      <c r="BA408" s="6">
        <f t="shared" si="42"/>
        <v>0</v>
      </c>
      <c r="BB408" s="7" t="s">
        <v>203</v>
      </c>
    </row>
    <row r="409" spans="1:54" x14ac:dyDescent="0.25">
      <c r="A409" s="43">
        <f t="shared" si="35"/>
        <v>0</v>
      </c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X409" s="6">
        <f t="shared" si="39"/>
        <v>0</v>
      </c>
      <c r="AY409" s="6">
        <f t="shared" si="40"/>
        <v>0</v>
      </c>
      <c r="AZ409" s="6">
        <f t="shared" si="41"/>
        <v>0</v>
      </c>
      <c r="BA409" s="6">
        <f t="shared" si="42"/>
        <v>0</v>
      </c>
      <c r="BB409" s="7" t="s">
        <v>203</v>
      </c>
    </row>
    <row r="410" spans="1:54" x14ac:dyDescent="0.25">
      <c r="A410" s="43">
        <f t="shared" si="35"/>
        <v>0</v>
      </c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X410" s="6">
        <f t="shared" si="39"/>
        <v>0</v>
      </c>
      <c r="AY410" s="6">
        <f t="shared" si="40"/>
        <v>0</v>
      </c>
      <c r="AZ410" s="6">
        <f t="shared" si="41"/>
        <v>0</v>
      </c>
      <c r="BA410" s="6">
        <f t="shared" si="42"/>
        <v>0</v>
      </c>
      <c r="BB410" s="7" t="s">
        <v>203</v>
      </c>
    </row>
    <row r="411" spans="1:54" x14ac:dyDescent="0.25">
      <c r="A411" s="43">
        <f t="shared" si="35"/>
        <v>0</v>
      </c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X411" s="6">
        <f t="shared" si="39"/>
        <v>0</v>
      </c>
      <c r="AY411" s="6">
        <f t="shared" si="40"/>
        <v>0</v>
      </c>
      <c r="AZ411" s="6">
        <f t="shared" si="41"/>
        <v>0</v>
      </c>
      <c r="BA411" s="6">
        <f t="shared" si="42"/>
        <v>0</v>
      </c>
      <c r="BB411" s="7" t="s">
        <v>203</v>
      </c>
    </row>
    <row r="412" spans="1:54" x14ac:dyDescent="0.25">
      <c r="A412" s="43">
        <f t="shared" si="35"/>
        <v>0</v>
      </c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X412" s="6">
        <f t="shared" ref="AX412:AX413" si="43">COUNTIF(J412:AW412,"&gt;1")</f>
        <v>0</v>
      </c>
      <c r="AY412" s="6">
        <f t="shared" ref="AY412:AY413" si="44">COUNTIF(J412:AW412,0)</f>
        <v>0</v>
      </c>
      <c r="AZ412" s="6">
        <f t="shared" ref="AZ412:AZ413" si="45">COUNTIF(J412:AW412,"-")</f>
        <v>0</v>
      </c>
      <c r="BA412" s="6">
        <f t="shared" ref="BA412:BA413" si="46">SUM(AX412:AZ412)</f>
        <v>0</v>
      </c>
      <c r="BB412" s="7" t="s">
        <v>203</v>
      </c>
    </row>
    <row r="413" spans="1:54" x14ac:dyDescent="0.25">
      <c r="A413" s="43">
        <f t="shared" si="35"/>
        <v>0</v>
      </c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X413" s="6">
        <f t="shared" si="43"/>
        <v>0</v>
      </c>
      <c r="AY413" s="6">
        <f t="shared" si="44"/>
        <v>0</v>
      </c>
      <c r="AZ413" s="6">
        <f t="shared" si="45"/>
        <v>0</v>
      </c>
      <c r="BA413" s="6">
        <f t="shared" si="46"/>
        <v>0</v>
      </c>
      <c r="BB413" s="7" t="s">
        <v>203</v>
      </c>
    </row>
    <row r="414" spans="1:54" x14ac:dyDescent="0.25">
      <c r="A414" s="43">
        <f t="shared" si="35"/>
        <v>0</v>
      </c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X414" s="6">
        <f t="shared" ref="AX414:AX477" si="47">COUNTIF(J414:AW414,"&gt;1")</f>
        <v>0</v>
      </c>
      <c r="AY414" s="6">
        <f t="shared" ref="AY414:AY477" si="48">COUNTIF(J414:AW414,0)</f>
        <v>0</v>
      </c>
      <c r="AZ414" s="6">
        <f t="shared" ref="AZ414:AZ477" si="49">COUNTIF(J414:AW414,"-")</f>
        <v>0</v>
      </c>
      <c r="BA414" s="6">
        <f t="shared" ref="BA414:BA477" si="50">SUM(AX414:AZ414)</f>
        <v>0</v>
      </c>
      <c r="BB414" s="7" t="s">
        <v>203</v>
      </c>
    </row>
    <row r="415" spans="1:54" x14ac:dyDescent="0.25">
      <c r="A415" s="43">
        <f t="shared" si="35"/>
        <v>0</v>
      </c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X415" s="6">
        <f t="shared" si="47"/>
        <v>0</v>
      </c>
      <c r="AY415" s="6">
        <f t="shared" si="48"/>
        <v>0</v>
      </c>
      <c r="AZ415" s="6">
        <f t="shared" si="49"/>
        <v>0</v>
      </c>
      <c r="BA415" s="6">
        <f t="shared" si="50"/>
        <v>0</v>
      </c>
      <c r="BB415" s="7" t="s">
        <v>203</v>
      </c>
    </row>
    <row r="416" spans="1:54" x14ac:dyDescent="0.25">
      <c r="A416" s="43">
        <f t="shared" si="35"/>
        <v>0</v>
      </c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X416" s="6">
        <f t="shared" si="47"/>
        <v>0</v>
      </c>
      <c r="AY416" s="6">
        <f t="shared" si="48"/>
        <v>0</v>
      </c>
      <c r="AZ416" s="6">
        <f t="shared" si="49"/>
        <v>0</v>
      </c>
      <c r="BA416" s="6">
        <f t="shared" si="50"/>
        <v>0</v>
      </c>
      <c r="BB416" s="7" t="s">
        <v>203</v>
      </c>
    </row>
    <row r="417" spans="1:54" x14ac:dyDescent="0.25">
      <c r="A417" s="43">
        <f t="shared" si="35"/>
        <v>0</v>
      </c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X417" s="6">
        <f t="shared" si="47"/>
        <v>0</v>
      </c>
      <c r="AY417" s="6">
        <f t="shared" si="48"/>
        <v>0</v>
      </c>
      <c r="AZ417" s="6">
        <f t="shared" si="49"/>
        <v>0</v>
      </c>
      <c r="BA417" s="6">
        <f t="shared" si="50"/>
        <v>0</v>
      </c>
      <c r="BB417" s="7" t="s">
        <v>203</v>
      </c>
    </row>
    <row r="418" spans="1:54" x14ac:dyDescent="0.25">
      <c r="A418" s="43">
        <f t="shared" si="35"/>
        <v>0</v>
      </c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X418" s="6">
        <f t="shared" si="47"/>
        <v>0</v>
      </c>
      <c r="AY418" s="6">
        <f t="shared" si="48"/>
        <v>0</v>
      </c>
      <c r="AZ418" s="6">
        <f t="shared" si="49"/>
        <v>0</v>
      </c>
      <c r="BA418" s="6">
        <f t="shared" si="50"/>
        <v>0</v>
      </c>
      <c r="BB418" s="7" t="s">
        <v>203</v>
      </c>
    </row>
    <row r="419" spans="1:54" x14ac:dyDescent="0.25">
      <c r="A419" s="43">
        <f t="shared" si="35"/>
        <v>0</v>
      </c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X419" s="6">
        <f t="shared" si="47"/>
        <v>0</v>
      </c>
      <c r="AY419" s="6">
        <f t="shared" si="48"/>
        <v>0</v>
      </c>
      <c r="AZ419" s="6">
        <f t="shared" si="49"/>
        <v>0</v>
      </c>
      <c r="BA419" s="6">
        <f t="shared" si="50"/>
        <v>0</v>
      </c>
      <c r="BB419" s="7" t="s">
        <v>203</v>
      </c>
    </row>
    <row r="420" spans="1:54" x14ac:dyDescent="0.25">
      <c r="A420" s="43">
        <f t="shared" si="35"/>
        <v>0</v>
      </c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X420" s="6">
        <f t="shared" si="47"/>
        <v>0</v>
      </c>
      <c r="AY420" s="6">
        <f t="shared" si="48"/>
        <v>0</v>
      </c>
      <c r="AZ420" s="6">
        <f t="shared" si="49"/>
        <v>0</v>
      </c>
      <c r="BA420" s="6">
        <f t="shared" si="50"/>
        <v>0</v>
      </c>
      <c r="BB420" s="7" t="s">
        <v>203</v>
      </c>
    </row>
    <row r="421" spans="1:54" x14ac:dyDescent="0.25">
      <c r="A421" s="43">
        <f t="shared" si="35"/>
        <v>0</v>
      </c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X421" s="6">
        <f t="shared" si="47"/>
        <v>0</v>
      </c>
      <c r="AY421" s="6">
        <f t="shared" si="48"/>
        <v>0</v>
      </c>
      <c r="AZ421" s="6">
        <f t="shared" si="49"/>
        <v>0</v>
      </c>
      <c r="BA421" s="6">
        <f t="shared" si="50"/>
        <v>0</v>
      </c>
      <c r="BB421" s="7" t="s">
        <v>203</v>
      </c>
    </row>
    <row r="422" spans="1:54" x14ac:dyDescent="0.25">
      <c r="A422" s="43">
        <f t="shared" si="35"/>
        <v>0</v>
      </c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X422" s="6">
        <f t="shared" si="47"/>
        <v>0</v>
      </c>
      <c r="AY422" s="6">
        <f t="shared" si="48"/>
        <v>0</v>
      </c>
      <c r="AZ422" s="6">
        <f t="shared" si="49"/>
        <v>0</v>
      </c>
      <c r="BA422" s="6">
        <f t="shared" si="50"/>
        <v>0</v>
      </c>
      <c r="BB422" s="7" t="s">
        <v>203</v>
      </c>
    </row>
    <row r="423" spans="1:54" x14ac:dyDescent="0.25">
      <c r="A423" s="43">
        <f t="shared" si="35"/>
        <v>0</v>
      </c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X423" s="6">
        <f t="shared" si="47"/>
        <v>0</v>
      </c>
      <c r="AY423" s="6">
        <f t="shared" si="48"/>
        <v>0</v>
      </c>
      <c r="AZ423" s="6">
        <f t="shared" si="49"/>
        <v>0</v>
      </c>
      <c r="BA423" s="6">
        <f t="shared" si="50"/>
        <v>0</v>
      </c>
      <c r="BB423" s="7" t="s">
        <v>203</v>
      </c>
    </row>
    <row r="424" spans="1:54" x14ac:dyDescent="0.25">
      <c r="A424" s="43">
        <f t="shared" si="35"/>
        <v>0</v>
      </c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X424" s="6">
        <f t="shared" si="47"/>
        <v>0</v>
      </c>
      <c r="AY424" s="6">
        <f t="shared" si="48"/>
        <v>0</v>
      </c>
      <c r="AZ424" s="6">
        <f t="shared" si="49"/>
        <v>0</v>
      </c>
      <c r="BA424" s="6">
        <f t="shared" si="50"/>
        <v>0</v>
      </c>
      <c r="BB424" s="7" t="s">
        <v>203</v>
      </c>
    </row>
    <row r="425" spans="1:54" x14ac:dyDescent="0.25">
      <c r="A425" s="43">
        <f t="shared" si="35"/>
        <v>0</v>
      </c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X425" s="6">
        <f t="shared" si="47"/>
        <v>0</v>
      </c>
      <c r="AY425" s="6">
        <f t="shared" si="48"/>
        <v>0</v>
      </c>
      <c r="AZ425" s="6">
        <f t="shared" si="49"/>
        <v>0</v>
      </c>
      <c r="BA425" s="6">
        <f t="shared" si="50"/>
        <v>0</v>
      </c>
      <c r="BB425" s="7" t="s">
        <v>203</v>
      </c>
    </row>
    <row r="426" spans="1:54" x14ac:dyDescent="0.25">
      <c r="A426" s="43">
        <f t="shared" si="35"/>
        <v>0</v>
      </c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X426" s="6">
        <f t="shared" si="47"/>
        <v>0</v>
      </c>
      <c r="AY426" s="6">
        <f t="shared" si="48"/>
        <v>0</v>
      </c>
      <c r="AZ426" s="6">
        <f t="shared" si="49"/>
        <v>0</v>
      </c>
      <c r="BA426" s="6">
        <f t="shared" si="50"/>
        <v>0</v>
      </c>
      <c r="BB426" s="7" t="s">
        <v>203</v>
      </c>
    </row>
    <row r="427" spans="1:54" x14ac:dyDescent="0.25">
      <c r="A427" s="43">
        <f t="shared" si="35"/>
        <v>0</v>
      </c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X427" s="6">
        <f t="shared" si="47"/>
        <v>0</v>
      </c>
      <c r="AY427" s="6">
        <f t="shared" si="48"/>
        <v>0</v>
      </c>
      <c r="AZ427" s="6">
        <f t="shared" si="49"/>
        <v>0</v>
      </c>
      <c r="BA427" s="6">
        <f t="shared" si="50"/>
        <v>0</v>
      </c>
      <c r="BB427" s="7" t="s">
        <v>203</v>
      </c>
    </row>
    <row r="428" spans="1:54" x14ac:dyDescent="0.25">
      <c r="A428" s="43">
        <f t="shared" si="35"/>
        <v>0</v>
      </c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X428" s="6">
        <f t="shared" si="47"/>
        <v>0</v>
      </c>
      <c r="AY428" s="6">
        <f t="shared" si="48"/>
        <v>0</v>
      </c>
      <c r="AZ428" s="6">
        <f t="shared" si="49"/>
        <v>0</v>
      </c>
      <c r="BA428" s="6">
        <f t="shared" si="50"/>
        <v>0</v>
      </c>
      <c r="BB428" s="7" t="s">
        <v>203</v>
      </c>
    </row>
    <row r="429" spans="1:54" x14ac:dyDescent="0.25">
      <c r="A429" s="43">
        <f t="shared" si="35"/>
        <v>0</v>
      </c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X429" s="6">
        <f t="shared" si="47"/>
        <v>0</v>
      </c>
      <c r="AY429" s="6">
        <f t="shared" si="48"/>
        <v>0</v>
      </c>
      <c r="AZ429" s="6">
        <f t="shared" si="49"/>
        <v>0</v>
      </c>
      <c r="BA429" s="6">
        <f t="shared" si="50"/>
        <v>0</v>
      </c>
      <c r="BB429" s="7" t="s">
        <v>203</v>
      </c>
    </row>
    <row r="430" spans="1:54" x14ac:dyDescent="0.25">
      <c r="A430" s="43">
        <f t="shared" si="35"/>
        <v>0</v>
      </c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X430" s="6">
        <f t="shared" si="47"/>
        <v>0</v>
      </c>
      <c r="AY430" s="6">
        <f t="shared" si="48"/>
        <v>0</v>
      </c>
      <c r="AZ430" s="6">
        <f t="shared" si="49"/>
        <v>0</v>
      </c>
      <c r="BA430" s="6">
        <f t="shared" si="50"/>
        <v>0</v>
      </c>
      <c r="BB430" s="7" t="s">
        <v>203</v>
      </c>
    </row>
    <row r="431" spans="1:54" x14ac:dyDescent="0.25">
      <c r="A431" s="43">
        <f>_xlfn.NUMBERVALUE(LEFT(D431,9))</f>
        <v>0</v>
      </c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X431" s="6">
        <f t="shared" si="47"/>
        <v>0</v>
      </c>
      <c r="AY431" s="6">
        <f t="shared" si="48"/>
        <v>0</v>
      </c>
      <c r="AZ431" s="6">
        <f t="shared" si="49"/>
        <v>0</v>
      </c>
      <c r="BA431" s="6">
        <f t="shared" si="50"/>
        <v>0</v>
      </c>
      <c r="BB431" s="7" t="s">
        <v>203</v>
      </c>
    </row>
    <row r="432" spans="1:54" x14ac:dyDescent="0.25">
      <c r="A432" s="43">
        <f t="shared" ref="A432:A495" si="51">_xlfn.NUMBERVALUE(LEFT(D432,9))</f>
        <v>0</v>
      </c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X432" s="6">
        <f t="shared" si="47"/>
        <v>0</v>
      </c>
      <c r="AY432" s="6">
        <f t="shared" si="48"/>
        <v>0</v>
      </c>
      <c r="AZ432" s="6">
        <f t="shared" si="49"/>
        <v>0</v>
      </c>
      <c r="BA432" s="6">
        <f t="shared" si="50"/>
        <v>0</v>
      </c>
      <c r="BB432" s="7" t="s">
        <v>203</v>
      </c>
    </row>
    <row r="433" spans="1:54" x14ac:dyDescent="0.25">
      <c r="A433" s="43">
        <f t="shared" si="51"/>
        <v>0</v>
      </c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X433" s="6">
        <f t="shared" si="47"/>
        <v>0</v>
      </c>
      <c r="AY433" s="6">
        <f t="shared" si="48"/>
        <v>0</v>
      </c>
      <c r="AZ433" s="6">
        <f t="shared" si="49"/>
        <v>0</v>
      </c>
      <c r="BA433" s="6">
        <f t="shared" si="50"/>
        <v>0</v>
      </c>
      <c r="BB433" s="7" t="s">
        <v>203</v>
      </c>
    </row>
    <row r="434" spans="1:54" x14ac:dyDescent="0.25">
      <c r="A434" s="43">
        <f t="shared" si="51"/>
        <v>0</v>
      </c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X434" s="6">
        <f t="shared" si="47"/>
        <v>0</v>
      </c>
      <c r="AY434" s="6">
        <f t="shared" si="48"/>
        <v>0</v>
      </c>
      <c r="AZ434" s="6">
        <f t="shared" si="49"/>
        <v>0</v>
      </c>
      <c r="BA434" s="6">
        <f t="shared" si="50"/>
        <v>0</v>
      </c>
      <c r="BB434" s="7" t="s">
        <v>203</v>
      </c>
    </row>
    <row r="435" spans="1:54" x14ac:dyDescent="0.25">
      <c r="A435" s="43">
        <f t="shared" si="51"/>
        <v>0</v>
      </c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X435" s="6">
        <f t="shared" si="47"/>
        <v>0</v>
      </c>
      <c r="AY435" s="6">
        <f t="shared" si="48"/>
        <v>0</v>
      </c>
      <c r="AZ435" s="6">
        <f t="shared" si="49"/>
        <v>0</v>
      </c>
      <c r="BA435" s="6">
        <f t="shared" si="50"/>
        <v>0</v>
      </c>
      <c r="BB435" s="7" t="s">
        <v>203</v>
      </c>
    </row>
    <row r="436" spans="1:54" x14ac:dyDescent="0.25">
      <c r="A436" s="43">
        <f t="shared" si="51"/>
        <v>0</v>
      </c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X436" s="6">
        <f t="shared" si="47"/>
        <v>0</v>
      </c>
      <c r="AY436" s="6">
        <f t="shared" si="48"/>
        <v>0</v>
      </c>
      <c r="AZ436" s="6">
        <f t="shared" si="49"/>
        <v>0</v>
      </c>
      <c r="BA436" s="6">
        <f t="shared" si="50"/>
        <v>0</v>
      </c>
      <c r="BB436" s="7" t="s">
        <v>203</v>
      </c>
    </row>
    <row r="437" spans="1:54" x14ac:dyDescent="0.25">
      <c r="A437" s="43">
        <f t="shared" si="51"/>
        <v>0</v>
      </c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X437" s="6">
        <f t="shared" si="47"/>
        <v>0</v>
      </c>
      <c r="AY437" s="6">
        <f t="shared" si="48"/>
        <v>0</v>
      </c>
      <c r="AZ437" s="6">
        <f t="shared" si="49"/>
        <v>0</v>
      </c>
      <c r="BA437" s="6">
        <f t="shared" si="50"/>
        <v>0</v>
      </c>
      <c r="BB437" s="7" t="s">
        <v>203</v>
      </c>
    </row>
    <row r="438" spans="1:54" x14ac:dyDescent="0.25">
      <c r="A438" s="43">
        <f t="shared" si="51"/>
        <v>0</v>
      </c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X438" s="6">
        <f t="shared" si="47"/>
        <v>0</v>
      </c>
      <c r="AY438" s="6">
        <f t="shared" si="48"/>
        <v>0</v>
      </c>
      <c r="AZ438" s="6">
        <f t="shared" si="49"/>
        <v>0</v>
      </c>
      <c r="BA438" s="6">
        <f t="shared" si="50"/>
        <v>0</v>
      </c>
      <c r="BB438" s="7" t="s">
        <v>203</v>
      </c>
    </row>
    <row r="439" spans="1:54" x14ac:dyDescent="0.25">
      <c r="A439" s="43">
        <f t="shared" si="51"/>
        <v>0</v>
      </c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X439" s="6">
        <f t="shared" si="47"/>
        <v>0</v>
      </c>
      <c r="AY439" s="6">
        <f t="shared" si="48"/>
        <v>0</v>
      </c>
      <c r="AZ439" s="6">
        <f t="shared" si="49"/>
        <v>0</v>
      </c>
      <c r="BA439" s="6">
        <f t="shared" si="50"/>
        <v>0</v>
      </c>
      <c r="BB439" s="7" t="s">
        <v>203</v>
      </c>
    </row>
    <row r="440" spans="1:54" x14ac:dyDescent="0.25">
      <c r="A440" s="43">
        <f t="shared" si="51"/>
        <v>0</v>
      </c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X440" s="6">
        <f t="shared" si="47"/>
        <v>0</v>
      </c>
      <c r="AY440" s="6">
        <f t="shared" si="48"/>
        <v>0</v>
      </c>
      <c r="AZ440" s="6">
        <f t="shared" si="49"/>
        <v>0</v>
      </c>
      <c r="BA440" s="6">
        <f t="shared" si="50"/>
        <v>0</v>
      </c>
      <c r="BB440" s="7" t="s">
        <v>203</v>
      </c>
    </row>
    <row r="441" spans="1:54" x14ac:dyDescent="0.25">
      <c r="A441" s="43">
        <f t="shared" si="51"/>
        <v>0</v>
      </c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X441" s="6">
        <f t="shared" si="47"/>
        <v>0</v>
      </c>
      <c r="AY441" s="6">
        <f t="shared" si="48"/>
        <v>0</v>
      </c>
      <c r="AZ441" s="6">
        <f t="shared" si="49"/>
        <v>0</v>
      </c>
      <c r="BA441" s="6">
        <f t="shared" si="50"/>
        <v>0</v>
      </c>
      <c r="BB441" s="7" t="s">
        <v>203</v>
      </c>
    </row>
    <row r="442" spans="1:54" x14ac:dyDescent="0.25">
      <c r="A442" s="43">
        <f t="shared" si="51"/>
        <v>0</v>
      </c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X442" s="6">
        <f t="shared" si="47"/>
        <v>0</v>
      </c>
      <c r="AY442" s="6">
        <f t="shared" si="48"/>
        <v>0</v>
      </c>
      <c r="AZ442" s="6">
        <f t="shared" si="49"/>
        <v>0</v>
      </c>
      <c r="BA442" s="6">
        <f t="shared" si="50"/>
        <v>0</v>
      </c>
      <c r="BB442" s="7" t="s">
        <v>203</v>
      </c>
    </row>
    <row r="443" spans="1:54" x14ac:dyDescent="0.25">
      <c r="A443" s="43">
        <f t="shared" si="51"/>
        <v>0</v>
      </c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X443" s="6">
        <f t="shared" si="47"/>
        <v>0</v>
      </c>
      <c r="AY443" s="6">
        <f t="shared" si="48"/>
        <v>0</v>
      </c>
      <c r="AZ443" s="6">
        <f t="shared" si="49"/>
        <v>0</v>
      </c>
      <c r="BA443" s="6">
        <f t="shared" si="50"/>
        <v>0</v>
      </c>
      <c r="BB443" s="7" t="s">
        <v>203</v>
      </c>
    </row>
    <row r="444" spans="1:54" x14ac:dyDescent="0.25">
      <c r="A444" s="43">
        <f t="shared" si="51"/>
        <v>0</v>
      </c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X444" s="6">
        <f t="shared" si="47"/>
        <v>0</v>
      </c>
      <c r="AY444" s="6">
        <f t="shared" si="48"/>
        <v>0</v>
      </c>
      <c r="AZ444" s="6">
        <f t="shared" si="49"/>
        <v>0</v>
      </c>
      <c r="BA444" s="6">
        <f t="shared" si="50"/>
        <v>0</v>
      </c>
      <c r="BB444" s="7" t="s">
        <v>203</v>
      </c>
    </row>
    <row r="445" spans="1:54" x14ac:dyDescent="0.25">
      <c r="A445" s="43">
        <f t="shared" si="51"/>
        <v>0</v>
      </c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X445" s="6">
        <f t="shared" si="47"/>
        <v>0</v>
      </c>
      <c r="AY445" s="6">
        <f t="shared" si="48"/>
        <v>0</v>
      </c>
      <c r="AZ445" s="6">
        <f t="shared" si="49"/>
        <v>0</v>
      </c>
      <c r="BA445" s="6">
        <f t="shared" si="50"/>
        <v>0</v>
      </c>
      <c r="BB445" s="7" t="s">
        <v>203</v>
      </c>
    </row>
    <row r="446" spans="1:54" x14ac:dyDescent="0.25">
      <c r="A446" s="43">
        <f t="shared" si="51"/>
        <v>0</v>
      </c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X446" s="6">
        <f t="shared" si="47"/>
        <v>0</v>
      </c>
      <c r="AY446" s="6">
        <f t="shared" si="48"/>
        <v>0</v>
      </c>
      <c r="AZ446" s="6">
        <f t="shared" si="49"/>
        <v>0</v>
      </c>
      <c r="BA446" s="6">
        <f t="shared" si="50"/>
        <v>0</v>
      </c>
      <c r="BB446" s="7" t="s">
        <v>203</v>
      </c>
    </row>
    <row r="447" spans="1:54" x14ac:dyDescent="0.25">
      <c r="A447" s="43">
        <f t="shared" si="51"/>
        <v>0</v>
      </c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X447" s="6">
        <f t="shared" si="47"/>
        <v>0</v>
      </c>
      <c r="AY447" s="6">
        <f t="shared" si="48"/>
        <v>0</v>
      </c>
      <c r="AZ447" s="6">
        <f t="shared" si="49"/>
        <v>0</v>
      </c>
      <c r="BA447" s="6">
        <f t="shared" si="50"/>
        <v>0</v>
      </c>
      <c r="BB447" s="7" t="s">
        <v>203</v>
      </c>
    </row>
    <row r="448" spans="1:54" x14ac:dyDescent="0.25">
      <c r="A448" s="43">
        <f t="shared" si="51"/>
        <v>0</v>
      </c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X448" s="6">
        <f t="shared" si="47"/>
        <v>0</v>
      </c>
      <c r="AY448" s="6">
        <f t="shared" si="48"/>
        <v>0</v>
      </c>
      <c r="AZ448" s="6">
        <f t="shared" si="49"/>
        <v>0</v>
      </c>
      <c r="BA448" s="6">
        <f t="shared" si="50"/>
        <v>0</v>
      </c>
      <c r="BB448" s="7" t="s">
        <v>203</v>
      </c>
    </row>
    <row r="449" spans="1:54" x14ac:dyDescent="0.25">
      <c r="A449" s="43">
        <f t="shared" si="51"/>
        <v>0</v>
      </c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X449" s="6">
        <f t="shared" si="47"/>
        <v>0</v>
      </c>
      <c r="AY449" s="6">
        <f t="shared" si="48"/>
        <v>0</v>
      </c>
      <c r="AZ449" s="6">
        <f t="shared" si="49"/>
        <v>0</v>
      </c>
      <c r="BA449" s="6">
        <f t="shared" si="50"/>
        <v>0</v>
      </c>
      <c r="BB449" s="7" t="s">
        <v>203</v>
      </c>
    </row>
    <row r="450" spans="1:54" x14ac:dyDescent="0.25">
      <c r="A450" s="43">
        <f t="shared" si="51"/>
        <v>0</v>
      </c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X450" s="6">
        <f t="shared" si="47"/>
        <v>0</v>
      </c>
      <c r="AY450" s="6">
        <f t="shared" si="48"/>
        <v>0</v>
      </c>
      <c r="AZ450" s="6">
        <f t="shared" si="49"/>
        <v>0</v>
      </c>
      <c r="BA450" s="6">
        <f t="shared" si="50"/>
        <v>0</v>
      </c>
      <c r="BB450" s="7" t="s">
        <v>203</v>
      </c>
    </row>
    <row r="451" spans="1:54" x14ac:dyDescent="0.25">
      <c r="A451" s="43">
        <f t="shared" si="51"/>
        <v>0</v>
      </c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X451" s="6">
        <f t="shared" si="47"/>
        <v>0</v>
      </c>
      <c r="AY451" s="6">
        <f t="shared" si="48"/>
        <v>0</v>
      </c>
      <c r="AZ451" s="6">
        <f t="shared" si="49"/>
        <v>0</v>
      </c>
      <c r="BA451" s="6">
        <f t="shared" si="50"/>
        <v>0</v>
      </c>
      <c r="BB451" s="7" t="s">
        <v>203</v>
      </c>
    </row>
    <row r="452" spans="1:54" x14ac:dyDescent="0.25">
      <c r="A452" s="43">
        <f t="shared" si="51"/>
        <v>0</v>
      </c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X452" s="6">
        <f t="shared" si="47"/>
        <v>0</v>
      </c>
      <c r="AY452" s="6">
        <f t="shared" si="48"/>
        <v>0</v>
      </c>
      <c r="AZ452" s="6">
        <f t="shared" si="49"/>
        <v>0</v>
      </c>
      <c r="BA452" s="6">
        <f t="shared" si="50"/>
        <v>0</v>
      </c>
      <c r="BB452" s="7" t="s">
        <v>203</v>
      </c>
    </row>
    <row r="453" spans="1:54" x14ac:dyDescent="0.25">
      <c r="A453" s="43">
        <f t="shared" si="51"/>
        <v>0</v>
      </c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X453" s="6">
        <f t="shared" si="47"/>
        <v>0</v>
      </c>
      <c r="AY453" s="6">
        <f t="shared" si="48"/>
        <v>0</v>
      </c>
      <c r="AZ453" s="6">
        <f t="shared" si="49"/>
        <v>0</v>
      </c>
      <c r="BA453" s="6">
        <f t="shared" si="50"/>
        <v>0</v>
      </c>
      <c r="BB453" s="7" t="s">
        <v>203</v>
      </c>
    </row>
    <row r="454" spans="1:54" x14ac:dyDescent="0.25">
      <c r="A454" s="43">
        <f t="shared" si="51"/>
        <v>0</v>
      </c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X454" s="6">
        <f t="shared" si="47"/>
        <v>0</v>
      </c>
      <c r="AY454" s="6">
        <f t="shared" si="48"/>
        <v>0</v>
      </c>
      <c r="AZ454" s="6">
        <f t="shared" si="49"/>
        <v>0</v>
      </c>
      <c r="BA454" s="6">
        <f t="shared" si="50"/>
        <v>0</v>
      </c>
      <c r="BB454" s="7" t="s">
        <v>203</v>
      </c>
    </row>
    <row r="455" spans="1:54" x14ac:dyDescent="0.25">
      <c r="A455" s="43">
        <f t="shared" si="51"/>
        <v>0</v>
      </c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X455" s="6">
        <f t="shared" si="47"/>
        <v>0</v>
      </c>
      <c r="AY455" s="6">
        <f t="shared" si="48"/>
        <v>0</v>
      </c>
      <c r="AZ455" s="6">
        <f t="shared" si="49"/>
        <v>0</v>
      </c>
      <c r="BA455" s="6">
        <f t="shared" si="50"/>
        <v>0</v>
      </c>
      <c r="BB455" s="7" t="s">
        <v>203</v>
      </c>
    </row>
    <row r="456" spans="1:54" x14ac:dyDescent="0.25">
      <c r="A456" s="43">
        <f t="shared" si="51"/>
        <v>0</v>
      </c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X456" s="6">
        <f t="shared" si="47"/>
        <v>0</v>
      </c>
      <c r="AY456" s="6">
        <f t="shared" si="48"/>
        <v>0</v>
      </c>
      <c r="AZ456" s="6">
        <f t="shared" si="49"/>
        <v>0</v>
      </c>
      <c r="BA456" s="6">
        <f t="shared" si="50"/>
        <v>0</v>
      </c>
      <c r="BB456" s="7" t="s">
        <v>203</v>
      </c>
    </row>
    <row r="457" spans="1:54" x14ac:dyDescent="0.25">
      <c r="A457" s="43">
        <f t="shared" si="51"/>
        <v>0</v>
      </c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X457" s="6">
        <f t="shared" si="47"/>
        <v>0</v>
      </c>
      <c r="AY457" s="6">
        <f t="shared" si="48"/>
        <v>0</v>
      </c>
      <c r="AZ457" s="6">
        <f t="shared" si="49"/>
        <v>0</v>
      </c>
      <c r="BA457" s="6">
        <f t="shared" si="50"/>
        <v>0</v>
      </c>
      <c r="BB457" s="7" t="s">
        <v>203</v>
      </c>
    </row>
    <row r="458" spans="1:54" x14ac:dyDescent="0.25">
      <c r="A458" s="43">
        <f t="shared" si="51"/>
        <v>0</v>
      </c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X458" s="6">
        <f t="shared" si="47"/>
        <v>0</v>
      </c>
      <c r="AY458" s="6">
        <f t="shared" si="48"/>
        <v>0</v>
      </c>
      <c r="AZ458" s="6">
        <f t="shared" si="49"/>
        <v>0</v>
      </c>
      <c r="BA458" s="6">
        <f t="shared" si="50"/>
        <v>0</v>
      </c>
      <c r="BB458" s="7" t="s">
        <v>203</v>
      </c>
    </row>
    <row r="459" spans="1:54" x14ac:dyDescent="0.25">
      <c r="A459" s="43">
        <f t="shared" si="51"/>
        <v>0</v>
      </c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X459" s="6">
        <f t="shared" si="47"/>
        <v>0</v>
      </c>
      <c r="AY459" s="6">
        <f t="shared" si="48"/>
        <v>0</v>
      </c>
      <c r="AZ459" s="6">
        <f t="shared" si="49"/>
        <v>0</v>
      </c>
      <c r="BA459" s="6">
        <f t="shared" si="50"/>
        <v>0</v>
      </c>
      <c r="BB459" s="7" t="s">
        <v>203</v>
      </c>
    </row>
    <row r="460" spans="1:54" x14ac:dyDescent="0.25">
      <c r="A460" s="43">
        <f t="shared" si="51"/>
        <v>0</v>
      </c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X460" s="6">
        <f t="shared" si="47"/>
        <v>0</v>
      </c>
      <c r="AY460" s="6">
        <f t="shared" si="48"/>
        <v>0</v>
      </c>
      <c r="AZ460" s="6">
        <f t="shared" si="49"/>
        <v>0</v>
      </c>
      <c r="BA460" s="6">
        <f t="shared" si="50"/>
        <v>0</v>
      </c>
      <c r="BB460" s="7" t="s">
        <v>203</v>
      </c>
    </row>
    <row r="461" spans="1:54" x14ac:dyDescent="0.25">
      <c r="A461" s="43">
        <f t="shared" si="51"/>
        <v>0</v>
      </c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X461" s="6">
        <f t="shared" si="47"/>
        <v>0</v>
      </c>
      <c r="AY461" s="6">
        <f t="shared" si="48"/>
        <v>0</v>
      </c>
      <c r="AZ461" s="6">
        <f t="shared" si="49"/>
        <v>0</v>
      </c>
      <c r="BA461" s="6">
        <f t="shared" si="50"/>
        <v>0</v>
      </c>
      <c r="BB461" s="7" t="s">
        <v>203</v>
      </c>
    </row>
    <row r="462" spans="1:54" x14ac:dyDescent="0.25">
      <c r="A462" s="43">
        <f t="shared" si="51"/>
        <v>0</v>
      </c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X462" s="6">
        <f t="shared" si="47"/>
        <v>0</v>
      </c>
      <c r="AY462" s="6">
        <f t="shared" si="48"/>
        <v>0</v>
      </c>
      <c r="AZ462" s="6">
        <f t="shared" si="49"/>
        <v>0</v>
      </c>
      <c r="BA462" s="6">
        <f t="shared" si="50"/>
        <v>0</v>
      </c>
      <c r="BB462" s="7" t="s">
        <v>203</v>
      </c>
    </row>
    <row r="463" spans="1:54" x14ac:dyDescent="0.25">
      <c r="A463" s="43">
        <f t="shared" si="51"/>
        <v>0</v>
      </c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X463" s="6">
        <f t="shared" si="47"/>
        <v>0</v>
      </c>
      <c r="AY463" s="6">
        <f t="shared" si="48"/>
        <v>0</v>
      </c>
      <c r="AZ463" s="6">
        <f t="shared" si="49"/>
        <v>0</v>
      </c>
      <c r="BA463" s="6">
        <f t="shared" si="50"/>
        <v>0</v>
      </c>
      <c r="BB463" s="7" t="s">
        <v>203</v>
      </c>
    </row>
    <row r="464" spans="1:54" x14ac:dyDescent="0.25">
      <c r="A464" s="43">
        <f t="shared" si="51"/>
        <v>0</v>
      </c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X464" s="6">
        <f t="shared" si="47"/>
        <v>0</v>
      </c>
      <c r="AY464" s="6">
        <f t="shared" si="48"/>
        <v>0</v>
      </c>
      <c r="AZ464" s="6">
        <f t="shared" si="49"/>
        <v>0</v>
      </c>
      <c r="BA464" s="6">
        <f t="shared" si="50"/>
        <v>0</v>
      </c>
      <c r="BB464" s="7" t="s">
        <v>203</v>
      </c>
    </row>
    <row r="465" spans="1:54" x14ac:dyDescent="0.25">
      <c r="A465" s="43">
        <f t="shared" si="51"/>
        <v>0</v>
      </c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X465" s="6">
        <f t="shared" si="47"/>
        <v>0</v>
      </c>
      <c r="AY465" s="6">
        <f t="shared" si="48"/>
        <v>0</v>
      </c>
      <c r="AZ465" s="6">
        <f t="shared" si="49"/>
        <v>0</v>
      </c>
      <c r="BA465" s="6">
        <f t="shared" si="50"/>
        <v>0</v>
      </c>
      <c r="BB465" s="7" t="s">
        <v>203</v>
      </c>
    </row>
    <row r="466" spans="1:54" x14ac:dyDescent="0.25">
      <c r="A466" s="43">
        <f t="shared" si="51"/>
        <v>0</v>
      </c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X466" s="6">
        <f t="shared" si="47"/>
        <v>0</v>
      </c>
      <c r="AY466" s="6">
        <f t="shared" si="48"/>
        <v>0</v>
      </c>
      <c r="AZ466" s="6">
        <f t="shared" si="49"/>
        <v>0</v>
      </c>
      <c r="BA466" s="6">
        <f t="shared" si="50"/>
        <v>0</v>
      </c>
      <c r="BB466" s="7" t="s">
        <v>203</v>
      </c>
    </row>
    <row r="467" spans="1:54" x14ac:dyDescent="0.25">
      <c r="A467" s="43">
        <f t="shared" si="51"/>
        <v>0</v>
      </c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X467" s="6">
        <f t="shared" si="47"/>
        <v>0</v>
      </c>
      <c r="AY467" s="6">
        <f t="shared" si="48"/>
        <v>0</v>
      </c>
      <c r="AZ467" s="6">
        <f t="shared" si="49"/>
        <v>0</v>
      </c>
      <c r="BA467" s="6">
        <f t="shared" si="50"/>
        <v>0</v>
      </c>
      <c r="BB467" s="7" t="s">
        <v>203</v>
      </c>
    </row>
    <row r="468" spans="1:54" x14ac:dyDescent="0.25">
      <c r="A468" s="43">
        <f t="shared" si="51"/>
        <v>0</v>
      </c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X468" s="6">
        <f t="shared" si="47"/>
        <v>0</v>
      </c>
      <c r="AY468" s="6">
        <f t="shared" si="48"/>
        <v>0</v>
      </c>
      <c r="AZ468" s="6">
        <f t="shared" si="49"/>
        <v>0</v>
      </c>
      <c r="BA468" s="6">
        <f t="shared" si="50"/>
        <v>0</v>
      </c>
      <c r="BB468" s="7" t="s">
        <v>203</v>
      </c>
    </row>
    <row r="469" spans="1:54" x14ac:dyDescent="0.25">
      <c r="A469" s="43">
        <f t="shared" si="51"/>
        <v>0</v>
      </c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X469" s="6">
        <f t="shared" si="47"/>
        <v>0</v>
      </c>
      <c r="AY469" s="6">
        <f t="shared" si="48"/>
        <v>0</v>
      </c>
      <c r="AZ469" s="6">
        <f t="shared" si="49"/>
        <v>0</v>
      </c>
      <c r="BA469" s="6">
        <f t="shared" si="50"/>
        <v>0</v>
      </c>
      <c r="BB469" s="7" t="s">
        <v>203</v>
      </c>
    </row>
    <row r="470" spans="1:54" x14ac:dyDescent="0.25">
      <c r="A470" s="43">
        <f t="shared" si="51"/>
        <v>0</v>
      </c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X470" s="6">
        <f t="shared" si="47"/>
        <v>0</v>
      </c>
      <c r="AY470" s="6">
        <f t="shared" si="48"/>
        <v>0</v>
      </c>
      <c r="AZ470" s="6">
        <f t="shared" si="49"/>
        <v>0</v>
      </c>
      <c r="BA470" s="6">
        <f t="shared" si="50"/>
        <v>0</v>
      </c>
      <c r="BB470" s="7" t="s">
        <v>203</v>
      </c>
    </row>
    <row r="471" spans="1:54" x14ac:dyDescent="0.25">
      <c r="A471" s="43">
        <f t="shared" si="51"/>
        <v>0</v>
      </c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X471" s="6">
        <f t="shared" si="47"/>
        <v>0</v>
      </c>
      <c r="AY471" s="6">
        <f t="shared" si="48"/>
        <v>0</v>
      </c>
      <c r="AZ471" s="6">
        <f t="shared" si="49"/>
        <v>0</v>
      </c>
      <c r="BA471" s="6">
        <f t="shared" si="50"/>
        <v>0</v>
      </c>
      <c r="BB471" s="7" t="s">
        <v>203</v>
      </c>
    </row>
    <row r="472" spans="1:54" x14ac:dyDescent="0.25">
      <c r="A472" s="43">
        <f t="shared" si="51"/>
        <v>0</v>
      </c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X472" s="6">
        <f t="shared" si="47"/>
        <v>0</v>
      </c>
      <c r="AY472" s="6">
        <f t="shared" si="48"/>
        <v>0</v>
      </c>
      <c r="AZ472" s="6">
        <f t="shared" si="49"/>
        <v>0</v>
      </c>
      <c r="BA472" s="6">
        <f t="shared" si="50"/>
        <v>0</v>
      </c>
      <c r="BB472" s="7" t="s">
        <v>203</v>
      </c>
    </row>
    <row r="473" spans="1:54" x14ac:dyDescent="0.25">
      <c r="A473" s="43">
        <f t="shared" si="51"/>
        <v>0</v>
      </c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X473" s="6">
        <f t="shared" si="47"/>
        <v>0</v>
      </c>
      <c r="AY473" s="6">
        <f t="shared" si="48"/>
        <v>0</v>
      </c>
      <c r="AZ473" s="6">
        <f t="shared" si="49"/>
        <v>0</v>
      </c>
      <c r="BA473" s="6">
        <f t="shared" si="50"/>
        <v>0</v>
      </c>
      <c r="BB473" s="7" t="s">
        <v>203</v>
      </c>
    </row>
    <row r="474" spans="1:54" x14ac:dyDescent="0.25">
      <c r="A474" s="43">
        <f t="shared" si="51"/>
        <v>0</v>
      </c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X474" s="6">
        <f t="shared" si="47"/>
        <v>0</v>
      </c>
      <c r="AY474" s="6">
        <f t="shared" si="48"/>
        <v>0</v>
      </c>
      <c r="AZ474" s="6">
        <f t="shared" si="49"/>
        <v>0</v>
      </c>
      <c r="BA474" s="6">
        <f t="shared" si="50"/>
        <v>0</v>
      </c>
      <c r="BB474" s="7" t="s">
        <v>203</v>
      </c>
    </row>
    <row r="475" spans="1:54" x14ac:dyDescent="0.25">
      <c r="A475" s="43">
        <f t="shared" si="51"/>
        <v>0</v>
      </c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X475" s="6">
        <f t="shared" si="47"/>
        <v>0</v>
      </c>
      <c r="AY475" s="6">
        <f t="shared" si="48"/>
        <v>0</v>
      </c>
      <c r="AZ475" s="6">
        <f t="shared" si="49"/>
        <v>0</v>
      </c>
      <c r="BA475" s="6">
        <f t="shared" si="50"/>
        <v>0</v>
      </c>
      <c r="BB475" s="7" t="s">
        <v>203</v>
      </c>
    </row>
    <row r="476" spans="1:54" x14ac:dyDescent="0.25">
      <c r="A476" s="43">
        <f t="shared" si="51"/>
        <v>0</v>
      </c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X476" s="6">
        <f t="shared" si="47"/>
        <v>0</v>
      </c>
      <c r="AY476" s="6">
        <f t="shared" si="48"/>
        <v>0</v>
      </c>
      <c r="AZ476" s="6">
        <f t="shared" si="49"/>
        <v>0</v>
      </c>
      <c r="BA476" s="6">
        <f t="shared" si="50"/>
        <v>0</v>
      </c>
      <c r="BB476" s="7" t="s">
        <v>203</v>
      </c>
    </row>
    <row r="477" spans="1:54" x14ac:dyDescent="0.25">
      <c r="A477" s="43">
        <f t="shared" si="51"/>
        <v>0</v>
      </c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X477" s="6">
        <f t="shared" si="47"/>
        <v>0</v>
      </c>
      <c r="AY477" s="6">
        <f t="shared" si="48"/>
        <v>0</v>
      </c>
      <c r="AZ477" s="6">
        <f t="shared" si="49"/>
        <v>0</v>
      </c>
      <c r="BA477" s="6">
        <f t="shared" si="50"/>
        <v>0</v>
      </c>
      <c r="BB477" s="7" t="s">
        <v>203</v>
      </c>
    </row>
    <row r="478" spans="1:54" x14ac:dyDescent="0.25">
      <c r="A478" s="43">
        <f t="shared" si="51"/>
        <v>0</v>
      </c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X478" s="6">
        <f t="shared" ref="AX478:AX529" si="52">COUNTIF(J478:AW478,"&gt;1")</f>
        <v>0</v>
      </c>
      <c r="AY478" s="6">
        <f t="shared" ref="AY478:AY529" si="53">COUNTIF(J478:AW478,0)</f>
        <v>0</v>
      </c>
      <c r="AZ478" s="6">
        <f t="shared" ref="AZ478:AZ529" si="54">COUNTIF(J478:AW478,"-")</f>
        <v>0</v>
      </c>
      <c r="BA478" s="6">
        <f t="shared" ref="BA478:BA529" si="55">SUM(AX478:AZ478)</f>
        <v>0</v>
      </c>
      <c r="BB478" s="7" t="s">
        <v>203</v>
      </c>
    </row>
    <row r="479" spans="1:54" x14ac:dyDescent="0.25">
      <c r="A479" s="43">
        <f t="shared" si="51"/>
        <v>0</v>
      </c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X479" s="6">
        <f t="shared" si="52"/>
        <v>0</v>
      </c>
      <c r="AY479" s="6">
        <f t="shared" si="53"/>
        <v>0</v>
      </c>
      <c r="AZ479" s="6">
        <f t="shared" si="54"/>
        <v>0</v>
      </c>
      <c r="BA479" s="6">
        <f t="shared" si="55"/>
        <v>0</v>
      </c>
      <c r="BB479" s="7" t="s">
        <v>203</v>
      </c>
    </row>
    <row r="480" spans="1:54" x14ac:dyDescent="0.25">
      <c r="A480" s="43">
        <f t="shared" si="51"/>
        <v>0</v>
      </c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X480" s="6">
        <f t="shared" si="52"/>
        <v>0</v>
      </c>
      <c r="AY480" s="6">
        <f t="shared" si="53"/>
        <v>0</v>
      </c>
      <c r="AZ480" s="6">
        <f t="shared" si="54"/>
        <v>0</v>
      </c>
      <c r="BA480" s="6">
        <f t="shared" si="55"/>
        <v>0</v>
      </c>
      <c r="BB480" s="7" t="s">
        <v>203</v>
      </c>
    </row>
    <row r="481" spans="1:54" x14ac:dyDescent="0.25">
      <c r="A481" s="43">
        <f t="shared" si="51"/>
        <v>0</v>
      </c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X481" s="6">
        <f t="shared" si="52"/>
        <v>0</v>
      </c>
      <c r="AY481" s="6">
        <f t="shared" si="53"/>
        <v>0</v>
      </c>
      <c r="AZ481" s="6">
        <f t="shared" si="54"/>
        <v>0</v>
      </c>
      <c r="BA481" s="6">
        <f t="shared" si="55"/>
        <v>0</v>
      </c>
      <c r="BB481" s="7" t="s">
        <v>203</v>
      </c>
    </row>
    <row r="482" spans="1:54" x14ac:dyDescent="0.25">
      <c r="A482" s="43">
        <f t="shared" si="51"/>
        <v>0</v>
      </c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X482" s="6">
        <f t="shared" si="52"/>
        <v>0</v>
      </c>
      <c r="AY482" s="6">
        <f t="shared" si="53"/>
        <v>0</v>
      </c>
      <c r="AZ482" s="6">
        <f t="shared" si="54"/>
        <v>0</v>
      </c>
      <c r="BA482" s="6">
        <f t="shared" si="55"/>
        <v>0</v>
      </c>
      <c r="BB482" s="7" t="s">
        <v>203</v>
      </c>
    </row>
    <row r="483" spans="1:54" x14ac:dyDescent="0.25">
      <c r="A483" s="43">
        <f t="shared" si="51"/>
        <v>0</v>
      </c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X483" s="6">
        <f t="shared" si="52"/>
        <v>0</v>
      </c>
      <c r="AY483" s="6">
        <f t="shared" si="53"/>
        <v>0</v>
      </c>
      <c r="AZ483" s="6">
        <f t="shared" si="54"/>
        <v>0</v>
      </c>
      <c r="BA483" s="6">
        <f t="shared" si="55"/>
        <v>0</v>
      </c>
      <c r="BB483" s="7" t="s">
        <v>203</v>
      </c>
    </row>
    <row r="484" spans="1:54" x14ac:dyDescent="0.25">
      <c r="A484" s="43">
        <f t="shared" si="51"/>
        <v>0</v>
      </c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X484" s="6">
        <f t="shared" si="52"/>
        <v>0</v>
      </c>
      <c r="AY484" s="6">
        <f t="shared" si="53"/>
        <v>0</v>
      </c>
      <c r="AZ484" s="6">
        <f t="shared" si="54"/>
        <v>0</v>
      </c>
      <c r="BA484" s="6">
        <f t="shared" si="55"/>
        <v>0</v>
      </c>
      <c r="BB484" s="7" t="s">
        <v>203</v>
      </c>
    </row>
    <row r="485" spans="1:54" x14ac:dyDescent="0.25">
      <c r="A485" s="43">
        <f t="shared" si="51"/>
        <v>0</v>
      </c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X485" s="6">
        <f t="shared" si="52"/>
        <v>0</v>
      </c>
      <c r="AY485" s="6">
        <f t="shared" si="53"/>
        <v>0</v>
      </c>
      <c r="AZ485" s="6">
        <f t="shared" si="54"/>
        <v>0</v>
      </c>
      <c r="BA485" s="6">
        <f t="shared" si="55"/>
        <v>0</v>
      </c>
      <c r="BB485" s="7" t="s">
        <v>203</v>
      </c>
    </row>
    <row r="486" spans="1:54" x14ac:dyDescent="0.25">
      <c r="A486" s="43">
        <f t="shared" si="51"/>
        <v>0</v>
      </c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X486" s="6">
        <f t="shared" si="52"/>
        <v>0</v>
      </c>
      <c r="AY486" s="6">
        <f t="shared" si="53"/>
        <v>0</v>
      </c>
      <c r="AZ486" s="6">
        <f t="shared" si="54"/>
        <v>0</v>
      </c>
      <c r="BA486" s="6">
        <f t="shared" si="55"/>
        <v>0</v>
      </c>
      <c r="BB486" s="7" t="s">
        <v>203</v>
      </c>
    </row>
    <row r="487" spans="1:54" x14ac:dyDescent="0.25">
      <c r="A487" s="43">
        <f t="shared" si="51"/>
        <v>0</v>
      </c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X487" s="6">
        <f t="shared" si="52"/>
        <v>0</v>
      </c>
      <c r="AY487" s="6">
        <f t="shared" si="53"/>
        <v>0</v>
      </c>
      <c r="AZ487" s="6">
        <f t="shared" si="54"/>
        <v>0</v>
      </c>
      <c r="BA487" s="6">
        <f t="shared" si="55"/>
        <v>0</v>
      </c>
      <c r="BB487" s="7" t="s">
        <v>203</v>
      </c>
    </row>
    <row r="488" spans="1:54" x14ac:dyDescent="0.25">
      <c r="A488" s="43">
        <f t="shared" si="51"/>
        <v>0</v>
      </c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X488" s="6">
        <f t="shared" si="52"/>
        <v>0</v>
      </c>
      <c r="AY488" s="6">
        <f t="shared" si="53"/>
        <v>0</v>
      </c>
      <c r="AZ488" s="6">
        <f t="shared" si="54"/>
        <v>0</v>
      </c>
      <c r="BA488" s="6">
        <f t="shared" si="55"/>
        <v>0</v>
      </c>
      <c r="BB488" s="7" t="s">
        <v>203</v>
      </c>
    </row>
    <row r="489" spans="1:54" x14ac:dyDescent="0.25">
      <c r="A489" s="43">
        <f t="shared" si="51"/>
        <v>0</v>
      </c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X489" s="6">
        <f t="shared" si="52"/>
        <v>0</v>
      </c>
      <c r="AY489" s="6">
        <f t="shared" si="53"/>
        <v>0</v>
      </c>
      <c r="AZ489" s="6">
        <f t="shared" si="54"/>
        <v>0</v>
      </c>
      <c r="BA489" s="6">
        <f t="shared" si="55"/>
        <v>0</v>
      </c>
      <c r="BB489" s="7" t="s">
        <v>203</v>
      </c>
    </row>
    <row r="490" spans="1:54" x14ac:dyDescent="0.25">
      <c r="A490" s="43">
        <f t="shared" si="51"/>
        <v>0</v>
      </c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X490" s="6">
        <f t="shared" si="52"/>
        <v>0</v>
      </c>
      <c r="AY490" s="6">
        <f t="shared" si="53"/>
        <v>0</v>
      </c>
      <c r="AZ490" s="6">
        <f t="shared" si="54"/>
        <v>0</v>
      </c>
      <c r="BA490" s="6">
        <f t="shared" si="55"/>
        <v>0</v>
      </c>
      <c r="BB490" s="7" t="s">
        <v>203</v>
      </c>
    </row>
    <row r="491" spans="1:54" x14ac:dyDescent="0.25">
      <c r="A491" s="43">
        <f t="shared" si="51"/>
        <v>0</v>
      </c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X491" s="6">
        <f t="shared" si="52"/>
        <v>0</v>
      </c>
      <c r="AY491" s="6">
        <f t="shared" si="53"/>
        <v>0</v>
      </c>
      <c r="AZ491" s="6">
        <f t="shared" si="54"/>
        <v>0</v>
      </c>
      <c r="BA491" s="6">
        <f t="shared" si="55"/>
        <v>0</v>
      </c>
      <c r="BB491" s="7" t="s">
        <v>203</v>
      </c>
    </row>
    <row r="492" spans="1:54" x14ac:dyDescent="0.25">
      <c r="A492" s="43">
        <f t="shared" si="51"/>
        <v>0</v>
      </c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X492" s="6">
        <f t="shared" si="52"/>
        <v>0</v>
      </c>
      <c r="AY492" s="6">
        <f t="shared" si="53"/>
        <v>0</v>
      </c>
      <c r="AZ492" s="6">
        <f t="shared" si="54"/>
        <v>0</v>
      </c>
      <c r="BA492" s="6">
        <f t="shared" si="55"/>
        <v>0</v>
      </c>
      <c r="BB492" s="7" t="s">
        <v>203</v>
      </c>
    </row>
    <row r="493" spans="1:54" x14ac:dyDescent="0.25">
      <c r="A493" s="43">
        <f t="shared" si="51"/>
        <v>0</v>
      </c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X493" s="6">
        <f t="shared" si="52"/>
        <v>0</v>
      </c>
      <c r="AY493" s="6">
        <f t="shared" si="53"/>
        <v>0</v>
      </c>
      <c r="AZ493" s="6">
        <f t="shared" si="54"/>
        <v>0</v>
      </c>
      <c r="BA493" s="6">
        <f t="shared" si="55"/>
        <v>0</v>
      </c>
      <c r="BB493" s="7" t="s">
        <v>203</v>
      </c>
    </row>
    <row r="494" spans="1:54" x14ac:dyDescent="0.25">
      <c r="A494" s="43">
        <f t="shared" si="51"/>
        <v>0</v>
      </c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X494" s="6">
        <f t="shared" si="52"/>
        <v>0</v>
      </c>
      <c r="AY494" s="6">
        <f t="shared" si="53"/>
        <v>0</v>
      </c>
      <c r="AZ494" s="6">
        <f t="shared" si="54"/>
        <v>0</v>
      </c>
      <c r="BA494" s="6">
        <f t="shared" si="55"/>
        <v>0</v>
      </c>
      <c r="BB494" s="7" t="s">
        <v>203</v>
      </c>
    </row>
    <row r="495" spans="1:54" x14ac:dyDescent="0.25">
      <c r="A495" s="43">
        <f t="shared" si="51"/>
        <v>0</v>
      </c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X495" s="6">
        <f t="shared" si="52"/>
        <v>0</v>
      </c>
      <c r="AY495" s="6">
        <f t="shared" si="53"/>
        <v>0</v>
      </c>
      <c r="AZ495" s="6">
        <f t="shared" si="54"/>
        <v>0</v>
      </c>
      <c r="BA495" s="6">
        <f t="shared" si="55"/>
        <v>0</v>
      </c>
      <c r="BB495" s="7" t="s">
        <v>203</v>
      </c>
    </row>
    <row r="496" spans="1:54" x14ac:dyDescent="0.25">
      <c r="A496" s="43">
        <f t="shared" ref="A496:A529" si="56">_xlfn.NUMBERVALUE(LEFT(D496,9))</f>
        <v>0</v>
      </c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X496" s="6">
        <f t="shared" si="52"/>
        <v>0</v>
      </c>
      <c r="AY496" s="6">
        <f t="shared" si="53"/>
        <v>0</v>
      </c>
      <c r="AZ496" s="6">
        <f t="shared" si="54"/>
        <v>0</v>
      </c>
      <c r="BA496" s="6">
        <f t="shared" si="55"/>
        <v>0</v>
      </c>
      <c r="BB496" s="7" t="s">
        <v>203</v>
      </c>
    </row>
    <row r="497" spans="1:54" x14ac:dyDescent="0.25">
      <c r="A497" s="43">
        <f t="shared" si="56"/>
        <v>0</v>
      </c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X497" s="6">
        <f t="shared" si="52"/>
        <v>0</v>
      </c>
      <c r="AY497" s="6">
        <f t="shared" si="53"/>
        <v>0</v>
      </c>
      <c r="AZ497" s="6">
        <f t="shared" si="54"/>
        <v>0</v>
      </c>
      <c r="BA497" s="6">
        <f t="shared" si="55"/>
        <v>0</v>
      </c>
      <c r="BB497" s="7" t="s">
        <v>203</v>
      </c>
    </row>
    <row r="498" spans="1:54" x14ac:dyDescent="0.25">
      <c r="A498" s="43">
        <f t="shared" si="56"/>
        <v>0</v>
      </c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X498" s="6">
        <f t="shared" si="52"/>
        <v>0</v>
      </c>
      <c r="AY498" s="6">
        <f t="shared" si="53"/>
        <v>0</v>
      </c>
      <c r="AZ498" s="6">
        <f t="shared" si="54"/>
        <v>0</v>
      </c>
      <c r="BA498" s="6">
        <f t="shared" si="55"/>
        <v>0</v>
      </c>
      <c r="BB498" s="7" t="s">
        <v>203</v>
      </c>
    </row>
    <row r="499" spans="1:54" x14ac:dyDescent="0.25">
      <c r="A499" s="43">
        <f t="shared" si="56"/>
        <v>0</v>
      </c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X499" s="6">
        <f t="shared" si="52"/>
        <v>0</v>
      </c>
      <c r="AY499" s="6">
        <f t="shared" si="53"/>
        <v>0</v>
      </c>
      <c r="AZ499" s="6">
        <f t="shared" si="54"/>
        <v>0</v>
      </c>
      <c r="BA499" s="6">
        <f t="shared" si="55"/>
        <v>0</v>
      </c>
      <c r="BB499" s="7" t="s">
        <v>203</v>
      </c>
    </row>
    <row r="500" spans="1:54" x14ac:dyDescent="0.25">
      <c r="A500" s="43">
        <f t="shared" si="56"/>
        <v>0</v>
      </c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X500" s="6">
        <f t="shared" si="52"/>
        <v>0</v>
      </c>
      <c r="AY500" s="6">
        <f t="shared" si="53"/>
        <v>0</v>
      </c>
      <c r="AZ500" s="6">
        <f t="shared" si="54"/>
        <v>0</v>
      </c>
      <c r="BA500" s="6">
        <f t="shared" si="55"/>
        <v>0</v>
      </c>
      <c r="BB500" s="7" t="s">
        <v>203</v>
      </c>
    </row>
    <row r="501" spans="1:54" x14ac:dyDescent="0.25">
      <c r="A501" s="43">
        <f t="shared" si="56"/>
        <v>0</v>
      </c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X501" s="6">
        <f t="shared" si="52"/>
        <v>0</v>
      </c>
      <c r="AY501" s="6">
        <f t="shared" si="53"/>
        <v>0</v>
      </c>
      <c r="AZ501" s="6">
        <f t="shared" si="54"/>
        <v>0</v>
      </c>
      <c r="BA501" s="6">
        <f t="shared" si="55"/>
        <v>0</v>
      </c>
      <c r="BB501" s="7" t="s">
        <v>203</v>
      </c>
    </row>
    <row r="502" spans="1:54" x14ac:dyDescent="0.25">
      <c r="A502" s="43">
        <f t="shared" si="56"/>
        <v>0</v>
      </c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X502" s="6">
        <f t="shared" si="52"/>
        <v>0</v>
      </c>
      <c r="AY502" s="6">
        <f t="shared" si="53"/>
        <v>0</v>
      </c>
      <c r="AZ502" s="6">
        <f t="shared" si="54"/>
        <v>0</v>
      </c>
      <c r="BA502" s="6">
        <f t="shared" si="55"/>
        <v>0</v>
      </c>
      <c r="BB502" s="7" t="s">
        <v>203</v>
      </c>
    </row>
    <row r="503" spans="1:54" x14ac:dyDescent="0.25">
      <c r="A503" s="43">
        <f t="shared" si="56"/>
        <v>0</v>
      </c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X503" s="6">
        <f t="shared" si="52"/>
        <v>0</v>
      </c>
      <c r="AY503" s="6">
        <f t="shared" si="53"/>
        <v>0</v>
      </c>
      <c r="AZ503" s="6">
        <f t="shared" si="54"/>
        <v>0</v>
      </c>
      <c r="BA503" s="6">
        <f t="shared" si="55"/>
        <v>0</v>
      </c>
      <c r="BB503" s="7" t="s">
        <v>203</v>
      </c>
    </row>
    <row r="504" spans="1:54" x14ac:dyDescent="0.25">
      <c r="A504" s="43">
        <f t="shared" si="56"/>
        <v>0</v>
      </c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X504" s="6">
        <f t="shared" si="52"/>
        <v>0</v>
      </c>
      <c r="AY504" s="6">
        <f t="shared" si="53"/>
        <v>0</v>
      </c>
      <c r="AZ504" s="6">
        <f t="shared" si="54"/>
        <v>0</v>
      </c>
      <c r="BA504" s="6">
        <f t="shared" si="55"/>
        <v>0</v>
      </c>
      <c r="BB504" s="7" t="s">
        <v>203</v>
      </c>
    </row>
    <row r="505" spans="1:54" x14ac:dyDescent="0.25">
      <c r="A505" s="43">
        <f t="shared" si="56"/>
        <v>0</v>
      </c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X505" s="6">
        <f t="shared" si="52"/>
        <v>0</v>
      </c>
      <c r="AY505" s="6">
        <f t="shared" si="53"/>
        <v>0</v>
      </c>
      <c r="AZ505" s="6">
        <f t="shared" si="54"/>
        <v>0</v>
      </c>
      <c r="BA505" s="6">
        <f t="shared" si="55"/>
        <v>0</v>
      </c>
      <c r="BB505" s="7" t="s">
        <v>203</v>
      </c>
    </row>
    <row r="506" spans="1:54" x14ac:dyDescent="0.25">
      <c r="A506" s="43">
        <f t="shared" si="56"/>
        <v>0</v>
      </c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X506" s="6">
        <f t="shared" si="52"/>
        <v>0</v>
      </c>
      <c r="AY506" s="6">
        <f t="shared" si="53"/>
        <v>0</v>
      </c>
      <c r="AZ506" s="6">
        <f t="shared" si="54"/>
        <v>0</v>
      </c>
      <c r="BA506" s="6">
        <f t="shared" si="55"/>
        <v>0</v>
      </c>
      <c r="BB506" s="7" t="s">
        <v>203</v>
      </c>
    </row>
    <row r="507" spans="1:54" x14ac:dyDescent="0.25">
      <c r="A507" s="43">
        <f t="shared" si="56"/>
        <v>0</v>
      </c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X507" s="6">
        <f t="shared" si="52"/>
        <v>0</v>
      </c>
      <c r="AY507" s="6">
        <f t="shared" si="53"/>
        <v>0</v>
      </c>
      <c r="AZ507" s="6">
        <f t="shared" si="54"/>
        <v>0</v>
      </c>
      <c r="BA507" s="6">
        <f t="shared" si="55"/>
        <v>0</v>
      </c>
      <c r="BB507" s="7" t="s">
        <v>203</v>
      </c>
    </row>
    <row r="508" spans="1:54" x14ac:dyDescent="0.25">
      <c r="A508" s="43">
        <f t="shared" si="56"/>
        <v>0</v>
      </c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X508" s="6">
        <f t="shared" si="52"/>
        <v>0</v>
      </c>
      <c r="AY508" s="6">
        <f t="shared" si="53"/>
        <v>0</v>
      </c>
      <c r="AZ508" s="6">
        <f t="shared" si="54"/>
        <v>0</v>
      </c>
      <c r="BA508" s="6">
        <f t="shared" si="55"/>
        <v>0</v>
      </c>
      <c r="BB508" s="7" t="s">
        <v>203</v>
      </c>
    </row>
    <row r="509" spans="1:54" x14ac:dyDescent="0.25">
      <c r="A509" s="43">
        <f t="shared" si="56"/>
        <v>0</v>
      </c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X509" s="6">
        <f t="shared" si="52"/>
        <v>0</v>
      </c>
      <c r="AY509" s="6">
        <f t="shared" si="53"/>
        <v>0</v>
      </c>
      <c r="AZ509" s="6">
        <f t="shared" si="54"/>
        <v>0</v>
      </c>
      <c r="BA509" s="6">
        <f t="shared" si="55"/>
        <v>0</v>
      </c>
      <c r="BB509" s="7" t="s">
        <v>203</v>
      </c>
    </row>
    <row r="510" spans="1:54" x14ac:dyDescent="0.25">
      <c r="A510" s="43">
        <f t="shared" si="56"/>
        <v>0</v>
      </c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X510" s="6">
        <f t="shared" si="52"/>
        <v>0</v>
      </c>
      <c r="AY510" s="6">
        <f t="shared" si="53"/>
        <v>0</v>
      </c>
      <c r="AZ510" s="6">
        <f t="shared" si="54"/>
        <v>0</v>
      </c>
      <c r="BA510" s="6">
        <f t="shared" si="55"/>
        <v>0</v>
      </c>
      <c r="BB510" s="7" t="s">
        <v>203</v>
      </c>
    </row>
    <row r="511" spans="1:54" x14ac:dyDescent="0.25">
      <c r="A511" s="43">
        <f t="shared" si="56"/>
        <v>0</v>
      </c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X511" s="6">
        <f t="shared" si="52"/>
        <v>0</v>
      </c>
      <c r="AY511" s="6">
        <f t="shared" si="53"/>
        <v>0</v>
      </c>
      <c r="AZ511" s="6">
        <f t="shared" si="54"/>
        <v>0</v>
      </c>
      <c r="BA511" s="6">
        <f t="shared" si="55"/>
        <v>0</v>
      </c>
      <c r="BB511" s="7" t="s">
        <v>203</v>
      </c>
    </row>
    <row r="512" spans="1:54" x14ac:dyDescent="0.25">
      <c r="A512" s="43">
        <f t="shared" si="56"/>
        <v>0</v>
      </c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X512" s="6">
        <f t="shared" si="52"/>
        <v>0</v>
      </c>
      <c r="AY512" s="6">
        <f t="shared" si="53"/>
        <v>0</v>
      </c>
      <c r="AZ512" s="6">
        <f t="shared" si="54"/>
        <v>0</v>
      </c>
      <c r="BA512" s="6">
        <f t="shared" si="55"/>
        <v>0</v>
      </c>
      <c r="BB512" s="7" t="s">
        <v>203</v>
      </c>
    </row>
    <row r="513" spans="1:54" x14ac:dyDescent="0.25">
      <c r="A513" s="43">
        <f t="shared" si="56"/>
        <v>0</v>
      </c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X513" s="6">
        <f t="shared" si="52"/>
        <v>0</v>
      </c>
      <c r="AY513" s="6">
        <f t="shared" si="53"/>
        <v>0</v>
      </c>
      <c r="AZ513" s="6">
        <f t="shared" si="54"/>
        <v>0</v>
      </c>
      <c r="BA513" s="6">
        <f t="shared" si="55"/>
        <v>0</v>
      </c>
      <c r="BB513" s="7" t="s">
        <v>203</v>
      </c>
    </row>
    <row r="514" spans="1:54" x14ac:dyDescent="0.25">
      <c r="A514" s="43">
        <f t="shared" si="56"/>
        <v>0</v>
      </c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X514" s="6">
        <f t="shared" si="52"/>
        <v>0</v>
      </c>
      <c r="AY514" s="6">
        <f t="shared" si="53"/>
        <v>0</v>
      </c>
      <c r="AZ514" s="6">
        <f t="shared" si="54"/>
        <v>0</v>
      </c>
      <c r="BA514" s="6">
        <f t="shared" si="55"/>
        <v>0</v>
      </c>
      <c r="BB514" s="7" t="s">
        <v>203</v>
      </c>
    </row>
    <row r="515" spans="1:54" x14ac:dyDescent="0.25">
      <c r="A515" s="43">
        <f t="shared" si="56"/>
        <v>0</v>
      </c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X515" s="6">
        <f t="shared" si="52"/>
        <v>0</v>
      </c>
      <c r="AY515" s="6">
        <f t="shared" si="53"/>
        <v>0</v>
      </c>
      <c r="AZ515" s="6">
        <f t="shared" si="54"/>
        <v>0</v>
      </c>
      <c r="BA515" s="6">
        <f t="shared" si="55"/>
        <v>0</v>
      </c>
      <c r="BB515" s="7" t="s">
        <v>203</v>
      </c>
    </row>
    <row r="516" spans="1:54" x14ac:dyDescent="0.25">
      <c r="A516" s="43">
        <f t="shared" si="56"/>
        <v>0</v>
      </c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X516" s="6">
        <f t="shared" si="52"/>
        <v>0</v>
      </c>
      <c r="AY516" s="6">
        <f t="shared" si="53"/>
        <v>0</v>
      </c>
      <c r="AZ516" s="6">
        <f t="shared" si="54"/>
        <v>0</v>
      </c>
      <c r="BA516" s="6">
        <f t="shared" si="55"/>
        <v>0</v>
      </c>
      <c r="BB516" s="7" t="s">
        <v>203</v>
      </c>
    </row>
    <row r="517" spans="1:54" x14ac:dyDescent="0.25">
      <c r="A517" s="43">
        <f t="shared" si="56"/>
        <v>0</v>
      </c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X517" s="6">
        <f t="shared" si="52"/>
        <v>0</v>
      </c>
      <c r="AY517" s="6">
        <f t="shared" si="53"/>
        <v>0</v>
      </c>
      <c r="AZ517" s="6">
        <f t="shared" si="54"/>
        <v>0</v>
      </c>
      <c r="BA517" s="6">
        <f t="shared" si="55"/>
        <v>0</v>
      </c>
      <c r="BB517" s="7" t="s">
        <v>203</v>
      </c>
    </row>
    <row r="518" spans="1:54" x14ac:dyDescent="0.25">
      <c r="A518" s="43">
        <f t="shared" si="56"/>
        <v>0</v>
      </c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X518" s="6">
        <f t="shared" si="52"/>
        <v>0</v>
      </c>
      <c r="AY518" s="6">
        <f t="shared" si="53"/>
        <v>0</v>
      </c>
      <c r="AZ518" s="6">
        <f t="shared" si="54"/>
        <v>0</v>
      </c>
      <c r="BA518" s="6">
        <f t="shared" si="55"/>
        <v>0</v>
      </c>
      <c r="BB518" s="7" t="s">
        <v>203</v>
      </c>
    </row>
    <row r="519" spans="1:54" x14ac:dyDescent="0.25">
      <c r="A519" s="43">
        <f t="shared" si="56"/>
        <v>0</v>
      </c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X519" s="6">
        <f t="shared" si="52"/>
        <v>0</v>
      </c>
      <c r="AY519" s="6">
        <f t="shared" si="53"/>
        <v>0</v>
      </c>
      <c r="AZ519" s="6">
        <f t="shared" si="54"/>
        <v>0</v>
      </c>
      <c r="BA519" s="6">
        <f t="shared" si="55"/>
        <v>0</v>
      </c>
      <c r="BB519" s="7" t="s">
        <v>203</v>
      </c>
    </row>
    <row r="520" spans="1:54" x14ac:dyDescent="0.25">
      <c r="A520" s="43">
        <f t="shared" si="56"/>
        <v>0</v>
      </c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X520" s="6">
        <f t="shared" si="52"/>
        <v>0</v>
      </c>
      <c r="AY520" s="6">
        <f t="shared" si="53"/>
        <v>0</v>
      </c>
      <c r="AZ520" s="6">
        <f t="shared" si="54"/>
        <v>0</v>
      </c>
      <c r="BA520" s="6">
        <f t="shared" si="55"/>
        <v>0</v>
      </c>
      <c r="BB520" s="7" t="s">
        <v>203</v>
      </c>
    </row>
    <row r="521" spans="1:54" x14ac:dyDescent="0.25">
      <c r="A521" s="43">
        <f t="shared" si="56"/>
        <v>0</v>
      </c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X521" s="6">
        <f t="shared" si="52"/>
        <v>0</v>
      </c>
      <c r="AY521" s="6">
        <f t="shared" si="53"/>
        <v>0</v>
      </c>
      <c r="AZ521" s="6">
        <f t="shared" si="54"/>
        <v>0</v>
      </c>
      <c r="BA521" s="6">
        <f t="shared" si="55"/>
        <v>0</v>
      </c>
      <c r="BB521" s="7" t="s">
        <v>203</v>
      </c>
    </row>
    <row r="522" spans="1:54" x14ac:dyDescent="0.25">
      <c r="A522" s="43">
        <f t="shared" si="56"/>
        <v>0</v>
      </c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X522" s="6">
        <f t="shared" si="52"/>
        <v>0</v>
      </c>
      <c r="AY522" s="6">
        <f t="shared" si="53"/>
        <v>0</v>
      </c>
      <c r="AZ522" s="6">
        <f t="shared" si="54"/>
        <v>0</v>
      </c>
      <c r="BA522" s="6">
        <f t="shared" si="55"/>
        <v>0</v>
      </c>
      <c r="BB522" s="7" t="s">
        <v>203</v>
      </c>
    </row>
    <row r="523" spans="1:54" x14ac:dyDescent="0.25">
      <c r="A523" s="43">
        <f t="shared" si="56"/>
        <v>0</v>
      </c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X523" s="6">
        <f t="shared" si="52"/>
        <v>0</v>
      </c>
      <c r="AY523" s="6">
        <f t="shared" si="53"/>
        <v>0</v>
      </c>
      <c r="AZ523" s="6">
        <f t="shared" si="54"/>
        <v>0</v>
      </c>
      <c r="BA523" s="6">
        <f t="shared" si="55"/>
        <v>0</v>
      </c>
      <c r="BB523" s="7" t="s">
        <v>203</v>
      </c>
    </row>
    <row r="524" spans="1:54" x14ac:dyDescent="0.25">
      <c r="A524" s="43">
        <f t="shared" si="56"/>
        <v>0</v>
      </c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X524" s="6">
        <f t="shared" si="52"/>
        <v>0</v>
      </c>
      <c r="AY524" s="6">
        <f t="shared" si="53"/>
        <v>0</v>
      </c>
      <c r="AZ524" s="6">
        <f t="shared" si="54"/>
        <v>0</v>
      </c>
      <c r="BA524" s="6">
        <f t="shared" si="55"/>
        <v>0</v>
      </c>
      <c r="BB524" s="7" t="s">
        <v>203</v>
      </c>
    </row>
    <row r="525" spans="1:54" x14ac:dyDescent="0.25">
      <c r="A525" s="43">
        <f t="shared" si="56"/>
        <v>0</v>
      </c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X525" s="6">
        <f t="shared" si="52"/>
        <v>0</v>
      </c>
      <c r="AY525" s="6">
        <f t="shared" si="53"/>
        <v>0</v>
      </c>
      <c r="AZ525" s="6">
        <f t="shared" si="54"/>
        <v>0</v>
      </c>
      <c r="BA525" s="6">
        <f t="shared" si="55"/>
        <v>0</v>
      </c>
      <c r="BB525" s="7" t="s">
        <v>203</v>
      </c>
    </row>
    <row r="526" spans="1:54" x14ac:dyDescent="0.25">
      <c r="A526" s="43">
        <f t="shared" si="56"/>
        <v>0</v>
      </c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X526" s="6">
        <f t="shared" si="52"/>
        <v>0</v>
      </c>
      <c r="AY526" s="6">
        <f t="shared" si="53"/>
        <v>0</v>
      </c>
      <c r="AZ526" s="6">
        <f t="shared" si="54"/>
        <v>0</v>
      </c>
      <c r="BA526" s="6">
        <f t="shared" si="55"/>
        <v>0</v>
      </c>
      <c r="BB526" s="7" t="s">
        <v>203</v>
      </c>
    </row>
    <row r="527" spans="1:54" x14ac:dyDescent="0.25">
      <c r="A527" s="43">
        <f t="shared" si="56"/>
        <v>0</v>
      </c>
      <c r="AX527" s="6">
        <f t="shared" si="52"/>
        <v>0</v>
      </c>
      <c r="AY527" s="6">
        <f t="shared" si="53"/>
        <v>0</v>
      </c>
      <c r="AZ527" s="6">
        <f t="shared" si="54"/>
        <v>0</v>
      </c>
      <c r="BA527" s="6">
        <f t="shared" si="55"/>
        <v>0</v>
      </c>
      <c r="BB527" s="7" t="s">
        <v>203</v>
      </c>
    </row>
    <row r="528" spans="1:54" x14ac:dyDescent="0.25">
      <c r="A528" s="43">
        <f t="shared" si="56"/>
        <v>0</v>
      </c>
      <c r="AX528" s="6">
        <f t="shared" si="52"/>
        <v>0</v>
      </c>
      <c r="AY528" s="6">
        <f t="shared" si="53"/>
        <v>0</v>
      </c>
      <c r="AZ528" s="6">
        <f t="shared" si="54"/>
        <v>0</v>
      </c>
      <c r="BA528" s="6">
        <f t="shared" si="55"/>
        <v>0</v>
      </c>
      <c r="BB528" s="7" t="s">
        <v>203</v>
      </c>
    </row>
    <row r="529" spans="1:54" x14ac:dyDescent="0.25">
      <c r="A529" s="43">
        <f t="shared" si="56"/>
        <v>0</v>
      </c>
      <c r="AX529" s="6">
        <f t="shared" si="52"/>
        <v>0</v>
      </c>
      <c r="AY529" s="6">
        <f t="shared" si="53"/>
        <v>0</v>
      </c>
      <c r="AZ529" s="6">
        <f t="shared" si="54"/>
        <v>0</v>
      </c>
      <c r="BA529" s="6">
        <f t="shared" si="55"/>
        <v>0</v>
      </c>
      <c r="BB529" s="7" t="s">
        <v>203</v>
      </c>
    </row>
    <row r="535" spans="1:54" x14ac:dyDescent="0.25">
      <c r="A535" s="51"/>
    </row>
  </sheetData>
  <sortState xmlns:xlrd2="http://schemas.microsoft.com/office/spreadsheetml/2017/richdata2" ref="B3:AC410">
    <sortCondition ref="B3:B410"/>
    <sortCondition ref="C3:C410"/>
  </sortState>
  <conditionalFormatting sqref="A3:A529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All in One CBT</dc:creator>
  <cp:lastModifiedBy>Server01</cp:lastModifiedBy>
  <cp:lastPrinted>2026-06-07T11:47:08Z</cp:lastPrinted>
  <dcterms:created xsi:type="dcterms:W3CDTF">2019-06-19T08:51:42Z</dcterms:created>
  <dcterms:modified xsi:type="dcterms:W3CDTF">2026-06-07T16:23:40Z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3b21d768-e920-4b04-88a8-486c9b592b12</vt:lpwstr>
  </property>
</Properties>
</file>